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2E0977B-A651-454B-995F-9A9277609D5D}" xr6:coauthVersionLast="36" xr6:coauthVersionMax="47" xr10:uidLastSave="{00000000-0000-0000-0000-000000000000}"/>
  <bookViews>
    <workbookView xWindow="-110" yWindow="-110" windowWidth="25820" windowHeight="15500" xr2:uid="{D968949D-CFDD-4195-B9BD-AC2F6BC4924A}"/>
  </bookViews>
  <sheets>
    <sheet name="제품별 광고비 현황(24.01~26.01)" sheetId="2" r:id="rId1"/>
    <sheet name="광고주별" sheetId="10" state="hidden" r:id="rId2"/>
    <sheet name="월별" sheetId="11" state="hidden" r:id="rId3"/>
    <sheet name="매체 카테고리별 광고비 현황(24.01~26.01)" sheetId="16" r:id="rId4"/>
    <sheet name="RAW" sheetId="5" r:id="rId5"/>
    <sheet name="ADEX CODE" sheetId="15" state="hidden" r:id="rId6"/>
    <sheet name="CODE" sheetId="14" state="hidden" r:id="rId7"/>
  </sheets>
  <definedNames>
    <definedName name="_xlnm._FilterDatabase" localSheetId="5" hidden="1">'ADEX CODE'!$B$2:$G$4683</definedName>
    <definedName name="_xlnm._FilterDatabase" localSheetId="4" hidden="1">RAW!$A$1:$Q$714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3" i="5" l="1"/>
  <c r="A283" i="5" s="1"/>
  <c r="M283" i="5"/>
  <c r="N283" i="5"/>
  <c r="B284" i="5"/>
  <c r="A284" i="5" s="1"/>
  <c r="M284" i="5"/>
  <c r="N284" i="5"/>
  <c r="B133" i="5"/>
  <c r="A133" i="5" s="1"/>
  <c r="M133" i="5"/>
  <c r="N133" i="5"/>
  <c r="B59" i="5"/>
  <c r="A59" i="5" s="1"/>
  <c r="B60" i="5"/>
  <c r="A60" i="5" s="1"/>
  <c r="B61" i="5"/>
  <c r="A61" i="5" s="1"/>
  <c r="B62" i="5"/>
  <c r="A62" i="5" s="1"/>
  <c r="B63" i="5"/>
  <c r="A63" i="5" s="1"/>
  <c r="B64" i="5"/>
  <c r="A64" i="5" s="1"/>
  <c r="B65" i="5"/>
  <c r="A65" i="5" s="1"/>
  <c r="B66" i="5"/>
  <c r="A66" i="5" s="1"/>
  <c r="B67" i="5"/>
  <c r="A67" i="5" s="1"/>
  <c r="B68" i="5"/>
  <c r="A68" i="5" s="1"/>
  <c r="B69" i="5"/>
  <c r="A69" i="5" s="1"/>
  <c r="B70" i="5"/>
  <c r="A70" i="5" s="1"/>
  <c r="B71" i="5"/>
  <c r="A71" i="5" s="1"/>
  <c r="B72" i="5"/>
  <c r="A72" i="5" s="1"/>
  <c r="B73" i="5"/>
  <c r="A73" i="5" s="1"/>
  <c r="B74" i="5"/>
  <c r="A74" i="5" s="1"/>
  <c r="B75" i="5"/>
  <c r="A75" i="5" s="1"/>
  <c r="B76" i="5"/>
  <c r="A76" i="5" s="1"/>
  <c r="B77" i="5"/>
  <c r="A77" i="5" s="1"/>
  <c r="B78" i="5"/>
  <c r="A78" i="5" s="1"/>
  <c r="B79" i="5"/>
  <c r="A79" i="5" s="1"/>
  <c r="B80" i="5"/>
  <c r="A80" i="5" s="1"/>
  <c r="B81" i="5"/>
  <c r="A81" i="5" s="1"/>
  <c r="B82" i="5"/>
  <c r="A82" i="5" s="1"/>
  <c r="B83" i="5"/>
  <c r="A83" i="5" s="1"/>
  <c r="B84" i="5"/>
  <c r="A84" i="5" s="1"/>
  <c r="B85" i="5"/>
  <c r="A85" i="5" s="1"/>
  <c r="B86" i="5"/>
  <c r="A86" i="5" s="1"/>
  <c r="B87" i="5"/>
  <c r="A87" i="5" s="1"/>
  <c r="B88" i="5"/>
  <c r="A88" i="5" s="1"/>
  <c r="B89" i="5"/>
  <c r="A89" i="5" s="1"/>
  <c r="B90" i="5"/>
  <c r="A90" i="5" s="1"/>
  <c r="B91" i="5"/>
  <c r="A91" i="5" s="1"/>
  <c r="B92" i="5"/>
  <c r="A92" i="5" s="1"/>
  <c r="B93" i="5"/>
  <c r="A93" i="5" s="1"/>
  <c r="B94" i="5"/>
  <c r="A94" i="5" s="1"/>
  <c r="B95" i="5"/>
  <c r="A95" i="5" s="1"/>
  <c r="B96" i="5"/>
  <c r="A96" i="5" s="1"/>
  <c r="B97" i="5"/>
  <c r="A97" i="5" s="1"/>
  <c r="B98" i="5"/>
  <c r="A98" i="5" s="1"/>
  <c r="B99" i="5"/>
  <c r="A99" i="5" s="1"/>
  <c r="B100" i="5"/>
  <c r="A100" i="5" s="1"/>
  <c r="B101" i="5"/>
  <c r="A101" i="5" s="1"/>
  <c r="B102" i="5"/>
  <c r="A102" i="5" s="1"/>
  <c r="B103" i="5"/>
  <c r="A103" i="5" s="1"/>
  <c r="B104" i="5"/>
  <c r="A104" i="5" s="1"/>
  <c r="B105" i="5"/>
  <c r="A105" i="5" s="1"/>
  <c r="B106" i="5"/>
  <c r="A106" i="5" s="1"/>
  <c r="B107" i="5"/>
  <c r="A107" i="5" s="1"/>
  <c r="B108" i="5"/>
  <c r="A108" i="5" s="1"/>
  <c r="B109" i="5"/>
  <c r="A109" i="5" s="1"/>
  <c r="B110" i="5"/>
  <c r="A110" i="5" s="1"/>
  <c r="B111" i="5"/>
  <c r="A111" i="5" s="1"/>
  <c r="B112" i="5"/>
  <c r="A112" i="5" s="1"/>
  <c r="B113" i="5"/>
  <c r="A113" i="5" s="1"/>
  <c r="B114" i="5"/>
  <c r="A114" i="5" s="1"/>
  <c r="B115" i="5"/>
  <c r="A115" i="5" s="1"/>
  <c r="B116" i="5"/>
  <c r="A116" i="5" s="1"/>
  <c r="B117" i="5"/>
  <c r="A117" i="5" s="1"/>
  <c r="B118" i="5"/>
  <c r="A118" i="5" s="1"/>
  <c r="B119" i="5"/>
  <c r="A119" i="5" s="1"/>
  <c r="B120" i="5"/>
  <c r="A120" i="5" s="1"/>
  <c r="B121" i="5"/>
  <c r="A121" i="5" s="1"/>
  <c r="B122" i="5"/>
  <c r="A122" i="5" s="1"/>
  <c r="B123" i="5"/>
  <c r="A123" i="5" s="1"/>
  <c r="B124" i="5"/>
  <c r="A124" i="5" s="1"/>
  <c r="B125" i="5"/>
  <c r="A125" i="5" s="1"/>
  <c r="B126" i="5"/>
  <c r="A126" i="5" s="1"/>
  <c r="B127" i="5"/>
  <c r="A127" i="5" s="1"/>
  <c r="B128" i="5"/>
  <c r="A128" i="5" s="1"/>
  <c r="B129" i="5"/>
  <c r="A129" i="5" s="1"/>
  <c r="B130" i="5"/>
  <c r="A130" i="5" s="1"/>
  <c r="B131" i="5"/>
  <c r="A131" i="5" s="1"/>
  <c r="B132" i="5"/>
  <c r="B134" i="5"/>
  <c r="A134" i="5" s="1"/>
  <c r="B135" i="5"/>
  <c r="A135" i="5" s="1"/>
  <c r="B136" i="5"/>
  <c r="A136" i="5" s="1"/>
  <c r="B137" i="5"/>
  <c r="A137" i="5" s="1"/>
  <c r="B138" i="5"/>
  <c r="A138" i="5" s="1"/>
  <c r="B139" i="5"/>
  <c r="A139" i="5" s="1"/>
  <c r="B140" i="5"/>
  <c r="A140" i="5" s="1"/>
  <c r="B141" i="5"/>
  <c r="A141" i="5" s="1"/>
  <c r="B142" i="5"/>
  <c r="A142" i="5" s="1"/>
  <c r="B143" i="5"/>
  <c r="A143" i="5" s="1"/>
  <c r="B144" i="5"/>
  <c r="A144" i="5" s="1"/>
  <c r="B145" i="5"/>
  <c r="A145" i="5" s="1"/>
  <c r="B146" i="5"/>
  <c r="A146" i="5" s="1"/>
  <c r="B147" i="5"/>
  <c r="A147" i="5" s="1"/>
  <c r="B148" i="5"/>
  <c r="A148" i="5" s="1"/>
  <c r="B149" i="5"/>
  <c r="A149" i="5" s="1"/>
  <c r="B150" i="5"/>
  <c r="A150" i="5" s="1"/>
  <c r="B151" i="5"/>
  <c r="A151" i="5" s="1"/>
  <c r="B152" i="5"/>
  <c r="A152" i="5" s="1"/>
  <c r="B153" i="5"/>
  <c r="A153" i="5" s="1"/>
  <c r="B154" i="5"/>
  <c r="A154" i="5" s="1"/>
  <c r="B155" i="5"/>
  <c r="A155" i="5" s="1"/>
  <c r="B156" i="5"/>
  <c r="A156" i="5" s="1"/>
  <c r="B157" i="5"/>
  <c r="A157" i="5" s="1"/>
  <c r="B158" i="5"/>
  <c r="A158" i="5" s="1"/>
  <c r="B159" i="5"/>
  <c r="A159" i="5" s="1"/>
  <c r="B160" i="5"/>
  <c r="A160" i="5" s="1"/>
  <c r="B161" i="5"/>
  <c r="B162" i="5"/>
  <c r="A162" i="5" s="1"/>
  <c r="B163" i="5"/>
  <c r="A163" i="5" s="1"/>
  <c r="B164" i="5"/>
  <c r="A164" i="5" s="1"/>
  <c r="B165" i="5"/>
  <c r="A165" i="5" s="1"/>
  <c r="B166" i="5"/>
  <c r="A166" i="5" s="1"/>
  <c r="B167" i="5"/>
  <c r="A167" i="5" s="1"/>
  <c r="B168" i="5"/>
  <c r="A168" i="5" s="1"/>
  <c r="B169" i="5"/>
  <c r="A169" i="5" s="1"/>
  <c r="B170" i="5"/>
  <c r="A170" i="5" s="1"/>
  <c r="B171" i="5"/>
  <c r="A171" i="5" s="1"/>
  <c r="B172" i="5"/>
  <c r="A172" i="5" s="1"/>
  <c r="B173" i="5"/>
  <c r="A173" i="5" s="1"/>
  <c r="B174" i="5"/>
  <c r="A174" i="5" s="1"/>
  <c r="B175" i="5"/>
  <c r="A175" i="5" s="1"/>
  <c r="B176" i="5"/>
  <c r="A176" i="5" s="1"/>
  <c r="B177" i="5"/>
  <c r="A177" i="5" s="1"/>
  <c r="B178" i="5"/>
  <c r="A178" i="5" s="1"/>
  <c r="B179" i="5"/>
  <c r="A179" i="5" s="1"/>
  <c r="B180" i="5"/>
  <c r="A180" i="5" s="1"/>
  <c r="B181" i="5"/>
  <c r="A181" i="5" s="1"/>
  <c r="B182" i="5"/>
  <c r="A182" i="5" s="1"/>
  <c r="B183" i="5"/>
  <c r="A183" i="5" s="1"/>
  <c r="B184" i="5"/>
  <c r="A184" i="5" s="1"/>
  <c r="B185" i="5"/>
  <c r="A185" i="5" s="1"/>
  <c r="B186" i="5"/>
  <c r="A186" i="5" s="1"/>
  <c r="B187" i="5"/>
  <c r="A187" i="5" s="1"/>
  <c r="B188" i="5"/>
  <c r="A188" i="5" s="1"/>
  <c r="B189" i="5"/>
  <c r="A189" i="5" s="1"/>
  <c r="B190" i="5"/>
  <c r="A190" i="5" s="1"/>
  <c r="B191" i="5"/>
  <c r="A191" i="5" s="1"/>
  <c r="B192" i="5"/>
  <c r="A192" i="5" s="1"/>
  <c r="B193" i="5"/>
  <c r="A193" i="5" s="1"/>
  <c r="B194" i="5"/>
  <c r="A194" i="5" s="1"/>
  <c r="B195" i="5"/>
  <c r="A195" i="5" s="1"/>
  <c r="B196" i="5"/>
  <c r="A196" i="5" s="1"/>
  <c r="B197" i="5"/>
  <c r="A197" i="5" s="1"/>
  <c r="B198" i="5"/>
  <c r="A198" i="5" s="1"/>
  <c r="B199" i="5"/>
  <c r="A199" i="5" s="1"/>
  <c r="B200" i="5"/>
  <c r="A200" i="5" s="1"/>
  <c r="B201" i="5"/>
  <c r="A201" i="5" s="1"/>
  <c r="B202" i="5"/>
  <c r="A202" i="5" s="1"/>
  <c r="B203" i="5"/>
  <c r="A203" i="5" s="1"/>
  <c r="B204" i="5"/>
  <c r="A204" i="5" s="1"/>
  <c r="B205" i="5"/>
  <c r="A205" i="5" s="1"/>
  <c r="B206" i="5"/>
  <c r="A206" i="5" s="1"/>
  <c r="B207" i="5"/>
  <c r="A207" i="5" s="1"/>
  <c r="B208" i="5"/>
  <c r="A208" i="5" s="1"/>
  <c r="B209" i="5"/>
  <c r="A209" i="5" s="1"/>
  <c r="B210" i="5"/>
  <c r="A210" i="5" s="1"/>
  <c r="B211" i="5"/>
  <c r="A211" i="5" s="1"/>
  <c r="B212" i="5"/>
  <c r="A212" i="5" s="1"/>
  <c r="B213" i="5"/>
  <c r="A213" i="5" s="1"/>
  <c r="B214" i="5"/>
  <c r="A214" i="5" s="1"/>
  <c r="B215" i="5"/>
  <c r="A215" i="5" s="1"/>
  <c r="B216" i="5"/>
  <c r="A216" i="5" s="1"/>
  <c r="B217" i="5"/>
  <c r="A217" i="5" s="1"/>
  <c r="B218" i="5"/>
  <c r="A218" i="5" s="1"/>
  <c r="B219" i="5"/>
  <c r="A219" i="5" s="1"/>
  <c r="B220" i="5"/>
  <c r="A220" i="5" s="1"/>
  <c r="B221" i="5"/>
  <c r="A221" i="5" s="1"/>
  <c r="B222" i="5"/>
  <c r="A222" i="5" s="1"/>
  <c r="B223" i="5"/>
  <c r="A223" i="5" s="1"/>
  <c r="B224" i="5"/>
  <c r="A224" i="5" s="1"/>
  <c r="B225" i="5"/>
  <c r="A225" i="5" s="1"/>
  <c r="B226" i="5"/>
  <c r="A226" i="5" s="1"/>
  <c r="B227" i="5"/>
  <c r="A227" i="5" s="1"/>
  <c r="B228" i="5"/>
  <c r="A228" i="5" s="1"/>
  <c r="B229" i="5"/>
  <c r="A229" i="5" s="1"/>
  <c r="B230" i="5"/>
  <c r="A230" i="5" s="1"/>
  <c r="B231" i="5"/>
  <c r="A231" i="5" s="1"/>
  <c r="B232" i="5"/>
  <c r="A232" i="5" s="1"/>
  <c r="B233" i="5"/>
  <c r="A233" i="5" s="1"/>
  <c r="B234" i="5"/>
  <c r="A234" i="5" s="1"/>
  <c r="B235" i="5"/>
  <c r="A235" i="5" s="1"/>
  <c r="B236" i="5"/>
  <c r="A236" i="5" s="1"/>
  <c r="B237" i="5"/>
  <c r="A237" i="5" s="1"/>
  <c r="B238" i="5"/>
  <c r="A238" i="5" s="1"/>
  <c r="B239" i="5"/>
  <c r="A239" i="5" s="1"/>
  <c r="B240" i="5"/>
  <c r="A240" i="5" s="1"/>
  <c r="B241" i="5"/>
  <c r="A241" i="5" s="1"/>
  <c r="B242" i="5"/>
  <c r="A242" i="5" s="1"/>
  <c r="B243" i="5"/>
  <c r="A243" i="5" s="1"/>
  <c r="B244" i="5"/>
  <c r="A244" i="5" s="1"/>
  <c r="B245" i="5"/>
  <c r="A245" i="5" s="1"/>
  <c r="B246" i="5"/>
  <c r="A246" i="5" s="1"/>
  <c r="B247" i="5"/>
  <c r="A247" i="5" s="1"/>
  <c r="B248" i="5"/>
  <c r="A248" i="5" s="1"/>
  <c r="B249" i="5"/>
  <c r="A249" i="5" s="1"/>
  <c r="B250" i="5"/>
  <c r="A250" i="5" s="1"/>
  <c r="B251" i="5"/>
  <c r="A251" i="5" s="1"/>
  <c r="B252" i="5"/>
  <c r="A252" i="5" s="1"/>
  <c r="B253" i="5"/>
  <c r="A253" i="5" s="1"/>
  <c r="B254" i="5"/>
  <c r="A254" i="5" s="1"/>
  <c r="B255" i="5"/>
  <c r="A255" i="5" s="1"/>
  <c r="B256" i="5"/>
  <c r="A256" i="5" s="1"/>
  <c r="B257" i="5"/>
  <c r="A257" i="5" s="1"/>
  <c r="B258" i="5"/>
  <c r="A258" i="5" s="1"/>
  <c r="B259" i="5"/>
  <c r="A259" i="5" s="1"/>
  <c r="B260" i="5"/>
  <c r="A260" i="5" s="1"/>
  <c r="B261" i="5"/>
  <c r="A261" i="5" s="1"/>
  <c r="B262" i="5"/>
  <c r="A262" i="5" s="1"/>
  <c r="B263" i="5"/>
  <c r="A263" i="5" s="1"/>
  <c r="B264" i="5"/>
  <c r="A264" i="5" s="1"/>
  <c r="B265" i="5"/>
  <c r="A265" i="5" s="1"/>
  <c r="B266" i="5"/>
  <c r="A266" i="5" s="1"/>
  <c r="B267" i="5"/>
  <c r="A267" i="5" s="1"/>
  <c r="B268" i="5"/>
  <c r="A268" i="5" s="1"/>
  <c r="B269" i="5"/>
  <c r="A269" i="5" s="1"/>
  <c r="B270" i="5"/>
  <c r="A270" i="5" s="1"/>
  <c r="B271" i="5"/>
  <c r="A271" i="5" s="1"/>
  <c r="B272" i="5"/>
  <c r="A272" i="5" s="1"/>
  <c r="B273" i="5"/>
  <c r="A273" i="5" s="1"/>
  <c r="B274" i="5"/>
  <c r="A274" i="5" s="1"/>
  <c r="B275" i="5"/>
  <c r="A275" i="5" s="1"/>
  <c r="B276" i="5"/>
  <c r="A276" i="5" s="1"/>
  <c r="B277" i="5"/>
  <c r="A277" i="5" s="1"/>
  <c r="B278" i="5"/>
  <c r="A278" i="5" s="1"/>
  <c r="B279" i="5"/>
  <c r="A279" i="5" s="1"/>
  <c r="B280" i="5"/>
  <c r="A280" i="5" s="1"/>
  <c r="B281" i="5"/>
  <c r="A281" i="5" s="1"/>
  <c r="B282" i="5"/>
  <c r="A282" i="5" s="1"/>
  <c r="B285" i="5"/>
  <c r="A285" i="5" s="1"/>
  <c r="B286" i="5"/>
  <c r="A286" i="5" s="1"/>
  <c r="B287" i="5"/>
  <c r="A287" i="5" s="1"/>
  <c r="B288" i="5"/>
  <c r="A288" i="5" s="1"/>
  <c r="B289" i="5"/>
  <c r="A289" i="5" s="1"/>
  <c r="B290" i="5"/>
  <c r="A290" i="5" s="1"/>
  <c r="B291" i="5"/>
  <c r="A291" i="5" s="1"/>
  <c r="B292" i="5"/>
  <c r="A292" i="5" s="1"/>
  <c r="B293" i="5"/>
  <c r="A293" i="5" s="1"/>
  <c r="B294" i="5"/>
  <c r="A294" i="5" s="1"/>
  <c r="B295" i="5"/>
  <c r="A295" i="5" s="1"/>
  <c r="B296" i="5"/>
  <c r="A296" i="5" s="1"/>
  <c r="B297" i="5"/>
  <c r="A297" i="5" s="1"/>
  <c r="B298" i="5"/>
  <c r="A298" i="5" s="1"/>
  <c r="B299" i="5"/>
  <c r="A299" i="5" s="1"/>
  <c r="B300" i="5"/>
  <c r="A300" i="5" s="1"/>
  <c r="B301" i="5"/>
  <c r="A301" i="5" s="1"/>
  <c r="B302" i="5"/>
  <c r="A302" i="5" s="1"/>
  <c r="B303" i="5"/>
  <c r="A303" i="5" s="1"/>
  <c r="B304" i="5"/>
  <c r="A304" i="5" s="1"/>
  <c r="B305" i="5"/>
  <c r="A305" i="5" s="1"/>
  <c r="B306" i="5"/>
  <c r="A306" i="5" s="1"/>
  <c r="B307" i="5"/>
  <c r="A307" i="5" s="1"/>
  <c r="B308" i="5"/>
  <c r="A308" i="5" s="1"/>
  <c r="B309" i="5"/>
  <c r="A309" i="5" s="1"/>
  <c r="B310" i="5"/>
  <c r="A310" i="5" s="1"/>
  <c r="B311" i="5"/>
  <c r="A311" i="5" s="1"/>
  <c r="B312" i="5"/>
  <c r="A312" i="5" s="1"/>
  <c r="B313" i="5"/>
  <c r="A313" i="5" s="1"/>
  <c r="B314" i="5"/>
  <c r="A314" i="5" s="1"/>
  <c r="B315" i="5"/>
  <c r="A315" i="5" s="1"/>
  <c r="B316" i="5"/>
  <c r="A316" i="5" s="1"/>
  <c r="B317" i="5"/>
  <c r="A317" i="5" s="1"/>
  <c r="B318" i="5"/>
  <c r="A318" i="5" s="1"/>
  <c r="B319" i="5"/>
  <c r="A319" i="5" s="1"/>
  <c r="B320" i="5"/>
  <c r="A320" i="5" s="1"/>
  <c r="B321" i="5"/>
  <c r="A321" i="5" s="1"/>
  <c r="B322" i="5"/>
  <c r="A322" i="5" s="1"/>
  <c r="B323" i="5"/>
  <c r="A323" i="5" s="1"/>
  <c r="B324" i="5"/>
  <c r="A324" i="5" s="1"/>
  <c r="B325" i="5"/>
  <c r="A325" i="5" s="1"/>
  <c r="B326" i="5"/>
  <c r="A326" i="5" s="1"/>
  <c r="B327" i="5"/>
  <c r="A327" i="5" s="1"/>
  <c r="B328" i="5"/>
  <c r="A328" i="5" s="1"/>
  <c r="B329" i="5"/>
  <c r="A329" i="5" s="1"/>
  <c r="B330" i="5"/>
  <c r="A330" i="5" s="1"/>
  <c r="B331" i="5"/>
  <c r="A331" i="5" s="1"/>
  <c r="B332" i="5"/>
  <c r="A332" i="5" s="1"/>
  <c r="B333" i="5"/>
  <c r="A333" i="5" s="1"/>
  <c r="B334" i="5"/>
  <c r="A334" i="5" s="1"/>
  <c r="B335" i="5"/>
  <c r="A335" i="5" s="1"/>
  <c r="B336" i="5"/>
  <c r="A336" i="5" s="1"/>
  <c r="B337" i="5"/>
  <c r="A337" i="5" s="1"/>
  <c r="B338" i="5"/>
  <c r="A338" i="5" s="1"/>
  <c r="B339" i="5"/>
  <c r="A339" i="5" s="1"/>
  <c r="B340" i="5"/>
  <c r="A340" i="5" s="1"/>
  <c r="B341" i="5"/>
  <c r="A341" i="5" s="1"/>
  <c r="B342" i="5"/>
  <c r="A342" i="5" s="1"/>
  <c r="B343" i="5"/>
  <c r="A343" i="5" s="1"/>
  <c r="B344" i="5"/>
  <c r="A344" i="5" s="1"/>
  <c r="B345" i="5"/>
  <c r="A345" i="5" s="1"/>
  <c r="B346" i="5"/>
  <c r="A346" i="5" s="1"/>
  <c r="B347" i="5"/>
  <c r="A347" i="5" s="1"/>
  <c r="B348" i="5"/>
  <c r="A348" i="5" s="1"/>
  <c r="B349" i="5"/>
  <c r="A349" i="5" s="1"/>
  <c r="B350" i="5"/>
  <c r="A350" i="5" s="1"/>
  <c r="B351" i="5"/>
  <c r="A351" i="5" s="1"/>
  <c r="B352" i="5"/>
  <c r="A352" i="5" s="1"/>
  <c r="B353" i="5"/>
  <c r="A353" i="5" s="1"/>
  <c r="B354" i="5"/>
  <c r="A354" i="5" s="1"/>
  <c r="B355" i="5"/>
  <c r="A355" i="5" s="1"/>
  <c r="B356" i="5"/>
  <c r="A356" i="5" s="1"/>
  <c r="B357" i="5"/>
  <c r="A357" i="5" s="1"/>
  <c r="B358" i="5"/>
  <c r="A358" i="5" s="1"/>
  <c r="B359" i="5"/>
  <c r="A359" i="5" s="1"/>
  <c r="B360" i="5"/>
  <c r="A360" i="5" s="1"/>
  <c r="B361" i="5"/>
  <c r="A361" i="5" s="1"/>
  <c r="B362" i="5"/>
  <c r="A362" i="5" s="1"/>
  <c r="B363" i="5"/>
  <c r="A363" i="5" s="1"/>
  <c r="B364" i="5"/>
  <c r="A364" i="5" s="1"/>
  <c r="B365" i="5"/>
  <c r="A365" i="5" s="1"/>
  <c r="B366" i="5"/>
  <c r="A366" i="5" s="1"/>
  <c r="B367" i="5"/>
  <c r="A367" i="5" s="1"/>
  <c r="B368" i="5"/>
  <c r="A368" i="5" s="1"/>
  <c r="B369" i="5"/>
  <c r="A369" i="5" s="1"/>
  <c r="B370" i="5"/>
  <c r="A370" i="5" s="1"/>
  <c r="B371" i="5"/>
  <c r="A371" i="5" s="1"/>
  <c r="B372" i="5"/>
  <c r="A372" i="5" s="1"/>
  <c r="B373" i="5"/>
  <c r="A373" i="5" s="1"/>
  <c r="B374" i="5"/>
  <c r="A374" i="5" s="1"/>
  <c r="B375" i="5"/>
  <c r="A375" i="5" s="1"/>
  <c r="B376" i="5"/>
  <c r="A376" i="5" s="1"/>
  <c r="B377" i="5"/>
  <c r="A377" i="5" s="1"/>
  <c r="B378" i="5"/>
  <c r="A378" i="5" s="1"/>
  <c r="B379" i="5"/>
  <c r="A379" i="5" s="1"/>
  <c r="B380" i="5"/>
  <c r="A380" i="5" s="1"/>
  <c r="B381" i="5"/>
  <c r="A381" i="5" s="1"/>
  <c r="B382" i="5"/>
  <c r="A382" i="5" s="1"/>
  <c r="B383" i="5"/>
  <c r="A383" i="5" s="1"/>
  <c r="B384" i="5"/>
  <c r="A384" i="5" s="1"/>
  <c r="B385" i="5"/>
  <c r="A385" i="5" s="1"/>
  <c r="B386" i="5"/>
  <c r="A386" i="5" s="1"/>
  <c r="B387" i="5"/>
  <c r="A387" i="5" s="1"/>
  <c r="B388" i="5"/>
  <c r="A388" i="5" s="1"/>
  <c r="B389" i="5"/>
  <c r="A389" i="5" s="1"/>
  <c r="B390" i="5"/>
  <c r="A390" i="5" s="1"/>
  <c r="B391" i="5"/>
  <c r="A391" i="5" s="1"/>
  <c r="B392" i="5"/>
  <c r="A392" i="5" s="1"/>
  <c r="B393" i="5"/>
  <c r="A393" i="5" s="1"/>
  <c r="B394" i="5"/>
  <c r="A394" i="5" s="1"/>
  <c r="B395" i="5"/>
  <c r="A395" i="5" s="1"/>
  <c r="B396" i="5"/>
  <c r="A396" i="5" s="1"/>
  <c r="B397" i="5"/>
  <c r="A397" i="5" s="1"/>
  <c r="B398" i="5"/>
  <c r="A398" i="5" s="1"/>
  <c r="B399" i="5"/>
  <c r="A399" i="5" s="1"/>
  <c r="B400" i="5"/>
  <c r="A400" i="5" s="1"/>
  <c r="B401" i="5"/>
  <c r="A401" i="5" s="1"/>
  <c r="B402" i="5"/>
  <c r="A402" i="5" s="1"/>
  <c r="B403" i="5"/>
  <c r="A403" i="5" s="1"/>
  <c r="B404" i="5"/>
  <c r="A404" i="5" s="1"/>
  <c r="B405" i="5"/>
  <c r="A405" i="5" s="1"/>
  <c r="B406" i="5"/>
  <c r="A406" i="5" s="1"/>
  <c r="B407" i="5"/>
  <c r="A407" i="5" s="1"/>
  <c r="B408" i="5"/>
  <c r="A408" i="5" s="1"/>
  <c r="B409" i="5"/>
  <c r="A409" i="5" s="1"/>
  <c r="B410" i="5"/>
  <c r="A410" i="5" s="1"/>
  <c r="B411" i="5"/>
  <c r="A411" i="5" s="1"/>
  <c r="B412" i="5"/>
  <c r="A412" i="5" s="1"/>
  <c r="B413" i="5"/>
  <c r="A413" i="5" s="1"/>
  <c r="B414" i="5"/>
  <c r="A414" i="5" s="1"/>
  <c r="B415" i="5"/>
  <c r="A415" i="5" s="1"/>
  <c r="B416" i="5"/>
  <c r="A416" i="5" s="1"/>
  <c r="B417" i="5"/>
  <c r="A417" i="5" s="1"/>
  <c r="B418" i="5"/>
  <c r="A418" i="5" s="1"/>
  <c r="B419" i="5"/>
  <c r="A419" i="5" s="1"/>
  <c r="B420" i="5"/>
  <c r="A420" i="5" s="1"/>
  <c r="B421" i="5"/>
  <c r="A421" i="5" s="1"/>
  <c r="B422" i="5"/>
  <c r="A422" i="5" s="1"/>
  <c r="B423" i="5"/>
  <c r="A423" i="5" s="1"/>
  <c r="B424" i="5"/>
  <c r="A424" i="5" s="1"/>
  <c r="B425" i="5"/>
  <c r="A425" i="5" s="1"/>
  <c r="B426" i="5"/>
  <c r="A426" i="5" s="1"/>
  <c r="B427" i="5"/>
  <c r="A427" i="5" s="1"/>
  <c r="B428" i="5"/>
  <c r="A428" i="5" s="1"/>
  <c r="B429" i="5"/>
  <c r="A429" i="5" s="1"/>
  <c r="B430" i="5"/>
  <c r="A430" i="5" s="1"/>
  <c r="B431" i="5"/>
  <c r="A431" i="5" s="1"/>
  <c r="B432" i="5"/>
  <c r="A432" i="5" s="1"/>
  <c r="B433" i="5"/>
  <c r="A433" i="5" s="1"/>
  <c r="B434" i="5"/>
  <c r="A434" i="5" s="1"/>
  <c r="B435" i="5"/>
  <c r="A435" i="5" s="1"/>
  <c r="B436" i="5"/>
  <c r="A436" i="5" s="1"/>
  <c r="B437" i="5"/>
  <c r="A437" i="5" s="1"/>
  <c r="B438" i="5"/>
  <c r="A438" i="5" s="1"/>
  <c r="B439" i="5"/>
  <c r="A439" i="5" s="1"/>
  <c r="B440" i="5"/>
  <c r="A440" i="5" s="1"/>
  <c r="B441" i="5"/>
  <c r="A441" i="5" s="1"/>
  <c r="B442" i="5"/>
  <c r="A442" i="5" s="1"/>
  <c r="B443" i="5"/>
  <c r="A443" i="5" s="1"/>
  <c r="B444" i="5"/>
  <c r="A444" i="5" s="1"/>
  <c r="B445" i="5"/>
  <c r="A445" i="5" s="1"/>
  <c r="B446" i="5"/>
  <c r="A446" i="5" s="1"/>
  <c r="B447" i="5"/>
  <c r="A447" i="5" s="1"/>
  <c r="B448" i="5"/>
  <c r="A448" i="5" s="1"/>
  <c r="B449" i="5"/>
  <c r="A449" i="5" s="1"/>
  <c r="B450" i="5"/>
  <c r="A450" i="5" s="1"/>
  <c r="B451" i="5"/>
  <c r="A451" i="5" s="1"/>
  <c r="B452" i="5"/>
  <c r="A452" i="5" s="1"/>
  <c r="B453" i="5"/>
  <c r="B454" i="5"/>
  <c r="A454" i="5" s="1"/>
  <c r="B455" i="5"/>
  <c r="A455" i="5" s="1"/>
  <c r="B456" i="5"/>
  <c r="A456" i="5" s="1"/>
  <c r="B457" i="5"/>
  <c r="A457" i="5" s="1"/>
  <c r="B458" i="5"/>
  <c r="A458" i="5" s="1"/>
  <c r="B459" i="5"/>
  <c r="A459" i="5" s="1"/>
  <c r="B460" i="5"/>
  <c r="A460" i="5" s="1"/>
  <c r="B461" i="5"/>
  <c r="A461" i="5" s="1"/>
  <c r="B462" i="5"/>
  <c r="A462" i="5" s="1"/>
  <c r="B463" i="5"/>
  <c r="A463" i="5" s="1"/>
  <c r="B464" i="5"/>
  <c r="A464" i="5" s="1"/>
  <c r="B465" i="5"/>
  <c r="A465" i="5" s="1"/>
  <c r="B466" i="5"/>
  <c r="A466" i="5" s="1"/>
  <c r="B467" i="5"/>
  <c r="A467" i="5" s="1"/>
  <c r="B468" i="5"/>
  <c r="A468" i="5" s="1"/>
  <c r="B469" i="5"/>
  <c r="A469" i="5" s="1"/>
  <c r="B470" i="5"/>
  <c r="A470" i="5" s="1"/>
  <c r="B471" i="5"/>
  <c r="A471" i="5" s="1"/>
  <c r="B472" i="5"/>
  <c r="A472" i="5" s="1"/>
  <c r="B473" i="5"/>
  <c r="A473" i="5" s="1"/>
  <c r="B474" i="5"/>
  <c r="A474" i="5" s="1"/>
  <c r="B475" i="5"/>
  <c r="A475" i="5" s="1"/>
  <c r="B476" i="5"/>
  <c r="A476" i="5" s="1"/>
  <c r="B477" i="5"/>
  <c r="A477" i="5" s="1"/>
  <c r="B478" i="5"/>
  <c r="A478" i="5" s="1"/>
  <c r="B479" i="5"/>
  <c r="A479" i="5" s="1"/>
  <c r="B480" i="5"/>
  <c r="A480" i="5" s="1"/>
  <c r="B481" i="5"/>
  <c r="A481" i="5" s="1"/>
  <c r="B482" i="5"/>
  <c r="A482" i="5" s="1"/>
  <c r="B483" i="5"/>
  <c r="A483" i="5" s="1"/>
  <c r="B484" i="5"/>
  <c r="A484" i="5" s="1"/>
  <c r="B485" i="5"/>
  <c r="A485" i="5" s="1"/>
  <c r="B486" i="5"/>
  <c r="A486" i="5" s="1"/>
  <c r="B487" i="5"/>
  <c r="A487" i="5" s="1"/>
  <c r="B488" i="5"/>
  <c r="A488" i="5" s="1"/>
  <c r="B489" i="5"/>
  <c r="A489" i="5" s="1"/>
  <c r="B490" i="5"/>
  <c r="A490" i="5" s="1"/>
  <c r="B491" i="5"/>
  <c r="A491" i="5" s="1"/>
  <c r="B492" i="5"/>
  <c r="A492" i="5" s="1"/>
  <c r="B493" i="5"/>
  <c r="A493" i="5" s="1"/>
  <c r="B494" i="5"/>
  <c r="A494" i="5" s="1"/>
  <c r="B495" i="5"/>
  <c r="A495" i="5" s="1"/>
  <c r="B496" i="5"/>
  <c r="A496" i="5" s="1"/>
  <c r="B497" i="5"/>
  <c r="A497" i="5" s="1"/>
  <c r="B498" i="5"/>
  <c r="A498" i="5" s="1"/>
  <c r="B499" i="5"/>
  <c r="A499" i="5" s="1"/>
  <c r="B500" i="5"/>
  <c r="A500" i="5" s="1"/>
  <c r="B501" i="5"/>
  <c r="A501" i="5" s="1"/>
  <c r="B502" i="5"/>
  <c r="A502" i="5" s="1"/>
  <c r="B503" i="5"/>
  <c r="A503" i="5" s="1"/>
  <c r="B504" i="5"/>
  <c r="A504" i="5" s="1"/>
  <c r="B505" i="5"/>
  <c r="A505" i="5" s="1"/>
  <c r="B506" i="5"/>
  <c r="A506" i="5" s="1"/>
  <c r="B507" i="5"/>
  <c r="A507" i="5" s="1"/>
  <c r="B508" i="5"/>
  <c r="A508" i="5" s="1"/>
  <c r="B509" i="5"/>
  <c r="A509" i="5" s="1"/>
  <c r="B510" i="5"/>
  <c r="A510" i="5" s="1"/>
  <c r="B511" i="5"/>
  <c r="A511" i="5" s="1"/>
  <c r="B512" i="5"/>
  <c r="A512" i="5" s="1"/>
  <c r="B513" i="5"/>
  <c r="A513" i="5" s="1"/>
  <c r="B514" i="5"/>
  <c r="A514" i="5" s="1"/>
  <c r="B515" i="5"/>
  <c r="A515" i="5" s="1"/>
  <c r="B516" i="5"/>
  <c r="A516" i="5" s="1"/>
  <c r="B517" i="5"/>
  <c r="A517" i="5" s="1"/>
  <c r="B518" i="5"/>
  <c r="A518" i="5" s="1"/>
  <c r="B519" i="5"/>
  <c r="A519" i="5" s="1"/>
  <c r="B520" i="5"/>
  <c r="A520" i="5" s="1"/>
  <c r="B521" i="5"/>
  <c r="A521" i="5" s="1"/>
  <c r="B522" i="5"/>
  <c r="A522" i="5" s="1"/>
  <c r="B523" i="5"/>
  <c r="A523" i="5" s="1"/>
  <c r="B524" i="5"/>
  <c r="A524" i="5" s="1"/>
  <c r="B525" i="5"/>
  <c r="A525" i="5" s="1"/>
  <c r="B526" i="5"/>
  <c r="A526" i="5" s="1"/>
  <c r="B527" i="5"/>
  <c r="A527" i="5" s="1"/>
  <c r="B528" i="5"/>
  <c r="A528" i="5" s="1"/>
  <c r="B529" i="5"/>
  <c r="A529" i="5" s="1"/>
  <c r="B530" i="5"/>
  <c r="A530" i="5" s="1"/>
  <c r="B531" i="5"/>
  <c r="A531" i="5" s="1"/>
  <c r="B532" i="5"/>
  <c r="A532" i="5" s="1"/>
  <c r="B533" i="5"/>
  <c r="A533" i="5" s="1"/>
  <c r="B534" i="5"/>
  <c r="A534" i="5" s="1"/>
  <c r="B535" i="5"/>
  <c r="A535" i="5" s="1"/>
  <c r="B536" i="5"/>
  <c r="A536" i="5" s="1"/>
  <c r="B537" i="5"/>
  <c r="A537" i="5" s="1"/>
  <c r="B538" i="5"/>
  <c r="A538" i="5" s="1"/>
  <c r="B539" i="5"/>
  <c r="A539" i="5" s="1"/>
  <c r="B540" i="5"/>
  <c r="A540" i="5" s="1"/>
  <c r="B541" i="5"/>
  <c r="A541" i="5" s="1"/>
  <c r="B542" i="5"/>
  <c r="A542" i="5" s="1"/>
  <c r="B543" i="5"/>
  <c r="A543" i="5" s="1"/>
  <c r="B544" i="5"/>
  <c r="A544" i="5" s="1"/>
  <c r="B545" i="5"/>
  <c r="A545" i="5" s="1"/>
  <c r="B546" i="5"/>
  <c r="A546" i="5" s="1"/>
  <c r="B547" i="5"/>
  <c r="A547" i="5" s="1"/>
  <c r="B548" i="5"/>
  <c r="A548" i="5" s="1"/>
  <c r="B549" i="5"/>
  <c r="A549" i="5" s="1"/>
  <c r="B550" i="5"/>
  <c r="A550" i="5" s="1"/>
  <c r="B551" i="5"/>
  <c r="A551" i="5" s="1"/>
  <c r="B552" i="5"/>
  <c r="A552" i="5" s="1"/>
  <c r="B553" i="5"/>
  <c r="A553" i="5" s="1"/>
  <c r="B554" i="5"/>
  <c r="A554" i="5" s="1"/>
  <c r="B555" i="5"/>
  <c r="A555" i="5" s="1"/>
  <c r="B556" i="5"/>
  <c r="A556" i="5" s="1"/>
  <c r="B557" i="5"/>
  <c r="A557" i="5" s="1"/>
  <c r="B558" i="5"/>
  <c r="A558" i="5" s="1"/>
  <c r="B559" i="5"/>
  <c r="A559" i="5" s="1"/>
  <c r="B560" i="5"/>
  <c r="A560" i="5" s="1"/>
  <c r="B561" i="5"/>
  <c r="A561" i="5" s="1"/>
  <c r="B562" i="5"/>
  <c r="A562" i="5" s="1"/>
  <c r="B563" i="5"/>
  <c r="A563" i="5" s="1"/>
  <c r="B564" i="5"/>
  <c r="A564" i="5" s="1"/>
  <c r="B565" i="5"/>
  <c r="A565" i="5" s="1"/>
  <c r="B566" i="5"/>
  <c r="A566" i="5" s="1"/>
  <c r="B567" i="5"/>
  <c r="A567" i="5" s="1"/>
  <c r="B568" i="5"/>
  <c r="A568" i="5" s="1"/>
  <c r="B569" i="5"/>
  <c r="A569" i="5" s="1"/>
  <c r="B570" i="5"/>
  <c r="A570" i="5" s="1"/>
  <c r="B571" i="5"/>
  <c r="A571" i="5" s="1"/>
  <c r="B572" i="5"/>
  <c r="A572" i="5" s="1"/>
  <c r="B573" i="5"/>
  <c r="A573" i="5" s="1"/>
  <c r="B574" i="5"/>
  <c r="A574" i="5" s="1"/>
  <c r="B575" i="5"/>
  <c r="A575" i="5" s="1"/>
  <c r="B576" i="5"/>
  <c r="A576" i="5" s="1"/>
  <c r="B577" i="5"/>
  <c r="A577" i="5" s="1"/>
  <c r="B578" i="5"/>
  <c r="A578" i="5" s="1"/>
  <c r="B579" i="5"/>
  <c r="A579" i="5" s="1"/>
  <c r="B580" i="5"/>
  <c r="A580" i="5" s="1"/>
  <c r="B581" i="5"/>
  <c r="A581" i="5" s="1"/>
  <c r="B582" i="5"/>
  <c r="A582" i="5" s="1"/>
  <c r="B583" i="5"/>
  <c r="A583" i="5" s="1"/>
  <c r="B584" i="5"/>
  <c r="A584" i="5" s="1"/>
  <c r="B585" i="5"/>
  <c r="A585" i="5" s="1"/>
  <c r="B586" i="5"/>
  <c r="A586" i="5" s="1"/>
  <c r="B587" i="5"/>
  <c r="A587" i="5" s="1"/>
  <c r="B588" i="5"/>
  <c r="A588" i="5" s="1"/>
  <c r="B589" i="5"/>
  <c r="A589" i="5" s="1"/>
  <c r="B590" i="5"/>
  <c r="A590" i="5" s="1"/>
  <c r="B591" i="5"/>
  <c r="A591" i="5" s="1"/>
  <c r="B592" i="5"/>
  <c r="A592" i="5" s="1"/>
  <c r="B593" i="5"/>
  <c r="A593" i="5" s="1"/>
  <c r="B594" i="5"/>
  <c r="A594" i="5" s="1"/>
  <c r="B595" i="5"/>
  <c r="A595" i="5" s="1"/>
  <c r="B596" i="5"/>
  <c r="A596" i="5" s="1"/>
  <c r="B597" i="5"/>
  <c r="A597" i="5" s="1"/>
  <c r="B598" i="5"/>
  <c r="A598" i="5" s="1"/>
  <c r="B599" i="5"/>
  <c r="A599" i="5" s="1"/>
  <c r="B600" i="5"/>
  <c r="A600" i="5" s="1"/>
  <c r="B601" i="5"/>
  <c r="A601" i="5" s="1"/>
  <c r="B602" i="5"/>
  <c r="A602" i="5" s="1"/>
  <c r="B603" i="5"/>
  <c r="A603" i="5" s="1"/>
  <c r="B604" i="5"/>
  <c r="A604" i="5" s="1"/>
  <c r="B605" i="5"/>
  <c r="A605" i="5" s="1"/>
  <c r="B606" i="5"/>
  <c r="A606" i="5" s="1"/>
  <c r="B607" i="5"/>
  <c r="A607" i="5" s="1"/>
  <c r="B608" i="5"/>
  <c r="A608" i="5" s="1"/>
  <c r="B609" i="5"/>
  <c r="A609" i="5" s="1"/>
  <c r="B610" i="5"/>
  <c r="A610" i="5" s="1"/>
  <c r="B611" i="5"/>
  <c r="A611" i="5" s="1"/>
  <c r="B612" i="5"/>
  <c r="A612" i="5" s="1"/>
  <c r="B613" i="5"/>
  <c r="A613" i="5" s="1"/>
  <c r="B614" i="5"/>
  <c r="A614" i="5" s="1"/>
  <c r="B615" i="5"/>
  <c r="A615" i="5" s="1"/>
  <c r="B616" i="5"/>
  <c r="A616" i="5" s="1"/>
  <c r="B617" i="5"/>
  <c r="A617" i="5" s="1"/>
  <c r="B618" i="5"/>
  <c r="A618" i="5" s="1"/>
  <c r="B619" i="5"/>
  <c r="A619" i="5" s="1"/>
  <c r="B620" i="5"/>
  <c r="A620" i="5" s="1"/>
  <c r="B621" i="5"/>
  <c r="A621" i="5" s="1"/>
  <c r="B622" i="5"/>
  <c r="A622" i="5" s="1"/>
  <c r="B623" i="5"/>
  <c r="A623" i="5" s="1"/>
  <c r="B624" i="5"/>
  <c r="A624" i="5" s="1"/>
  <c r="B625" i="5"/>
  <c r="A625" i="5" s="1"/>
  <c r="B626" i="5"/>
  <c r="B627" i="5"/>
  <c r="B628" i="5"/>
  <c r="B629" i="5"/>
  <c r="A629" i="5" s="1"/>
  <c r="B630" i="5"/>
  <c r="A630" i="5" s="1"/>
  <c r="B631" i="5"/>
  <c r="A631" i="5" s="1"/>
  <c r="B632" i="5"/>
  <c r="B633" i="5"/>
  <c r="A633" i="5" s="1"/>
  <c r="B634" i="5"/>
  <c r="A634" i="5" s="1"/>
  <c r="B635" i="5"/>
  <c r="A635" i="5" s="1"/>
  <c r="B636" i="5"/>
  <c r="A636" i="5" s="1"/>
  <c r="B637" i="5"/>
  <c r="A637" i="5" s="1"/>
  <c r="B638" i="5"/>
  <c r="A638" i="5" s="1"/>
  <c r="B639" i="5"/>
  <c r="B640" i="5"/>
  <c r="A640" i="5" s="1"/>
  <c r="B641" i="5"/>
  <c r="A641" i="5" s="1"/>
  <c r="B642" i="5"/>
  <c r="A642" i="5" s="1"/>
  <c r="B643" i="5"/>
  <c r="A643" i="5" s="1"/>
  <c r="B644" i="5"/>
  <c r="B645" i="5"/>
  <c r="B646" i="5"/>
  <c r="A646" i="5" s="1"/>
  <c r="B647" i="5"/>
  <c r="A647" i="5" s="1"/>
  <c r="B648" i="5"/>
  <c r="B649" i="5"/>
  <c r="A649" i="5" s="1"/>
  <c r="B650" i="5"/>
  <c r="A650" i="5" s="1"/>
  <c r="B651" i="5"/>
  <c r="A651" i="5" s="1"/>
  <c r="B652" i="5"/>
  <c r="A652" i="5" s="1"/>
  <c r="B653" i="5"/>
  <c r="A653" i="5" s="1"/>
  <c r="B654" i="5"/>
  <c r="A654" i="5" s="1"/>
  <c r="B655" i="5"/>
  <c r="A655" i="5" s="1"/>
  <c r="B656" i="5"/>
  <c r="A656" i="5" s="1"/>
  <c r="B657" i="5"/>
  <c r="A657" i="5" s="1"/>
  <c r="B658" i="5"/>
  <c r="A658" i="5" s="1"/>
  <c r="B659" i="5"/>
  <c r="A659" i="5" s="1"/>
  <c r="B660" i="5"/>
  <c r="A660" i="5" s="1"/>
  <c r="B661" i="5"/>
  <c r="A661" i="5" s="1"/>
  <c r="B662" i="5"/>
  <c r="A662" i="5" s="1"/>
  <c r="B663" i="5"/>
  <c r="A663" i="5" s="1"/>
  <c r="B664" i="5"/>
  <c r="A664" i="5" s="1"/>
  <c r="B665" i="5"/>
  <c r="A665" i="5" s="1"/>
  <c r="B666" i="5"/>
  <c r="A666" i="5" s="1"/>
  <c r="B667" i="5"/>
  <c r="A667" i="5" s="1"/>
  <c r="B668" i="5"/>
  <c r="B669" i="5"/>
  <c r="A669" i="5" s="1"/>
  <c r="B670" i="5"/>
  <c r="A670" i="5" s="1"/>
  <c r="B671" i="5"/>
  <c r="A671" i="5" s="1"/>
  <c r="B672" i="5"/>
  <c r="A672" i="5" s="1"/>
  <c r="B673" i="5"/>
  <c r="A673" i="5" s="1"/>
  <c r="B674" i="5"/>
  <c r="A674" i="5" s="1"/>
  <c r="B675" i="5"/>
  <c r="A675" i="5" s="1"/>
  <c r="B676" i="5"/>
  <c r="A676" i="5" s="1"/>
  <c r="B677" i="5"/>
  <c r="A677" i="5" s="1"/>
  <c r="B678" i="5"/>
  <c r="A678" i="5" s="1"/>
  <c r="B679" i="5"/>
  <c r="A679" i="5" s="1"/>
  <c r="B680" i="5"/>
  <c r="A680" i="5" s="1"/>
  <c r="B681" i="5"/>
  <c r="A681" i="5" s="1"/>
  <c r="B682" i="5"/>
  <c r="A682" i="5" s="1"/>
  <c r="B683" i="5"/>
  <c r="A683" i="5" s="1"/>
  <c r="B684" i="5"/>
  <c r="A684" i="5" s="1"/>
  <c r="B685" i="5"/>
  <c r="A685" i="5" s="1"/>
  <c r="B686" i="5"/>
  <c r="A686" i="5" s="1"/>
  <c r="B687" i="5"/>
  <c r="A687" i="5" s="1"/>
  <c r="B688" i="5"/>
  <c r="A688" i="5" s="1"/>
  <c r="B689" i="5"/>
  <c r="A689" i="5" s="1"/>
  <c r="B690" i="5"/>
  <c r="A690" i="5" s="1"/>
  <c r="B691" i="5"/>
  <c r="A691" i="5" s="1"/>
  <c r="B692" i="5"/>
  <c r="A692" i="5" s="1"/>
  <c r="B693" i="5"/>
  <c r="A693" i="5" s="1"/>
  <c r="B694" i="5"/>
  <c r="A694" i="5" s="1"/>
  <c r="B695" i="5"/>
  <c r="A695" i="5" s="1"/>
  <c r="B696" i="5"/>
  <c r="A696" i="5" s="1"/>
  <c r="B697" i="5"/>
  <c r="A697" i="5" s="1"/>
  <c r="B698" i="5"/>
  <c r="A698" i="5" s="1"/>
  <c r="B699" i="5"/>
  <c r="A699" i="5" s="1"/>
  <c r="B700" i="5"/>
  <c r="A700" i="5" s="1"/>
  <c r="B701" i="5"/>
  <c r="A701" i="5" s="1"/>
  <c r="B702" i="5"/>
  <c r="A702" i="5" s="1"/>
  <c r="B703" i="5"/>
  <c r="A703" i="5" s="1"/>
  <c r="B704" i="5"/>
  <c r="A704" i="5" s="1"/>
  <c r="B705" i="5"/>
  <c r="A705" i="5" s="1"/>
  <c r="B706" i="5"/>
  <c r="A706" i="5" s="1"/>
  <c r="B707" i="5"/>
  <c r="A707" i="5" s="1"/>
  <c r="B708" i="5"/>
  <c r="A708" i="5" s="1"/>
  <c r="B709" i="5"/>
  <c r="A709" i="5" s="1"/>
  <c r="B710" i="5"/>
  <c r="A710" i="5" s="1"/>
  <c r="B711" i="5"/>
  <c r="A711" i="5" s="1"/>
  <c r="B712" i="5"/>
  <c r="A712" i="5" s="1"/>
  <c r="B713" i="5"/>
  <c r="A713" i="5" s="1"/>
  <c r="B714" i="5"/>
  <c r="A714" i="5" s="1"/>
  <c r="M59" i="5"/>
  <c r="N59" i="5"/>
  <c r="M60" i="5"/>
  <c r="N60" i="5"/>
  <c r="M61" i="5"/>
  <c r="N61" i="5"/>
  <c r="M62" i="5"/>
  <c r="N62" i="5"/>
  <c r="M63" i="5"/>
  <c r="N63" i="5"/>
  <c r="M64" i="5"/>
  <c r="N64" i="5"/>
  <c r="M65" i="5"/>
  <c r="N65" i="5"/>
  <c r="M66" i="5"/>
  <c r="N66" i="5"/>
  <c r="M67" i="5"/>
  <c r="N67" i="5"/>
  <c r="M68" i="5"/>
  <c r="N68" i="5"/>
  <c r="M69" i="5"/>
  <c r="N69" i="5"/>
  <c r="M70" i="5"/>
  <c r="N70" i="5"/>
  <c r="M71" i="5"/>
  <c r="N71" i="5"/>
  <c r="M72" i="5"/>
  <c r="N72" i="5"/>
  <c r="M73" i="5"/>
  <c r="N73" i="5"/>
  <c r="M74" i="5"/>
  <c r="N74" i="5"/>
  <c r="M75" i="5"/>
  <c r="N75" i="5"/>
  <c r="M76" i="5"/>
  <c r="N76" i="5"/>
  <c r="M77" i="5"/>
  <c r="N77" i="5"/>
  <c r="M78" i="5"/>
  <c r="N78" i="5"/>
  <c r="M79" i="5"/>
  <c r="N79" i="5"/>
  <c r="M80" i="5"/>
  <c r="N80" i="5"/>
  <c r="M81" i="5"/>
  <c r="N81" i="5"/>
  <c r="M82" i="5"/>
  <c r="N82" i="5"/>
  <c r="M83" i="5"/>
  <c r="N83" i="5"/>
  <c r="M84" i="5"/>
  <c r="N84" i="5"/>
  <c r="M85" i="5"/>
  <c r="N85" i="5"/>
  <c r="M86" i="5"/>
  <c r="N86" i="5"/>
  <c r="M87" i="5"/>
  <c r="N87" i="5"/>
  <c r="M88" i="5"/>
  <c r="N88" i="5"/>
  <c r="M89" i="5"/>
  <c r="N89" i="5"/>
  <c r="M90" i="5"/>
  <c r="N90" i="5"/>
  <c r="M91" i="5"/>
  <c r="N91" i="5"/>
  <c r="M92" i="5"/>
  <c r="N92" i="5"/>
  <c r="M93" i="5"/>
  <c r="N93" i="5"/>
  <c r="M94" i="5"/>
  <c r="N94" i="5"/>
  <c r="M95" i="5"/>
  <c r="N95" i="5"/>
  <c r="M96" i="5"/>
  <c r="N96" i="5"/>
  <c r="M97" i="5"/>
  <c r="N97" i="5"/>
  <c r="M98" i="5"/>
  <c r="N98" i="5"/>
  <c r="M99" i="5"/>
  <c r="N99" i="5"/>
  <c r="M100" i="5"/>
  <c r="N100" i="5"/>
  <c r="M101" i="5"/>
  <c r="N101" i="5"/>
  <c r="M102" i="5"/>
  <c r="N102" i="5"/>
  <c r="M103" i="5"/>
  <c r="N103" i="5"/>
  <c r="M104" i="5"/>
  <c r="N104" i="5"/>
  <c r="M105" i="5"/>
  <c r="N105" i="5"/>
  <c r="M106" i="5"/>
  <c r="N106" i="5"/>
  <c r="M107" i="5"/>
  <c r="N107" i="5"/>
  <c r="M108" i="5"/>
  <c r="N108" i="5"/>
  <c r="M109" i="5"/>
  <c r="N109" i="5"/>
  <c r="M110" i="5"/>
  <c r="N110" i="5"/>
  <c r="M111" i="5"/>
  <c r="N111" i="5"/>
  <c r="M112" i="5"/>
  <c r="N112" i="5"/>
  <c r="M113" i="5"/>
  <c r="N113" i="5"/>
  <c r="M114" i="5"/>
  <c r="N114" i="5"/>
  <c r="M115" i="5"/>
  <c r="N115" i="5"/>
  <c r="M116" i="5"/>
  <c r="N116" i="5"/>
  <c r="M117" i="5"/>
  <c r="N117" i="5"/>
  <c r="M118" i="5"/>
  <c r="N118" i="5"/>
  <c r="M119" i="5"/>
  <c r="N119" i="5"/>
  <c r="M120" i="5"/>
  <c r="N120" i="5"/>
  <c r="M121" i="5"/>
  <c r="N121" i="5"/>
  <c r="M122" i="5"/>
  <c r="N122" i="5"/>
  <c r="M123" i="5"/>
  <c r="N123" i="5"/>
  <c r="M124" i="5"/>
  <c r="N124" i="5"/>
  <c r="M125" i="5"/>
  <c r="N125" i="5"/>
  <c r="M126" i="5"/>
  <c r="N126" i="5"/>
  <c r="M127" i="5"/>
  <c r="N127" i="5"/>
  <c r="M128" i="5"/>
  <c r="N128" i="5"/>
  <c r="M129" i="5"/>
  <c r="N129" i="5"/>
  <c r="M130" i="5"/>
  <c r="N130" i="5"/>
  <c r="M131" i="5"/>
  <c r="N131" i="5"/>
  <c r="M132" i="5"/>
  <c r="N132" i="5"/>
  <c r="M134" i="5"/>
  <c r="N134" i="5"/>
  <c r="M135" i="5"/>
  <c r="N135" i="5"/>
  <c r="M136" i="5"/>
  <c r="N136" i="5"/>
  <c r="M137" i="5"/>
  <c r="N137" i="5"/>
  <c r="M138" i="5"/>
  <c r="N138" i="5"/>
  <c r="M139" i="5"/>
  <c r="N139" i="5"/>
  <c r="M140" i="5"/>
  <c r="N140" i="5"/>
  <c r="M141" i="5"/>
  <c r="N141" i="5"/>
  <c r="M142" i="5"/>
  <c r="N142" i="5"/>
  <c r="M143" i="5"/>
  <c r="N143" i="5"/>
  <c r="M144" i="5"/>
  <c r="N144" i="5"/>
  <c r="M145" i="5"/>
  <c r="N145" i="5"/>
  <c r="M146" i="5"/>
  <c r="N146" i="5"/>
  <c r="M147" i="5"/>
  <c r="N147" i="5"/>
  <c r="M148" i="5"/>
  <c r="N148" i="5"/>
  <c r="M149" i="5"/>
  <c r="N149" i="5"/>
  <c r="M150" i="5"/>
  <c r="N150" i="5"/>
  <c r="M151" i="5"/>
  <c r="N151" i="5"/>
  <c r="M152" i="5"/>
  <c r="N152" i="5"/>
  <c r="M153" i="5"/>
  <c r="N153" i="5"/>
  <c r="M154" i="5"/>
  <c r="N154" i="5"/>
  <c r="M155" i="5"/>
  <c r="N155" i="5"/>
  <c r="M156" i="5"/>
  <c r="N156" i="5"/>
  <c r="M157" i="5"/>
  <c r="N157" i="5"/>
  <c r="M158" i="5"/>
  <c r="N158" i="5"/>
  <c r="M159" i="5"/>
  <c r="N159" i="5"/>
  <c r="M160" i="5"/>
  <c r="N160" i="5"/>
  <c r="M161" i="5"/>
  <c r="N161" i="5"/>
  <c r="M162" i="5"/>
  <c r="N162" i="5"/>
  <c r="M163" i="5"/>
  <c r="N163" i="5"/>
  <c r="M164" i="5"/>
  <c r="N164" i="5"/>
  <c r="M165" i="5"/>
  <c r="N165" i="5"/>
  <c r="M166" i="5"/>
  <c r="N166" i="5"/>
  <c r="M167" i="5"/>
  <c r="N167" i="5"/>
  <c r="M168" i="5"/>
  <c r="N168" i="5"/>
  <c r="M169" i="5"/>
  <c r="N169" i="5"/>
  <c r="M170" i="5"/>
  <c r="N170" i="5"/>
  <c r="M171" i="5"/>
  <c r="N171" i="5"/>
  <c r="M172" i="5"/>
  <c r="N172" i="5"/>
  <c r="M173" i="5"/>
  <c r="N173" i="5"/>
  <c r="M174" i="5"/>
  <c r="N174" i="5"/>
  <c r="M175" i="5"/>
  <c r="N175" i="5"/>
  <c r="M176" i="5"/>
  <c r="N176" i="5"/>
  <c r="M177" i="5"/>
  <c r="N177" i="5"/>
  <c r="M178" i="5"/>
  <c r="N178" i="5"/>
  <c r="M179" i="5"/>
  <c r="N179" i="5"/>
  <c r="M180" i="5"/>
  <c r="N180" i="5"/>
  <c r="M181" i="5"/>
  <c r="N181" i="5"/>
  <c r="M182" i="5"/>
  <c r="N182" i="5"/>
  <c r="M183" i="5"/>
  <c r="N183" i="5"/>
  <c r="M184" i="5"/>
  <c r="N184" i="5"/>
  <c r="M185" i="5"/>
  <c r="N185" i="5"/>
  <c r="M186" i="5"/>
  <c r="N186" i="5"/>
  <c r="M187" i="5"/>
  <c r="N187" i="5"/>
  <c r="M188" i="5"/>
  <c r="N188" i="5"/>
  <c r="M189" i="5"/>
  <c r="N189" i="5"/>
  <c r="M190" i="5"/>
  <c r="N190" i="5"/>
  <c r="M191" i="5"/>
  <c r="N191" i="5"/>
  <c r="M192" i="5"/>
  <c r="N192" i="5"/>
  <c r="M193" i="5"/>
  <c r="N193" i="5"/>
  <c r="M194" i="5"/>
  <c r="N194" i="5"/>
  <c r="M195" i="5"/>
  <c r="N195" i="5"/>
  <c r="M196" i="5"/>
  <c r="N196" i="5"/>
  <c r="M197" i="5"/>
  <c r="N197" i="5"/>
  <c r="M198" i="5"/>
  <c r="N198" i="5"/>
  <c r="M199" i="5"/>
  <c r="N199" i="5"/>
  <c r="M200" i="5"/>
  <c r="N200" i="5"/>
  <c r="M201" i="5"/>
  <c r="N201" i="5"/>
  <c r="M202" i="5"/>
  <c r="N202" i="5"/>
  <c r="M203" i="5"/>
  <c r="N203" i="5"/>
  <c r="M204" i="5"/>
  <c r="N204" i="5"/>
  <c r="M205" i="5"/>
  <c r="N205" i="5"/>
  <c r="M206" i="5"/>
  <c r="N206" i="5"/>
  <c r="M207" i="5"/>
  <c r="N207" i="5"/>
  <c r="M208" i="5"/>
  <c r="N208" i="5"/>
  <c r="M209" i="5"/>
  <c r="N209" i="5"/>
  <c r="M210" i="5"/>
  <c r="N210" i="5"/>
  <c r="M211" i="5"/>
  <c r="N211" i="5"/>
  <c r="M212" i="5"/>
  <c r="N212" i="5"/>
  <c r="M213" i="5"/>
  <c r="N213" i="5"/>
  <c r="M214" i="5"/>
  <c r="N214" i="5"/>
  <c r="M215" i="5"/>
  <c r="N215" i="5"/>
  <c r="M216" i="5"/>
  <c r="N216" i="5"/>
  <c r="M217" i="5"/>
  <c r="N217" i="5"/>
  <c r="M218" i="5"/>
  <c r="N218" i="5"/>
  <c r="M219" i="5"/>
  <c r="N219" i="5"/>
  <c r="M220" i="5"/>
  <c r="N220" i="5"/>
  <c r="M221" i="5"/>
  <c r="N221" i="5"/>
  <c r="M222" i="5"/>
  <c r="N222" i="5"/>
  <c r="M223" i="5"/>
  <c r="N223" i="5"/>
  <c r="M224" i="5"/>
  <c r="N224" i="5"/>
  <c r="M225" i="5"/>
  <c r="N225" i="5"/>
  <c r="M226" i="5"/>
  <c r="N226" i="5"/>
  <c r="M227" i="5"/>
  <c r="N227" i="5"/>
  <c r="M228" i="5"/>
  <c r="N228" i="5"/>
  <c r="M229" i="5"/>
  <c r="N229" i="5"/>
  <c r="M230" i="5"/>
  <c r="N230" i="5"/>
  <c r="M231" i="5"/>
  <c r="N231" i="5"/>
  <c r="M232" i="5"/>
  <c r="N232" i="5"/>
  <c r="M233" i="5"/>
  <c r="N233" i="5"/>
  <c r="M234" i="5"/>
  <c r="N234" i="5"/>
  <c r="M235" i="5"/>
  <c r="N235" i="5"/>
  <c r="M236" i="5"/>
  <c r="N236" i="5"/>
  <c r="M237" i="5"/>
  <c r="N237" i="5"/>
  <c r="M238" i="5"/>
  <c r="N238" i="5"/>
  <c r="M239" i="5"/>
  <c r="N239" i="5"/>
  <c r="M240" i="5"/>
  <c r="N240" i="5"/>
  <c r="M241" i="5"/>
  <c r="N241" i="5"/>
  <c r="M242" i="5"/>
  <c r="N242" i="5"/>
  <c r="M243" i="5"/>
  <c r="N243" i="5"/>
  <c r="M244" i="5"/>
  <c r="N244" i="5"/>
  <c r="M245" i="5"/>
  <c r="N245" i="5"/>
  <c r="M246" i="5"/>
  <c r="N246" i="5"/>
  <c r="M247" i="5"/>
  <c r="N247" i="5"/>
  <c r="M248" i="5"/>
  <c r="N248" i="5"/>
  <c r="M249" i="5"/>
  <c r="N249" i="5"/>
  <c r="M250" i="5"/>
  <c r="N250" i="5"/>
  <c r="M251" i="5"/>
  <c r="N251" i="5"/>
  <c r="M252" i="5"/>
  <c r="N252" i="5"/>
  <c r="M253" i="5"/>
  <c r="N253" i="5"/>
  <c r="M254" i="5"/>
  <c r="N254" i="5"/>
  <c r="M255" i="5"/>
  <c r="N255" i="5"/>
  <c r="M256" i="5"/>
  <c r="N256" i="5"/>
  <c r="M257" i="5"/>
  <c r="N257" i="5"/>
  <c r="M258" i="5"/>
  <c r="N258" i="5"/>
  <c r="M259" i="5"/>
  <c r="N259" i="5"/>
  <c r="M260" i="5"/>
  <c r="N260" i="5"/>
  <c r="M261" i="5"/>
  <c r="N261" i="5"/>
  <c r="M262" i="5"/>
  <c r="N262" i="5"/>
  <c r="M263" i="5"/>
  <c r="N263" i="5"/>
  <c r="M264" i="5"/>
  <c r="N264" i="5"/>
  <c r="M265" i="5"/>
  <c r="N265" i="5"/>
  <c r="M266" i="5"/>
  <c r="N266" i="5"/>
  <c r="M267" i="5"/>
  <c r="N267" i="5"/>
  <c r="M268" i="5"/>
  <c r="N268" i="5"/>
  <c r="M269" i="5"/>
  <c r="N269" i="5"/>
  <c r="M270" i="5"/>
  <c r="N270" i="5"/>
  <c r="M271" i="5"/>
  <c r="N271" i="5"/>
  <c r="M272" i="5"/>
  <c r="N272" i="5"/>
  <c r="M273" i="5"/>
  <c r="N273" i="5"/>
  <c r="M274" i="5"/>
  <c r="N274" i="5"/>
  <c r="M275" i="5"/>
  <c r="N275" i="5"/>
  <c r="M276" i="5"/>
  <c r="N276" i="5"/>
  <c r="M277" i="5"/>
  <c r="N277" i="5"/>
  <c r="M278" i="5"/>
  <c r="N278" i="5"/>
  <c r="M279" i="5"/>
  <c r="N279" i="5"/>
  <c r="M280" i="5"/>
  <c r="N280" i="5"/>
  <c r="M281" i="5"/>
  <c r="N281" i="5"/>
  <c r="M282" i="5"/>
  <c r="N282" i="5"/>
  <c r="M285" i="5"/>
  <c r="N285" i="5"/>
  <c r="M286" i="5"/>
  <c r="N286" i="5"/>
  <c r="M287" i="5"/>
  <c r="N287" i="5"/>
  <c r="M288" i="5"/>
  <c r="N288" i="5"/>
  <c r="M289" i="5"/>
  <c r="N289" i="5"/>
  <c r="M290" i="5"/>
  <c r="N290" i="5"/>
  <c r="M291" i="5"/>
  <c r="N291" i="5"/>
  <c r="M292" i="5"/>
  <c r="N292" i="5"/>
  <c r="M293" i="5"/>
  <c r="N293" i="5"/>
  <c r="M294" i="5"/>
  <c r="N294" i="5"/>
  <c r="M295" i="5"/>
  <c r="N295" i="5"/>
  <c r="M296" i="5"/>
  <c r="N296" i="5"/>
  <c r="M297" i="5"/>
  <c r="N297" i="5"/>
  <c r="M298" i="5"/>
  <c r="N298" i="5"/>
  <c r="M299" i="5"/>
  <c r="N299" i="5"/>
  <c r="M300" i="5"/>
  <c r="N300" i="5"/>
  <c r="M301" i="5"/>
  <c r="N301" i="5"/>
  <c r="M302" i="5"/>
  <c r="N302" i="5"/>
  <c r="M303" i="5"/>
  <c r="N303" i="5"/>
  <c r="M304" i="5"/>
  <c r="N304" i="5"/>
  <c r="M305" i="5"/>
  <c r="N305" i="5"/>
  <c r="M306" i="5"/>
  <c r="N306" i="5"/>
  <c r="M307" i="5"/>
  <c r="N307" i="5"/>
  <c r="M308" i="5"/>
  <c r="N308" i="5"/>
  <c r="M309" i="5"/>
  <c r="N309" i="5"/>
  <c r="M310" i="5"/>
  <c r="N310" i="5"/>
  <c r="M311" i="5"/>
  <c r="N311" i="5"/>
  <c r="M312" i="5"/>
  <c r="N312" i="5"/>
  <c r="M313" i="5"/>
  <c r="N313" i="5"/>
  <c r="M314" i="5"/>
  <c r="N314" i="5"/>
  <c r="M315" i="5"/>
  <c r="N315" i="5"/>
  <c r="M316" i="5"/>
  <c r="N316" i="5"/>
  <c r="M317" i="5"/>
  <c r="N317" i="5"/>
  <c r="M318" i="5"/>
  <c r="N318" i="5"/>
  <c r="M319" i="5"/>
  <c r="N319" i="5"/>
  <c r="M320" i="5"/>
  <c r="N320" i="5"/>
  <c r="M321" i="5"/>
  <c r="N321" i="5"/>
  <c r="M322" i="5"/>
  <c r="N322" i="5"/>
  <c r="M323" i="5"/>
  <c r="N323" i="5"/>
  <c r="M324" i="5"/>
  <c r="N324" i="5"/>
  <c r="M325" i="5"/>
  <c r="N325" i="5"/>
  <c r="M326" i="5"/>
  <c r="N326" i="5"/>
  <c r="M327" i="5"/>
  <c r="N327" i="5"/>
  <c r="M328" i="5"/>
  <c r="N328" i="5"/>
  <c r="M329" i="5"/>
  <c r="N329" i="5"/>
  <c r="M330" i="5"/>
  <c r="N330" i="5"/>
  <c r="M331" i="5"/>
  <c r="N331" i="5"/>
  <c r="M332" i="5"/>
  <c r="N332" i="5"/>
  <c r="M333" i="5"/>
  <c r="N333" i="5"/>
  <c r="M334" i="5"/>
  <c r="N334" i="5"/>
  <c r="M335" i="5"/>
  <c r="N335" i="5"/>
  <c r="M336" i="5"/>
  <c r="N336" i="5"/>
  <c r="M337" i="5"/>
  <c r="N337" i="5"/>
  <c r="M338" i="5"/>
  <c r="N338" i="5"/>
  <c r="M339" i="5"/>
  <c r="N339" i="5"/>
  <c r="M340" i="5"/>
  <c r="N340" i="5"/>
  <c r="M341" i="5"/>
  <c r="N341" i="5"/>
  <c r="M342" i="5"/>
  <c r="N342" i="5"/>
  <c r="M343" i="5"/>
  <c r="N343" i="5"/>
  <c r="M344" i="5"/>
  <c r="N344" i="5"/>
  <c r="M345" i="5"/>
  <c r="N345" i="5"/>
  <c r="M346" i="5"/>
  <c r="N346" i="5"/>
  <c r="M347" i="5"/>
  <c r="N347" i="5"/>
  <c r="M348" i="5"/>
  <c r="N348" i="5"/>
  <c r="M349" i="5"/>
  <c r="N349" i="5"/>
  <c r="M350" i="5"/>
  <c r="N350" i="5"/>
  <c r="M351" i="5"/>
  <c r="N351" i="5"/>
  <c r="M352" i="5"/>
  <c r="N352" i="5"/>
  <c r="M353" i="5"/>
  <c r="N353" i="5"/>
  <c r="M354" i="5"/>
  <c r="N354" i="5"/>
  <c r="M355" i="5"/>
  <c r="N355" i="5"/>
  <c r="M356" i="5"/>
  <c r="N356" i="5"/>
  <c r="M357" i="5"/>
  <c r="N357" i="5"/>
  <c r="M358" i="5"/>
  <c r="N358" i="5"/>
  <c r="M359" i="5"/>
  <c r="N359" i="5"/>
  <c r="M360" i="5"/>
  <c r="N360" i="5"/>
  <c r="M361" i="5"/>
  <c r="N361" i="5"/>
  <c r="M362" i="5"/>
  <c r="N362" i="5"/>
  <c r="M363" i="5"/>
  <c r="N363" i="5"/>
  <c r="M364" i="5"/>
  <c r="N364" i="5"/>
  <c r="M365" i="5"/>
  <c r="N365" i="5"/>
  <c r="M366" i="5"/>
  <c r="N366" i="5"/>
  <c r="M367" i="5"/>
  <c r="N367" i="5"/>
  <c r="M368" i="5"/>
  <c r="N368" i="5"/>
  <c r="M369" i="5"/>
  <c r="N369" i="5"/>
  <c r="M370" i="5"/>
  <c r="N370" i="5"/>
  <c r="M371" i="5"/>
  <c r="N371" i="5"/>
  <c r="M372" i="5"/>
  <c r="N372" i="5"/>
  <c r="M373" i="5"/>
  <c r="N373" i="5"/>
  <c r="M374" i="5"/>
  <c r="N374" i="5"/>
  <c r="M375" i="5"/>
  <c r="N375" i="5"/>
  <c r="M376" i="5"/>
  <c r="N376" i="5"/>
  <c r="M377" i="5"/>
  <c r="N377" i="5"/>
  <c r="M378" i="5"/>
  <c r="N378" i="5"/>
  <c r="M379" i="5"/>
  <c r="N379" i="5"/>
  <c r="M380" i="5"/>
  <c r="N380" i="5"/>
  <c r="M381" i="5"/>
  <c r="N381" i="5"/>
  <c r="M382" i="5"/>
  <c r="N382" i="5"/>
  <c r="M383" i="5"/>
  <c r="N383" i="5"/>
  <c r="M384" i="5"/>
  <c r="N384" i="5"/>
  <c r="M385" i="5"/>
  <c r="N385" i="5"/>
  <c r="M386" i="5"/>
  <c r="N386" i="5"/>
  <c r="M387" i="5"/>
  <c r="N387" i="5"/>
  <c r="M388" i="5"/>
  <c r="N388" i="5"/>
  <c r="M389" i="5"/>
  <c r="N389" i="5"/>
  <c r="M390" i="5"/>
  <c r="N390" i="5"/>
  <c r="M391" i="5"/>
  <c r="N391" i="5"/>
  <c r="M392" i="5"/>
  <c r="N392" i="5"/>
  <c r="M393" i="5"/>
  <c r="N393" i="5"/>
  <c r="M394" i="5"/>
  <c r="N394" i="5"/>
  <c r="M395" i="5"/>
  <c r="N395" i="5"/>
  <c r="M396" i="5"/>
  <c r="N396" i="5"/>
  <c r="M397" i="5"/>
  <c r="N397" i="5"/>
  <c r="M398" i="5"/>
  <c r="N398" i="5"/>
  <c r="M399" i="5"/>
  <c r="N399" i="5"/>
  <c r="M400" i="5"/>
  <c r="N400" i="5"/>
  <c r="M401" i="5"/>
  <c r="N401" i="5"/>
  <c r="M402" i="5"/>
  <c r="N402" i="5"/>
  <c r="M403" i="5"/>
  <c r="N403" i="5"/>
  <c r="M404" i="5"/>
  <c r="N404" i="5"/>
  <c r="M405" i="5"/>
  <c r="N405" i="5"/>
  <c r="M406" i="5"/>
  <c r="N406" i="5"/>
  <c r="M407" i="5"/>
  <c r="N407" i="5"/>
  <c r="M408" i="5"/>
  <c r="N408" i="5"/>
  <c r="M409" i="5"/>
  <c r="N409" i="5"/>
  <c r="M410" i="5"/>
  <c r="N410" i="5"/>
  <c r="M411" i="5"/>
  <c r="N411" i="5"/>
  <c r="M412" i="5"/>
  <c r="N412" i="5"/>
  <c r="M413" i="5"/>
  <c r="N413" i="5"/>
  <c r="M414" i="5"/>
  <c r="N414" i="5"/>
  <c r="M415" i="5"/>
  <c r="N415" i="5"/>
  <c r="M416" i="5"/>
  <c r="N416" i="5"/>
  <c r="M417" i="5"/>
  <c r="N417" i="5"/>
  <c r="M418" i="5"/>
  <c r="N418" i="5"/>
  <c r="M419" i="5"/>
  <c r="N419" i="5"/>
  <c r="M420" i="5"/>
  <c r="N420" i="5"/>
  <c r="M421" i="5"/>
  <c r="N421" i="5"/>
  <c r="M422" i="5"/>
  <c r="N422" i="5"/>
  <c r="M423" i="5"/>
  <c r="N423" i="5"/>
  <c r="M424" i="5"/>
  <c r="N424" i="5"/>
  <c r="M425" i="5"/>
  <c r="N425" i="5"/>
  <c r="M426" i="5"/>
  <c r="N426" i="5"/>
  <c r="M427" i="5"/>
  <c r="N427" i="5"/>
  <c r="M428" i="5"/>
  <c r="N428" i="5"/>
  <c r="M429" i="5"/>
  <c r="N429" i="5"/>
  <c r="M430" i="5"/>
  <c r="N430" i="5"/>
  <c r="M431" i="5"/>
  <c r="N431" i="5"/>
  <c r="M432" i="5"/>
  <c r="N432" i="5"/>
  <c r="M433" i="5"/>
  <c r="N433" i="5"/>
  <c r="M434" i="5"/>
  <c r="N434" i="5"/>
  <c r="M435" i="5"/>
  <c r="N435" i="5"/>
  <c r="M436" i="5"/>
  <c r="N436" i="5"/>
  <c r="M437" i="5"/>
  <c r="N437" i="5"/>
  <c r="M438" i="5"/>
  <c r="N438" i="5"/>
  <c r="M439" i="5"/>
  <c r="N439" i="5"/>
  <c r="M440" i="5"/>
  <c r="N440" i="5"/>
  <c r="M441" i="5"/>
  <c r="N441" i="5"/>
  <c r="M442" i="5"/>
  <c r="N442" i="5"/>
  <c r="M443" i="5"/>
  <c r="N443" i="5"/>
  <c r="M444" i="5"/>
  <c r="N444" i="5"/>
  <c r="M445" i="5"/>
  <c r="N445" i="5"/>
  <c r="M446" i="5"/>
  <c r="N446" i="5"/>
  <c r="M447" i="5"/>
  <c r="N447" i="5"/>
  <c r="M448" i="5"/>
  <c r="N448" i="5"/>
  <c r="M449" i="5"/>
  <c r="N449" i="5"/>
  <c r="M450" i="5"/>
  <c r="N450" i="5"/>
  <c r="M451" i="5"/>
  <c r="N451" i="5"/>
  <c r="M452" i="5"/>
  <c r="N452" i="5"/>
  <c r="M453" i="5"/>
  <c r="N453" i="5"/>
  <c r="M454" i="5"/>
  <c r="N454" i="5"/>
  <c r="M455" i="5"/>
  <c r="N455" i="5"/>
  <c r="M456" i="5"/>
  <c r="N456" i="5"/>
  <c r="M457" i="5"/>
  <c r="N457" i="5"/>
  <c r="M458" i="5"/>
  <c r="N458" i="5"/>
  <c r="M459" i="5"/>
  <c r="N459" i="5"/>
  <c r="M460" i="5"/>
  <c r="N460" i="5"/>
  <c r="M461" i="5"/>
  <c r="N461" i="5"/>
  <c r="M462" i="5"/>
  <c r="N462" i="5"/>
  <c r="M463" i="5"/>
  <c r="N463" i="5"/>
  <c r="M464" i="5"/>
  <c r="N464" i="5"/>
  <c r="M465" i="5"/>
  <c r="N465" i="5"/>
  <c r="M466" i="5"/>
  <c r="N466" i="5"/>
  <c r="M467" i="5"/>
  <c r="N467" i="5"/>
  <c r="M468" i="5"/>
  <c r="N468" i="5"/>
  <c r="M469" i="5"/>
  <c r="N469" i="5"/>
  <c r="M470" i="5"/>
  <c r="N470" i="5"/>
  <c r="M471" i="5"/>
  <c r="N471" i="5"/>
  <c r="M472" i="5"/>
  <c r="N472" i="5"/>
  <c r="M473" i="5"/>
  <c r="N473" i="5"/>
  <c r="M474" i="5"/>
  <c r="N474" i="5"/>
  <c r="M475" i="5"/>
  <c r="N475" i="5"/>
  <c r="M476" i="5"/>
  <c r="N476" i="5"/>
  <c r="M477" i="5"/>
  <c r="N477" i="5"/>
  <c r="M478" i="5"/>
  <c r="N478" i="5"/>
  <c r="M479" i="5"/>
  <c r="N479" i="5"/>
  <c r="M480" i="5"/>
  <c r="N480" i="5"/>
  <c r="M481" i="5"/>
  <c r="N481" i="5"/>
  <c r="M482" i="5"/>
  <c r="N482" i="5"/>
  <c r="M483" i="5"/>
  <c r="N483" i="5"/>
  <c r="M484" i="5"/>
  <c r="N484" i="5"/>
  <c r="M485" i="5"/>
  <c r="N485" i="5"/>
  <c r="M486" i="5"/>
  <c r="N486" i="5"/>
  <c r="M487" i="5"/>
  <c r="N487" i="5"/>
  <c r="M488" i="5"/>
  <c r="N488" i="5"/>
  <c r="M489" i="5"/>
  <c r="N489" i="5"/>
  <c r="M490" i="5"/>
  <c r="N490" i="5"/>
  <c r="M491" i="5"/>
  <c r="N491" i="5"/>
  <c r="M492" i="5"/>
  <c r="N492" i="5"/>
  <c r="M493" i="5"/>
  <c r="N493" i="5"/>
  <c r="M494" i="5"/>
  <c r="N494" i="5"/>
  <c r="M495" i="5"/>
  <c r="N495" i="5"/>
  <c r="M496" i="5"/>
  <c r="N496" i="5"/>
  <c r="M497" i="5"/>
  <c r="N497" i="5"/>
  <c r="M498" i="5"/>
  <c r="N498" i="5"/>
  <c r="M499" i="5"/>
  <c r="N499" i="5"/>
  <c r="M500" i="5"/>
  <c r="N500" i="5"/>
  <c r="M501" i="5"/>
  <c r="N501" i="5"/>
  <c r="M502" i="5"/>
  <c r="N502" i="5"/>
  <c r="M503" i="5"/>
  <c r="N503" i="5"/>
  <c r="M504" i="5"/>
  <c r="N504" i="5"/>
  <c r="M505" i="5"/>
  <c r="N505" i="5"/>
  <c r="M506" i="5"/>
  <c r="N506" i="5"/>
  <c r="M507" i="5"/>
  <c r="N507" i="5"/>
  <c r="M508" i="5"/>
  <c r="N508" i="5"/>
  <c r="M509" i="5"/>
  <c r="N509" i="5"/>
  <c r="M510" i="5"/>
  <c r="N510" i="5"/>
  <c r="M511" i="5"/>
  <c r="N511" i="5"/>
  <c r="M512" i="5"/>
  <c r="N512" i="5"/>
  <c r="M513" i="5"/>
  <c r="N513" i="5"/>
  <c r="M514" i="5"/>
  <c r="N514" i="5"/>
  <c r="M515" i="5"/>
  <c r="N515" i="5"/>
  <c r="M516" i="5"/>
  <c r="N516" i="5"/>
  <c r="M517" i="5"/>
  <c r="N517" i="5"/>
  <c r="M518" i="5"/>
  <c r="N518" i="5"/>
  <c r="M519" i="5"/>
  <c r="N519" i="5"/>
  <c r="M520" i="5"/>
  <c r="N520" i="5"/>
  <c r="M521" i="5"/>
  <c r="N521" i="5"/>
  <c r="M522" i="5"/>
  <c r="N522" i="5"/>
  <c r="M523" i="5"/>
  <c r="N523" i="5"/>
  <c r="M524" i="5"/>
  <c r="N524" i="5"/>
  <c r="M525" i="5"/>
  <c r="N525" i="5"/>
  <c r="M526" i="5"/>
  <c r="N526" i="5"/>
  <c r="M527" i="5"/>
  <c r="N527" i="5"/>
  <c r="M528" i="5"/>
  <c r="N528" i="5"/>
  <c r="M529" i="5"/>
  <c r="N529" i="5"/>
  <c r="M530" i="5"/>
  <c r="N530" i="5"/>
  <c r="M531" i="5"/>
  <c r="N531" i="5"/>
  <c r="M532" i="5"/>
  <c r="N532" i="5"/>
  <c r="M533" i="5"/>
  <c r="N533" i="5"/>
  <c r="M534" i="5"/>
  <c r="N534" i="5"/>
  <c r="M535" i="5"/>
  <c r="N535" i="5"/>
  <c r="M536" i="5"/>
  <c r="N536" i="5"/>
  <c r="M537" i="5"/>
  <c r="N537" i="5"/>
  <c r="M538" i="5"/>
  <c r="N538" i="5"/>
  <c r="M539" i="5"/>
  <c r="N539" i="5"/>
  <c r="M540" i="5"/>
  <c r="N540" i="5"/>
  <c r="M541" i="5"/>
  <c r="N541" i="5"/>
  <c r="M542" i="5"/>
  <c r="N542" i="5"/>
  <c r="M543" i="5"/>
  <c r="N543" i="5"/>
  <c r="M544" i="5"/>
  <c r="N544" i="5"/>
  <c r="M545" i="5"/>
  <c r="N545" i="5"/>
  <c r="M546" i="5"/>
  <c r="N546" i="5"/>
  <c r="M547" i="5"/>
  <c r="N547" i="5"/>
  <c r="M548" i="5"/>
  <c r="N548" i="5"/>
  <c r="M549" i="5"/>
  <c r="N549" i="5"/>
  <c r="M550" i="5"/>
  <c r="N550" i="5"/>
  <c r="M551" i="5"/>
  <c r="N551" i="5"/>
  <c r="M552" i="5"/>
  <c r="N552" i="5"/>
  <c r="M553" i="5"/>
  <c r="N553" i="5"/>
  <c r="M554" i="5"/>
  <c r="N554" i="5"/>
  <c r="M555" i="5"/>
  <c r="N555" i="5"/>
  <c r="M556" i="5"/>
  <c r="N556" i="5"/>
  <c r="M557" i="5"/>
  <c r="N557" i="5"/>
  <c r="M558" i="5"/>
  <c r="N558" i="5"/>
  <c r="M559" i="5"/>
  <c r="N559" i="5"/>
  <c r="M560" i="5"/>
  <c r="N560" i="5"/>
  <c r="M561" i="5"/>
  <c r="N561" i="5"/>
  <c r="M562" i="5"/>
  <c r="N562" i="5"/>
  <c r="M563" i="5"/>
  <c r="N563" i="5"/>
  <c r="M564" i="5"/>
  <c r="N564" i="5"/>
  <c r="M565" i="5"/>
  <c r="N565" i="5"/>
  <c r="M566" i="5"/>
  <c r="N566" i="5"/>
  <c r="M567" i="5"/>
  <c r="N567" i="5"/>
  <c r="M568" i="5"/>
  <c r="N568" i="5"/>
  <c r="M569" i="5"/>
  <c r="N569" i="5"/>
  <c r="M570" i="5"/>
  <c r="N570" i="5"/>
  <c r="M571" i="5"/>
  <c r="N571" i="5"/>
  <c r="M572" i="5"/>
  <c r="N572" i="5"/>
  <c r="M573" i="5"/>
  <c r="N573" i="5"/>
  <c r="M574" i="5"/>
  <c r="N574" i="5"/>
  <c r="M575" i="5"/>
  <c r="N575" i="5"/>
  <c r="M576" i="5"/>
  <c r="N576" i="5"/>
  <c r="M577" i="5"/>
  <c r="N577" i="5"/>
  <c r="M578" i="5"/>
  <c r="N578" i="5"/>
  <c r="M579" i="5"/>
  <c r="N579" i="5"/>
  <c r="M580" i="5"/>
  <c r="N580" i="5"/>
  <c r="M581" i="5"/>
  <c r="N581" i="5"/>
  <c r="M582" i="5"/>
  <c r="N582" i="5"/>
  <c r="M583" i="5"/>
  <c r="N583" i="5"/>
  <c r="M584" i="5"/>
  <c r="N584" i="5"/>
  <c r="M585" i="5"/>
  <c r="N585" i="5"/>
  <c r="M586" i="5"/>
  <c r="N586" i="5"/>
  <c r="M587" i="5"/>
  <c r="N587" i="5"/>
  <c r="M588" i="5"/>
  <c r="N588" i="5"/>
  <c r="M589" i="5"/>
  <c r="N589" i="5"/>
  <c r="M590" i="5"/>
  <c r="N590" i="5"/>
  <c r="M591" i="5"/>
  <c r="N591" i="5"/>
  <c r="M592" i="5"/>
  <c r="N592" i="5"/>
  <c r="M593" i="5"/>
  <c r="N593" i="5"/>
  <c r="M594" i="5"/>
  <c r="N594" i="5"/>
  <c r="M595" i="5"/>
  <c r="N595" i="5"/>
  <c r="M596" i="5"/>
  <c r="N596" i="5"/>
  <c r="M597" i="5"/>
  <c r="N597" i="5"/>
  <c r="M598" i="5"/>
  <c r="N598" i="5"/>
  <c r="M599" i="5"/>
  <c r="N599" i="5"/>
  <c r="M600" i="5"/>
  <c r="N600" i="5"/>
  <c r="M601" i="5"/>
  <c r="N601" i="5"/>
  <c r="M602" i="5"/>
  <c r="N602" i="5"/>
  <c r="M603" i="5"/>
  <c r="N603" i="5"/>
  <c r="M604" i="5"/>
  <c r="N604" i="5"/>
  <c r="M605" i="5"/>
  <c r="N605" i="5"/>
  <c r="M606" i="5"/>
  <c r="N606" i="5"/>
  <c r="M607" i="5"/>
  <c r="N607" i="5"/>
  <c r="M608" i="5"/>
  <c r="N608" i="5"/>
  <c r="M609" i="5"/>
  <c r="N609" i="5"/>
  <c r="M610" i="5"/>
  <c r="N610" i="5"/>
  <c r="M611" i="5"/>
  <c r="N611" i="5"/>
  <c r="M612" i="5"/>
  <c r="N612" i="5"/>
  <c r="M613" i="5"/>
  <c r="N613" i="5"/>
  <c r="M614" i="5"/>
  <c r="N614" i="5"/>
  <c r="M615" i="5"/>
  <c r="N615" i="5"/>
  <c r="M616" i="5"/>
  <c r="N616" i="5"/>
  <c r="M617" i="5"/>
  <c r="N617" i="5"/>
  <c r="M618" i="5"/>
  <c r="N618" i="5"/>
  <c r="M619" i="5"/>
  <c r="N619" i="5"/>
  <c r="M620" i="5"/>
  <c r="N620" i="5"/>
  <c r="M621" i="5"/>
  <c r="N621" i="5"/>
  <c r="M622" i="5"/>
  <c r="N622" i="5"/>
  <c r="M623" i="5"/>
  <c r="N623" i="5"/>
  <c r="M624" i="5"/>
  <c r="N624" i="5"/>
  <c r="M625" i="5"/>
  <c r="N625" i="5"/>
  <c r="M626" i="5"/>
  <c r="N626" i="5"/>
  <c r="M627" i="5"/>
  <c r="N627" i="5"/>
  <c r="M628" i="5"/>
  <c r="N628" i="5"/>
  <c r="M629" i="5"/>
  <c r="N629" i="5"/>
  <c r="M630" i="5"/>
  <c r="N630" i="5"/>
  <c r="M631" i="5"/>
  <c r="N631" i="5"/>
  <c r="M632" i="5"/>
  <c r="N632" i="5"/>
  <c r="M633" i="5"/>
  <c r="N633" i="5"/>
  <c r="M634" i="5"/>
  <c r="N634" i="5"/>
  <c r="M635" i="5"/>
  <c r="N635" i="5"/>
  <c r="M636" i="5"/>
  <c r="N636" i="5"/>
  <c r="M637" i="5"/>
  <c r="N637" i="5"/>
  <c r="M638" i="5"/>
  <c r="N638" i="5"/>
  <c r="M639" i="5"/>
  <c r="N639" i="5"/>
  <c r="M640" i="5"/>
  <c r="N640" i="5"/>
  <c r="M641" i="5"/>
  <c r="N641" i="5"/>
  <c r="M642" i="5"/>
  <c r="N642" i="5"/>
  <c r="M643" i="5"/>
  <c r="N643" i="5"/>
  <c r="M644" i="5"/>
  <c r="N644" i="5"/>
  <c r="M645" i="5"/>
  <c r="N645" i="5"/>
  <c r="M646" i="5"/>
  <c r="N646" i="5"/>
  <c r="M647" i="5"/>
  <c r="N647" i="5"/>
  <c r="M648" i="5"/>
  <c r="N648" i="5"/>
  <c r="M649" i="5"/>
  <c r="N649" i="5"/>
  <c r="M650" i="5"/>
  <c r="N650" i="5"/>
  <c r="M651" i="5"/>
  <c r="N651" i="5"/>
  <c r="M652" i="5"/>
  <c r="N652" i="5"/>
  <c r="M653" i="5"/>
  <c r="N653" i="5"/>
  <c r="M654" i="5"/>
  <c r="N654" i="5"/>
  <c r="M655" i="5"/>
  <c r="N655" i="5"/>
  <c r="M656" i="5"/>
  <c r="N656" i="5"/>
  <c r="M657" i="5"/>
  <c r="N657" i="5"/>
  <c r="M658" i="5"/>
  <c r="N658" i="5"/>
  <c r="M659" i="5"/>
  <c r="N659" i="5"/>
  <c r="M660" i="5"/>
  <c r="N660" i="5"/>
  <c r="M661" i="5"/>
  <c r="N661" i="5"/>
  <c r="M662" i="5"/>
  <c r="N662" i="5"/>
  <c r="M663" i="5"/>
  <c r="N663" i="5"/>
  <c r="M664" i="5"/>
  <c r="N664" i="5"/>
  <c r="M665" i="5"/>
  <c r="N665" i="5"/>
  <c r="M666" i="5"/>
  <c r="N666" i="5"/>
  <c r="M667" i="5"/>
  <c r="N667" i="5"/>
  <c r="M668" i="5"/>
  <c r="N668" i="5"/>
  <c r="M669" i="5"/>
  <c r="N669" i="5"/>
  <c r="M670" i="5"/>
  <c r="N670" i="5"/>
  <c r="M671" i="5"/>
  <c r="N671" i="5"/>
  <c r="M672" i="5"/>
  <c r="N672" i="5"/>
  <c r="M673" i="5"/>
  <c r="N673" i="5"/>
  <c r="M674" i="5"/>
  <c r="N674" i="5"/>
  <c r="M675" i="5"/>
  <c r="N675" i="5"/>
  <c r="M676" i="5"/>
  <c r="N676" i="5"/>
  <c r="M677" i="5"/>
  <c r="N677" i="5"/>
  <c r="M678" i="5"/>
  <c r="N678" i="5"/>
  <c r="M679" i="5"/>
  <c r="N679" i="5"/>
  <c r="M680" i="5"/>
  <c r="N680" i="5"/>
  <c r="M681" i="5"/>
  <c r="N681" i="5"/>
  <c r="M682" i="5"/>
  <c r="N682" i="5"/>
  <c r="M683" i="5"/>
  <c r="N683" i="5"/>
  <c r="M684" i="5"/>
  <c r="N684" i="5"/>
  <c r="M685" i="5"/>
  <c r="N685" i="5"/>
  <c r="M686" i="5"/>
  <c r="N686" i="5"/>
  <c r="M687" i="5"/>
  <c r="N687" i="5"/>
  <c r="M688" i="5"/>
  <c r="N688" i="5"/>
  <c r="M689" i="5"/>
  <c r="N689" i="5"/>
  <c r="M690" i="5"/>
  <c r="N690" i="5"/>
  <c r="M691" i="5"/>
  <c r="N691" i="5"/>
  <c r="M692" i="5"/>
  <c r="N692" i="5"/>
  <c r="M693" i="5"/>
  <c r="N693" i="5"/>
  <c r="M694" i="5"/>
  <c r="N694" i="5"/>
  <c r="M695" i="5"/>
  <c r="N695" i="5"/>
  <c r="M696" i="5"/>
  <c r="N696" i="5"/>
  <c r="M697" i="5"/>
  <c r="N697" i="5"/>
  <c r="M698" i="5"/>
  <c r="N698" i="5"/>
  <c r="M699" i="5"/>
  <c r="N699" i="5"/>
  <c r="M700" i="5"/>
  <c r="N700" i="5"/>
  <c r="M701" i="5"/>
  <c r="N701" i="5"/>
  <c r="M702" i="5"/>
  <c r="N702" i="5"/>
  <c r="M703" i="5"/>
  <c r="N703" i="5"/>
  <c r="M704" i="5"/>
  <c r="N704" i="5"/>
  <c r="M705" i="5"/>
  <c r="N705" i="5"/>
  <c r="M706" i="5"/>
  <c r="N706" i="5"/>
  <c r="M707" i="5"/>
  <c r="N707" i="5"/>
  <c r="M708" i="5"/>
  <c r="N708" i="5"/>
  <c r="M709" i="5"/>
  <c r="N709" i="5"/>
  <c r="M710" i="5"/>
  <c r="N710" i="5"/>
  <c r="M711" i="5"/>
  <c r="N711" i="5"/>
  <c r="M712" i="5"/>
  <c r="N712" i="5"/>
  <c r="M713" i="5"/>
  <c r="N713" i="5"/>
  <c r="M714" i="5"/>
  <c r="N714" i="5"/>
  <c r="M2" i="5"/>
  <c r="N2" i="5"/>
  <c r="M3" i="5"/>
  <c r="N3" i="5"/>
  <c r="M4" i="5"/>
  <c r="N4" i="5"/>
  <c r="M5" i="5"/>
  <c r="N5" i="5"/>
  <c r="M6" i="5"/>
  <c r="N6" i="5"/>
  <c r="M7" i="5"/>
  <c r="N7" i="5"/>
  <c r="M8" i="5"/>
  <c r="N8" i="5"/>
  <c r="M9" i="5"/>
  <c r="N9" i="5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F153" i="16"/>
  <c r="E153" i="16"/>
  <c r="D153" i="16"/>
  <c r="G152" i="16"/>
  <c r="F152" i="16"/>
  <c r="E152" i="16"/>
  <c r="D152" i="16"/>
  <c r="G151" i="16"/>
  <c r="F151" i="16"/>
  <c r="E151" i="16"/>
  <c r="D151" i="16"/>
  <c r="G150" i="16"/>
  <c r="F150" i="16"/>
  <c r="E150" i="16"/>
  <c r="D150" i="16"/>
  <c r="G149" i="16"/>
  <c r="F149" i="16"/>
  <c r="E149" i="16"/>
  <c r="D149" i="16"/>
  <c r="D159" i="16" l="1"/>
  <c r="E159" i="16"/>
  <c r="F159" i="16"/>
  <c r="G159" i="16"/>
  <c r="G153" i="16"/>
  <c r="O63" i="2" l="1"/>
  <c r="N63" i="2"/>
  <c r="M63" i="2"/>
  <c r="M19" i="5"/>
  <c r="N19" i="5"/>
  <c r="M20" i="5"/>
  <c r="N20" i="5"/>
  <c r="M21" i="5"/>
  <c r="N21" i="5"/>
  <c r="M22" i="5"/>
  <c r="N22" i="5"/>
  <c r="M23" i="5"/>
  <c r="N23" i="5"/>
  <c r="M24" i="5"/>
  <c r="N24" i="5"/>
  <c r="M25" i="5"/>
  <c r="N25" i="5"/>
  <c r="M26" i="5"/>
  <c r="N26" i="5"/>
  <c r="M27" i="5"/>
  <c r="N27" i="5"/>
  <c r="M28" i="5"/>
  <c r="N28" i="5"/>
  <c r="M29" i="5"/>
  <c r="N29" i="5"/>
  <c r="M30" i="5"/>
  <c r="N30" i="5"/>
  <c r="M31" i="5"/>
  <c r="N31" i="5"/>
  <c r="M32" i="5"/>
  <c r="N32" i="5"/>
  <c r="M33" i="5"/>
  <c r="N33" i="5"/>
  <c r="M34" i="5"/>
  <c r="N34" i="5"/>
  <c r="M35" i="5"/>
  <c r="N35" i="5"/>
  <c r="M36" i="5"/>
  <c r="N36" i="5"/>
  <c r="M37" i="5"/>
  <c r="N37" i="5"/>
  <c r="M38" i="5"/>
  <c r="N38" i="5"/>
  <c r="M39" i="5"/>
  <c r="N39" i="5"/>
  <c r="M40" i="5"/>
  <c r="N40" i="5"/>
  <c r="M41" i="5"/>
  <c r="N41" i="5"/>
  <c r="M42" i="5"/>
  <c r="N42" i="5"/>
  <c r="M43" i="5"/>
  <c r="N43" i="5"/>
  <c r="M44" i="5"/>
  <c r="N44" i="5"/>
  <c r="M45" i="5"/>
  <c r="N45" i="5"/>
  <c r="M46" i="5"/>
  <c r="N46" i="5"/>
  <c r="M47" i="5"/>
  <c r="N47" i="5"/>
  <c r="M48" i="5"/>
  <c r="N48" i="5"/>
  <c r="M49" i="5"/>
  <c r="N49" i="5"/>
  <c r="M50" i="5"/>
  <c r="N50" i="5"/>
  <c r="M51" i="5"/>
  <c r="N51" i="5"/>
  <c r="M52" i="5"/>
  <c r="N52" i="5"/>
  <c r="M53" i="5"/>
  <c r="N53" i="5"/>
  <c r="M54" i="5"/>
  <c r="N54" i="5"/>
  <c r="M55" i="5"/>
  <c r="N55" i="5"/>
  <c r="M56" i="5"/>
  <c r="N56" i="5"/>
  <c r="M57" i="5"/>
  <c r="N57" i="5"/>
  <c r="M58" i="5"/>
  <c r="N58" i="5"/>
  <c r="B19" i="5"/>
  <c r="A19" i="5" s="1"/>
  <c r="B20" i="5"/>
  <c r="B21" i="5"/>
  <c r="B22" i="5"/>
  <c r="B26" i="5"/>
  <c r="A26" i="5" s="1"/>
  <c r="B27" i="5"/>
  <c r="A27" i="5" s="1"/>
  <c r="B28" i="5"/>
  <c r="A28" i="5" s="1"/>
  <c r="B29" i="5"/>
  <c r="A29" i="5" s="1"/>
  <c r="B30" i="5"/>
  <c r="A30" i="5" s="1"/>
  <c r="B31" i="5"/>
  <c r="A31" i="5" s="1"/>
  <c r="B32" i="5"/>
  <c r="A32" i="5" s="1"/>
  <c r="B33" i="5"/>
  <c r="A33" i="5" s="1"/>
  <c r="B34" i="5"/>
  <c r="A34" i="5" s="1"/>
  <c r="B35" i="5"/>
  <c r="A35" i="5" s="1"/>
  <c r="B36" i="5"/>
  <c r="A36" i="5" s="1"/>
  <c r="B37" i="5"/>
  <c r="A37" i="5" s="1"/>
  <c r="B38" i="5"/>
  <c r="A38" i="5" s="1"/>
  <c r="B39" i="5"/>
  <c r="A39" i="5" s="1"/>
  <c r="B40" i="5"/>
  <c r="A40" i="5" s="1"/>
  <c r="B41" i="5"/>
  <c r="A41" i="5" s="1"/>
  <c r="B42" i="5"/>
  <c r="A42" i="5" s="1"/>
  <c r="B54" i="5"/>
  <c r="A54" i="5" s="1"/>
  <c r="B55" i="5"/>
  <c r="A55" i="5" s="1"/>
  <c r="B56" i="5"/>
  <c r="A56" i="5" s="1"/>
  <c r="B58" i="5"/>
  <c r="A58" i="5" s="1"/>
  <c r="L63" i="2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G159" i="2" l="1"/>
  <c r="G158" i="2"/>
  <c r="G157" i="2"/>
  <c r="G156" i="2"/>
  <c r="G155" i="2"/>
  <c r="G154" i="2"/>
  <c r="G153" i="2"/>
  <c r="G152" i="2"/>
  <c r="G151" i="2"/>
  <c r="G150" i="2"/>
  <c r="F159" i="2"/>
  <c r="F158" i="2"/>
  <c r="F157" i="2"/>
  <c r="F156" i="2"/>
  <c r="F155" i="2"/>
  <c r="F154" i="2"/>
  <c r="F153" i="2"/>
  <c r="F152" i="2"/>
  <c r="F151" i="2"/>
  <c r="F150" i="2"/>
  <c r="E159" i="2"/>
  <c r="E158" i="2"/>
  <c r="E157" i="2"/>
  <c r="E156" i="2"/>
  <c r="E155" i="2"/>
  <c r="E154" i="2"/>
  <c r="E153" i="2"/>
  <c r="E152" i="2"/>
  <c r="E151" i="2"/>
  <c r="E150" i="2"/>
  <c r="D150" i="2"/>
  <c r="D159" i="2"/>
  <c r="D158" i="2"/>
  <c r="D157" i="2"/>
  <c r="D156" i="2"/>
  <c r="D155" i="2"/>
  <c r="D154" i="2"/>
  <c r="D153" i="2"/>
  <c r="D152" i="2"/>
  <c r="D151" i="2"/>
  <c r="F160" i="2" l="1"/>
  <c r="G160" i="2"/>
  <c r="E160" i="2"/>
  <c r="D160" i="2"/>
  <c r="A3" i="5"/>
  <c r="A4" i="5"/>
  <c r="A6" i="5"/>
  <c r="A7" i="5"/>
  <c r="A8" i="5"/>
  <c r="A10" i="5"/>
  <c r="A13" i="5"/>
  <c r="A14" i="5"/>
  <c r="A15" i="5"/>
  <c r="A16" i="5"/>
  <c r="A17" i="5"/>
  <c r="A18" i="5"/>
  <c r="B2" i="5"/>
  <c r="A9" i="5"/>
  <c r="E286" i="15" l="1"/>
  <c r="F286" i="15"/>
  <c r="G286" i="15"/>
  <c r="E287" i="15"/>
  <c r="F287" i="15"/>
  <c r="G287" i="15"/>
  <c r="E288" i="15"/>
  <c r="F288" i="15"/>
  <c r="G288" i="15"/>
  <c r="E289" i="15"/>
  <c r="F289" i="15"/>
  <c r="G289" i="15"/>
  <c r="E290" i="15"/>
  <c r="F290" i="15"/>
  <c r="G290" i="15"/>
  <c r="E291" i="15"/>
  <c r="F291" i="15"/>
  <c r="G291" i="15"/>
  <c r="E292" i="15"/>
  <c r="F292" i="15"/>
  <c r="G292" i="15"/>
  <c r="E293" i="15"/>
  <c r="F293" i="15"/>
  <c r="G293" i="15"/>
  <c r="E294" i="15"/>
  <c r="F294" i="15"/>
  <c r="G294" i="15"/>
  <c r="E295" i="15"/>
  <c r="F295" i="15"/>
  <c r="G295" i="15"/>
  <c r="E296" i="15"/>
  <c r="F296" i="15"/>
  <c r="G296" i="15"/>
  <c r="E297" i="15"/>
  <c r="F297" i="15"/>
  <c r="G297" i="15"/>
  <c r="E298" i="15"/>
  <c r="F298" i="15"/>
  <c r="G298" i="15"/>
  <c r="E299" i="15"/>
  <c r="F299" i="15"/>
  <c r="G299" i="15"/>
  <c r="E300" i="15"/>
  <c r="F300" i="15"/>
  <c r="G300" i="15"/>
  <c r="E301" i="15"/>
  <c r="F301" i="15"/>
  <c r="G301" i="15"/>
  <c r="E302" i="15"/>
  <c r="F302" i="15"/>
  <c r="G302" i="15"/>
  <c r="E303" i="15"/>
  <c r="F303" i="15"/>
  <c r="G303" i="15"/>
  <c r="E304" i="15"/>
  <c r="F304" i="15"/>
  <c r="G304" i="15"/>
  <c r="E305" i="15"/>
  <c r="F305" i="15"/>
  <c r="G305" i="15"/>
  <c r="E306" i="15"/>
  <c r="F306" i="15"/>
  <c r="G306" i="15"/>
  <c r="E307" i="15"/>
  <c r="F307" i="15"/>
  <c r="G307" i="15"/>
  <c r="E308" i="15"/>
  <c r="F308" i="15"/>
  <c r="G308" i="15"/>
  <c r="E309" i="15"/>
  <c r="F309" i="15"/>
  <c r="G309" i="15"/>
  <c r="E310" i="15"/>
  <c r="F310" i="15"/>
  <c r="G310" i="15"/>
  <c r="E311" i="15"/>
  <c r="F311" i="15"/>
  <c r="G311" i="15"/>
  <c r="E312" i="15"/>
  <c r="F312" i="15"/>
  <c r="G312" i="15"/>
  <c r="E313" i="15"/>
  <c r="F313" i="15"/>
  <c r="G313" i="15"/>
  <c r="E314" i="15"/>
  <c r="F314" i="15"/>
  <c r="G314" i="15"/>
  <c r="E315" i="15"/>
  <c r="F315" i="15"/>
  <c r="G315" i="15"/>
  <c r="E316" i="15"/>
  <c r="F316" i="15"/>
  <c r="G316" i="15"/>
  <c r="E317" i="15"/>
  <c r="F317" i="15"/>
  <c r="G317" i="15"/>
  <c r="E318" i="15"/>
  <c r="F318" i="15"/>
  <c r="G318" i="15"/>
  <c r="E319" i="15"/>
  <c r="F319" i="15"/>
  <c r="G319" i="15"/>
  <c r="E320" i="15"/>
  <c r="F320" i="15"/>
  <c r="G320" i="15"/>
  <c r="E321" i="15"/>
  <c r="F321" i="15"/>
  <c r="G321" i="15"/>
  <c r="E322" i="15"/>
  <c r="F322" i="15"/>
  <c r="G322" i="15"/>
  <c r="E323" i="15"/>
  <c r="F323" i="15"/>
  <c r="G323" i="15"/>
  <c r="E324" i="15"/>
  <c r="F324" i="15"/>
  <c r="G324" i="15"/>
  <c r="E325" i="15"/>
  <c r="F325" i="15"/>
  <c r="G325" i="15"/>
  <c r="E326" i="15"/>
  <c r="F326" i="15"/>
  <c r="G326" i="15"/>
  <c r="E327" i="15"/>
  <c r="F327" i="15"/>
  <c r="G327" i="15"/>
  <c r="E328" i="15"/>
  <c r="F328" i="15"/>
  <c r="G328" i="15"/>
  <c r="E329" i="15"/>
  <c r="F329" i="15"/>
  <c r="G329" i="15"/>
  <c r="E330" i="15"/>
  <c r="F330" i="15"/>
  <c r="G330" i="15"/>
  <c r="E331" i="15"/>
  <c r="F331" i="15"/>
  <c r="G331" i="15"/>
  <c r="E332" i="15"/>
  <c r="F332" i="15"/>
  <c r="G332" i="15"/>
  <c r="E333" i="15"/>
  <c r="F333" i="15"/>
  <c r="G333" i="15"/>
  <c r="E334" i="15"/>
  <c r="F334" i="15"/>
  <c r="G334" i="15"/>
  <c r="E335" i="15"/>
  <c r="F335" i="15"/>
  <c r="G335" i="15"/>
  <c r="E336" i="15"/>
  <c r="F336" i="15"/>
  <c r="G336" i="15"/>
  <c r="E337" i="15"/>
  <c r="F337" i="15"/>
  <c r="G337" i="15"/>
  <c r="E338" i="15"/>
  <c r="F338" i="15"/>
  <c r="G338" i="15"/>
  <c r="E339" i="15"/>
  <c r="F339" i="15"/>
  <c r="G339" i="15"/>
  <c r="E340" i="15"/>
  <c r="F340" i="15"/>
  <c r="G340" i="15"/>
  <c r="E341" i="15"/>
  <c r="F341" i="15"/>
  <c r="G341" i="15"/>
  <c r="E342" i="15"/>
  <c r="F342" i="15"/>
  <c r="G342" i="15"/>
  <c r="E343" i="15"/>
  <c r="F343" i="15"/>
  <c r="G343" i="15"/>
  <c r="E344" i="15"/>
  <c r="F344" i="15"/>
  <c r="G344" i="15"/>
  <c r="E345" i="15"/>
  <c r="F345" i="15"/>
  <c r="G345" i="15"/>
  <c r="E346" i="15"/>
  <c r="F346" i="15"/>
  <c r="G346" i="15"/>
  <c r="E347" i="15"/>
  <c r="F347" i="15"/>
  <c r="G347" i="15"/>
  <c r="E348" i="15"/>
  <c r="F348" i="15"/>
  <c r="G348" i="15"/>
  <c r="E349" i="15"/>
  <c r="F349" i="15"/>
  <c r="G349" i="15"/>
  <c r="E350" i="15"/>
  <c r="F350" i="15"/>
  <c r="G350" i="15"/>
  <c r="E351" i="15"/>
  <c r="F351" i="15"/>
  <c r="G351" i="15"/>
  <c r="E352" i="15"/>
  <c r="F352" i="15"/>
  <c r="G352" i="15"/>
  <c r="E353" i="15"/>
  <c r="F353" i="15"/>
  <c r="G353" i="15"/>
  <c r="E354" i="15"/>
  <c r="F354" i="15"/>
  <c r="G354" i="15"/>
  <c r="E355" i="15"/>
  <c r="F355" i="15"/>
  <c r="G355" i="15"/>
  <c r="E356" i="15"/>
  <c r="F356" i="15"/>
  <c r="G356" i="15"/>
  <c r="E357" i="15"/>
  <c r="F357" i="15"/>
  <c r="G357" i="15"/>
  <c r="E358" i="15"/>
  <c r="F358" i="15"/>
  <c r="G358" i="15"/>
  <c r="E359" i="15"/>
  <c r="F359" i="15"/>
  <c r="G359" i="15"/>
  <c r="E360" i="15"/>
  <c r="F360" i="15"/>
  <c r="G360" i="15"/>
  <c r="E361" i="15"/>
  <c r="F361" i="15"/>
  <c r="G361" i="15"/>
  <c r="E362" i="15"/>
  <c r="F362" i="15"/>
  <c r="G362" i="15"/>
  <c r="E363" i="15"/>
  <c r="F363" i="15"/>
  <c r="G363" i="15"/>
  <c r="E364" i="15"/>
  <c r="F364" i="15"/>
  <c r="G364" i="15"/>
  <c r="E365" i="15"/>
  <c r="F365" i="15"/>
  <c r="G365" i="15"/>
  <c r="E366" i="15"/>
  <c r="F366" i="15"/>
  <c r="G366" i="15"/>
  <c r="E367" i="15"/>
  <c r="F367" i="15"/>
  <c r="G367" i="15"/>
  <c r="E368" i="15"/>
  <c r="F368" i="15"/>
  <c r="G368" i="15"/>
  <c r="E369" i="15"/>
  <c r="F369" i="15"/>
  <c r="G369" i="15"/>
  <c r="E370" i="15"/>
  <c r="F370" i="15"/>
  <c r="G370" i="15"/>
  <c r="E371" i="15"/>
  <c r="F371" i="15"/>
  <c r="G371" i="15"/>
  <c r="E372" i="15"/>
  <c r="F372" i="15"/>
  <c r="G372" i="15"/>
  <c r="E373" i="15"/>
  <c r="F373" i="15"/>
  <c r="G373" i="15"/>
  <c r="E374" i="15"/>
  <c r="F374" i="15"/>
  <c r="G374" i="15"/>
  <c r="E375" i="15"/>
  <c r="F375" i="15"/>
  <c r="G375" i="15"/>
  <c r="E376" i="15"/>
  <c r="F376" i="15"/>
  <c r="G376" i="15"/>
  <c r="E377" i="15"/>
  <c r="F377" i="15"/>
  <c r="G377" i="15"/>
  <c r="E378" i="15"/>
  <c r="F378" i="15"/>
  <c r="G378" i="15"/>
  <c r="E379" i="15"/>
  <c r="F379" i="15"/>
  <c r="G379" i="15"/>
  <c r="E380" i="15"/>
  <c r="F380" i="15"/>
  <c r="G380" i="15"/>
  <c r="E381" i="15"/>
  <c r="F381" i="15"/>
  <c r="G381" i="15"/>
  <c r="E382" i="15"/>
  <c r="F382" i="15"/>
  <c r="G382" i="15"/>
  <c r="E383" i="15"/>
  <c r="F383" i="15"/>
  <c r="G383" i="15"/>
  <c r="E384" i="15"/>
  <c r="F384" i="15"/>
  <c r="G384" i="15"/>
  <c r="E385" i="15"/>
  <c r="F385" i="15"/>
  <c r="G385" i="15"/>
  <c r="E386" i="15"/>
  <c r="F386" i="15"/>
  <c r="G386" i="15"/>
  <c r="E387" i="15"/>
  <c r="F387" i="15"/>
  <c r="G387" i="15"/>
  <c r="E388" i="15"/>
  <c r="F388" i="15"/>
  <c r="G388" i="15"/>
  <c r="E389" i="15"/>
  <c r="F389" i="15"/>
  <c r="G389" i="15"/>
  <c r="E390" i="15"/>
  <c r="F390" i="15"/>
  <c r="G390" i="15"/>
  <c r="E391" i="15"/>
  <c r="F391" i="15"/>
  <c r="G391" i="15"/>
  <c r="E392" i="15"/>
  <c r="F392" i="15"/>
  <c r="G392" i="15"/>
  <c r="E393" i="15"/>
  <c r="F393" i="15"/>
  <c r="G393" i="15"/>
  <c r="E394" i="15"/>
  <c r="F394" i="15"/>
  <c r="G394" i="15"/>
  <c r="E395" i="15"/>
  <c r="F395" i="15"/>
  <c r="G395" i="15"/>
  <c r="E396" i="15"/>
  <c r="F396" i="15"/>
  <c r="G396" i="15"/>
  <c r="E397" i="15"/>
  <c r="F397" i="15"/>
  <c r="G397" i="15"/>
  <c r="E398" i="15"/>
  <c r="F398" i="15"/>
  <c r="G398" i="15"/>
  <c r="E399" i="15"/>
  <c r="F399" i="15"/>
  <c r="G399" i="15"/>
  <c r="E400" i="15"/>
  <c r="F400" i="15"/>
  <c r="G400" i="15"/>
  <c r="E401" i="15"/>
  <c r="F401" i="15"/>
  <c r="G401" i="15"/>
  <c r="E402" i="15"/>
  <c r="F402" i="15"/>
  <c r="G402" i="15"/>
  <c r="E403" i="15"/>
  <c r="F403" i="15"/>
  <c r="G403" i="15"/>
  <c r="E404" i="15"/>
  <c r="F404" i="15"/>
  <c r="G404" i="15"/>
  <c r="E405" i="15"/>
  <c r="F405" i="15"/>
  <c r="G405" i="15"/>
  <c r="E406" i="15"/>
  <c r="F406" i="15"/>
  <c r="G406" i="15"/>
  <c r="E407" i="15"/>
  <c r="F407" i="15"/>
  <c r="G407" i="15"/>
  <c r="E408" i="15"/>
  <c r="F408" i="15"/>
  <c r="G408" i="15"/>
  <c r="E409" i="15"/>
  <c r="F409" i="15"/>
  <c r="G409" i="15"/>
  <c r="E410" i="15"/>
  <c r="F410" i="15"/>
  <c r="G410" i="15"/>
  <c r="E411" i="15"/>
  <c r="F411" i="15"/>
  <c r="G411" i="15"/>
  <c r="E412" i="15"/>
  <c r="F412" i="15"/>
  <c r="G412" i="15"/>
  <c r="E413" i="15"/>
  <c r="F413" i="15"/>
  <c r="G413" i="15"/>
  <c r="E414" i="15"/>
  <c r="F414" i="15"/>
  <c r="G414" i="15"/>
  <c r="E415" i="15"/>
  <c r="F415" i="15"/>
  <c r="G415" i="15"/>
  <c r="E416" i="15"/>
  <c r="F416" i="15"/>
  <c r="G416" i="15"/>
  <c r="E417" i="15"/>
  <c r="F417" i="15"/>
  <c r="G417" i="15"/>
  <c r="E418" i="15"/>
  <c r="F418" i="15"/>
  <c r="G418" i="15"/>
  <c r="E419" i="15"/>
  <c r="F419" i="15"/>
  <c r="G419" i="15"/>
  <c r="E420" i="15"/>
  <c r="F420" i="15"/>
  <c r="G420" i="15"/>
  <c r="E421" i="15"/>
  <c r="F421" i="15"/>
  <c r="G421" i="15"/>
  <c r="E422" i="15"/>
  <c r="F422" i="15"/>
  <c r="G422" i="15"/>
  <c r="E423" i="15"/>
  <c r="F423" i="15"/>
  <c r="G423" i="15"/>
  <c r="E424" i="15"/>
  <c r="F424" i="15"/>
  <c r="G424" i="15"/>
  <c r="E425" i="15"/>
  <c r="F425" i="15"/>
  <c r="G425" i="15"/>
  <c r="E426" i="15"/>
  <c r="F426" i="15"/>
  <c r="G426" i="15"/>
  <c r="E427" i="15"/>
  <c r="F427" i="15"/>
  <c r="G427" i="15"/>
  <c r="E428" i="15"/>
  <c r="F428" i="15"/>
  <c r="G428" i="15"/>
  <c r="E429" i="15"/>
  <c r="F429" i="15"/>
  <c r="G429" i="15"/>
  <c r="E430" i="15"/>
  <c r="F430" i="15"/>
  <c r="G430" i="15"/>
  <c r="E431" i="15"/>
  <c r="F431" i="15"/>
  <c r="G431" i="15"/>
  <c r="E432" i="15"/>
  <c r="F432" i="15"/>
  <c r="G432" i="15"/>
  <c r="E433" i="15"/>
  <c r="F433" i="15"/>
  <c r="G433" i="15"/>
  <c r="E434" i="15"/>
  <c r="F434" i="15"/>
  <c r="G434" i="15"/>
  <c r="E435" i="15"/>
  <c r="F435" i="15"/>
  <c r="G435" i="15"/>
  <c r="E436" i="15"/>
  <c r="F436" i="15"/>
  <c r="G436" i="15"/>
  <c r="E437" i="15"/>
  <c r="F437" i="15"/>
  <c r="G437" i="15"/>
  <c r="E438" i="15"/>
  <c r="F438" i="15"/>
  <c r="G438" i="15"/>
  <c r="E439" i="15"/>
  <c r="F439" i="15"/>
  <c r="G439" i="15"/>
  <c r="E440" i="15"/>
  <c r="F440" i="15"/>
  <c r="G440" i="15"/>
  <c r="E441" i="15"/>
  <c r="F441" i="15"/>
  <c r="G441" i="15"/>
  <c r="E442" i="15"/>
  <c r="F442" i="15"/>
  <c r="G442" i="15"/>
  <c r="E443" i="15"/>
  <c r="F443" i="15"/>
  <c r="G443" i="15"/>
  <c r="E444" i="15"/>
  <c r="F444" i="15"/>
  <c r="G444" i="15"/>
  <c r="E445" i="15"/>
  <c r="F445" i="15"/>
  <c r="G445" i="15"/>
  <c r="E446" i="15"/>
  <c r="F446" i="15"/>
  <c r="G446" i="15"/>
  <c r="E447" i="15"/>
  <c r="F447" i="15"/>
  <c r="G447" i="15"/>
  <c r="E448" i="15"/>
  <c r="F448" i="15"/>
  <c r="G448" i="15"/>
  <c r="E449" i="15"/>
  <c r="F449" i="15"/>
  <c r="G449" i="15"/>
  <c r="E450" i="15"/>
  <c r="F450" i="15"/>
  <c r="G450" i="15"/>
  <c r="E451" i="15"/>
  <c r="F451" i="15"/>
  <c r="G451" i="15"/>
  <c r="E452" i="15"/>
  <c r="F452" i="15"/>
  <c r="G452" i="15"/>
  <c r="E453" i="15"/>
  <c r="F453" i="15"/>
  <c r="G453" i="15"/>
  <c r="E454" i="15"/>
  <c r="F454" i="15"/>
  <c r="G454" i="15"/>
  <c r="E455" i="15"/>
  <c r="F455" i="15"/>
  <c r="G455" i="15"/>
  <c r="E456" i="15"/>
  <c r="F456" i="15"/>
  <c r="G456" i="15"/>
  <c r="E457" i="15"/>
  <c r="F457" i="15"/>
  <c r="G457" i="15"/>
  <c r="E458" i="15"/>
  <c r="F458" i="15"/>
  <c r="G458" i="15"/>
  <c r="E459" i="15"/>
  <c r="F459" i="15"/>
  <c r="G459" i="15"/>
  <c r="E460" i="15"/>
  <c r="F460" i="15"/>
  <c r="G460" i="15"/>
  <c r="E461" i="15"/>
  <c r="F461" i="15"/>
  <c r="G461" i="15"/>
  <c r="E462" i="15"/>
  <c r="F462" i="15"/>
  <c r="G462" i="15"/>
  <c r="E463" i="15"/>
  <c r="F463" i="15"/>
  <c r="G463" i="15"/>
  <c r="E464" i="15"/>
  <c r="F464" i="15"/>
  <c r="G464" i="15"/>
  <c r="E465" i="15"/>
  <c r="F465" i="15"/>
  <c r="G465" i="15"/>
  <c r="E466" i="15"/>
  <c r="F466" i="15"/>
  <c r="G466" i="15"/>
  <c r="E467" i="15"/>
  <c r="F467" i="15"/>
  <c r="G467" i="15"/>
  <c r="E468" i="15"/>
  <c r="F468" i="15"/>
  <c r="G468" i="15"/>
  <c r="E469" i="15"/>
  <c r="F469" i="15"/>
  <c r="G469" i="15"/>
  <c r="E470" i="15"/>
  <c r="F470" i="15"/>
  <c r="G470" i="15"/>
  <c r="E471" i="15"/>
  <c r="F471" i="15"/>
  <c r="G471" i="15"/>
  <c r="E472" i="15"/>
  <c r="F472" i="15"/>
  <c r="G472" i="15"/>
  <c r="E473" i="15"/>
  <c r="F473" i="15"/>
  <c r="G473" i="15"/>
  <c r="E474" i="15"/>
  <c r="F474" i="15"/>
  <c r="G474" i="15"/>
  <c r="E475" i="15"/>
  <c r="F475" i="15"/>
  <c r="G475" i="15"/>
  <c r="E476" i="15"/>
  <c r="F476" i="15"/>
  <c r="G476" i="15"/>
  <c r="E477" i="15"/>
  <c r="F477" i="15"/>
  <c r="G477" i="15"/>
  <c r="E478" i="15"/>
  <c r="F478" i="15"/>
  <c r="G478" i="15"/>
  <c r="E479" i="15"/>
  <c r="F479" i="15"/>
  <c r="G479" i="15"/>
  <c r="E480" i="15"/>
  <c r="F480" i="15"/>
  <c r="G480" i="15"/>
  <c r="E481" i="15"/>
  <c r="F481" i="15"/>
  <c r="G481" i="15"/>
  <c r="E482" i="15"/>
  <c r="F482" i="15"/>
  <c r="G482" i="15"/>
  <c r="E483" i="15"/>
  <c r="F483" i="15"/>
  <c r="G483" i="15"/>
  <c r="E484" i="15"/>
  <c r="F484" i="15"/>
  <c r="G484" i="15"/>
  <c r="E485" i="15"/>
  <c r="F485" i="15"/>
  <c r="G485" i="15"/>
  <c r="E486" i="15"/>
  <c r="F486" i="15"/>
  <c r="G486" i="15"/>
  <c r="E487" i="15"/>
  <c r="F487" i="15"/>
  <c r="G487" i="15"/>
  <c r="E488" i="15"/>
  <c r="F488" i="15"/>
  <c r="G488" i="15"/>
  <c r="E489" i="15"/>
  <c r="F489" i="15"/>
  <c r="G489" i="15"/>
  <c r="E490" i="15"/>
  <c r="F490" i="15"/>
  <c r="G490" i="15"/>
  <c r="E491" i="15"/>
  <c r="F491" i="15"/>
  <c r="G491" i="15"/>
  <c r="E492" i="15"/>
  <c r="F492" i="15"/>
  <c r="G492" i="15"/>
  <c r="E493" i="15"/>
  <c r="F493" i="15"/>
  <c r="G493" i="15"/>
  <c r="E494" i="15"/>
  <c r="F494" i="15"/>
  <c r="G494" i="15"/>
  <c r="E495" i="15"/>
  <c r="F495" i="15"/>
  <c r="G495" i="15"/>
  <c r="E496" i="15"/>
  <c r="F496" i="15"/>
  <c r="G496" i="15"/>
  <c r="E497" i="15"/>
  <c r="F497" i="15"/>
  <c r="G497" i="15"/>
  <c r="E498" i="15"/>
  <c r="F498" i="15"/>
  <c r="G498" i="15"/>
  <c r="E499" i="15"/>
  <c r="F499" i="15"/>
  <c r="G499" i="15"/>
  <c r="E500" i="15"/>
  <c r="F500" i="15"/>
  <c r="G500" i="15"/>
  <c r="E501" i="15"/>
  <c r="F501" i="15"/>
  <c r="G501" i="15"/>
  <c r="E502" i="15"/>
  <c r="F502" i="15"/>
  <c r="G502" i="15"/>
  <c r="E503" i="15"/>
  <c r="F503" i="15"/>
  <c r="G503" i="15"/>
  <c r="E504" i="15"/>
  <c r="F504" i="15"/>
  <c r="G504" i="15"/>
  <c r="E505" i="15"/>
  <c r="F505" i="15"/>
  <c r="G505" i="15"/>
  <c r="E506" i="15"/>
  <c r="F506" i="15"/>
  <c r="G506" i="15"/>
  <c r="E507" i="15"/>
  <c r="F507" i="15"/>
  <c r="G507" i="15"/>
  <c r="E508" i="15"/>
  <c r="F508" i="15"/>
  <c r="G508" i="15"/>
  <c r="E509" i="15"/>
  <c r="F509" i="15"/>
  <c r="G509" i="15"/>
  <c r="E510" i="15"/>
  <c r="F510" i="15"/>
  <c r="G510" i="15"/>
  <c r="E511" i="15"/>
  <c r="F511" i="15"/>
  <c r="G511" i="15"/>
  <c r="E512" i="15"/>
  <c r="F512" i="15"/>
  <c r="G512" i="15"/>
  <c r="E513" i="15"/>
  <c r="F513" i="15"/>
  <c r="G513" i="15"/>
  <c r="E514" i="15"/>
  <c r="F514" i="15"/>
  <c r="G514" i="15"/>
  <c r="E515" i="15"/>
  <c r="F515" i="15"/>
  <c r="G515" i="15"/>
  <c r="E516" i="15"/>
  <c r="F516" i="15"/>
  <c r="G516" i="15"/>
  <c r="E517" i="15"/>
  <c r="F517" i="15"/>
  <c r="G517" i="15"/>
  <c r="E518" i="15"/>
  <c r="F518" i="15"/>
  <c r="G518" i="15"/>
  <c r="E519" i="15"/>
  <c r="F519" i="15"/>
  <c r="G519" i="15"/>
  <c r="E520" i="15"/>
  <c r="F520" i="15"/>
  <c r="G520" i="15"/>
  <c r="E521" i="15"/>
  <c r="F521" i="15"/>
  <c r="G521" i="15"/>
  <c r="E522" i="15"/>
  <c r="F522" i="15"/>
  <c r="G522" i="15"/>
  <c r="E523" i="15"/>
  <c r="F523" i="15"/>
  <c r="G523" i="15"/>
  <c r="E524" i="15"/>
  <c r="F524" i="15"/>
  <c r="G524" i="15"/>
  <c r="E525" i="15"/>
  <c r="F525" i="15"/>
  <c r="G525" i="15"/>
  <c r="E526" i="15"/>
  <c r="F526" i="15"/>
  <c r="G526" i="15"/>
  <c r="E527" i="15"/>
  <c r="F527" i="15"/>
  <c r="G527" i="15"/>
  <c r="E528" i="15"/>
  <c r="F528" i="15"/>
  <c r="G528" i="15"/>
  <c r="E529" i="15"/>
  <c r="F529" i="15"/>
  <c r="G529" i="15"/>
  <c r="E530" i="15"/>
  <c r="F530" i="15"/>
  <c r="G530" i="15"/>
  <c r="E531" i="15"/>
  <c r="F531" i="15"/>
  <c r="G531" i="15"/>
  <c r="E532" i="15"/>
  <c r="F532" i="15"/>
  <c r="G532" i="15"/>
  <c r="E533" i="15"/>
  <c r="F533" i="15"/>
  <c r="G533" i="15"/>
  <c r="E534" i="15"/>
  <c r="F534" i="15"/>
  <c r="G534" i="15"/>
  <c r="E535" i="15"/>
  <c r="F535" i="15"/>
  <c r="G535" i="15"/>
  <c r="E536" i="15"/>
  <c r="F536" i="15"/>
  <c r="G536" i="15"/>
  <c r="E537" i="15"/>
  <c r="F537" i="15"/>
  <c r="G537" i="15"/>
  <c r="E538" i="15"/>
  <c r="F538" i="15"/>
  <c r="G538" i="15"/>
  <c r="E539" i="15"/>
  <c r="F539" i="15"/>
  <c r="G539" i="15"/>
  <c r="E540" i="15"/>
  <c r="F540" i="15"/>
  <c r="G540" i="15"/>
  <c r="E541" i="15"/>
  <c r="F541" i="15"/>
  <c r="G541" i="15"/>
  <c r="E542" i="15"/>
  <c r="F542" i="15"/>
  <c r="G542" i="15"/>
  <c r="E543" i="15"/>
  <c r="F543" i="15"/>
  <c r="G543" i="15"/>
  <c r="E544" i="15"/>
  <c r="F544" i="15"/>
  <c r="G544" i="15"/>
  <c r="E545" i="15"/>
  <c r="F545" i="15"/>
  <c r="G545" i="15"/>
  <c r="E546" i="15"/>
  <c r="F546" i="15"/>
  <c r="G546" i="15"/>
  <c r="E547" i="15"/>
  <c r="F547" i="15"/>
  <c r="G547" i="15"/>
  <c r="E548" i="15"/>
  <c r="F548" i="15"/>
  <c r="G548" i="15"/>
  <c r="E549" i="15"/>
  <c r="F549" i="15"/>
  <c r="G549" i="15"/>
  <c r="E550" i="15"/>
  <c r="F550" i="15"/>
  <c r="G550" i="15"/>
  <c r="E551" i="15"/>
  <c r="F551" i="15"/>
  <c r="G551" i="15"/>
  <c r="E552" i="15"/>
  <c r="F552" i="15"/>
  <c r="G552" i="15"/>
  <c r="E553" i="15"/>
  <c r="F553" i="15"/>
  <c r="G553" i="15"/>
  <c r="E554" i="15"/>
  <c r="F554" i="15"/>
  <c r="G554" i="15"/>
  <c r="E555" i="15"/>
  <c r="F555" i="15"/>
  <c r="G555" i="15"/>
  <c r="E556" i="15"/>
  <c r="F556" i="15"/>
  <c r="G556" i="15"/>
  <c r="E557" i="15"/>
  <c r="F557" i="15"/>
  <c r="G557" i="15"/>
  <c r="E558" i="15"/>
  <c r="F558" i="15"/>
  <c r="G558" i="15"/>
  <c r="E559" i="15"/>
  <c r="F559" i="15"/>
  <c r="G559" i="15"/>
  <c r="E560" i="15"/>
  <c r="F560" i="15"/>
  <c r="G560" i="15"/>
  <c r="E561" i="15"/>
  <c r="F561" i="15"/>
  <c r="G561" i="15"/>
  <c r="E562" i="15"/>
  <c r="F562" i="15"/>
  <c r="G562" i="15"/>
  <c r="E563" i="15"/>
  <c r="F563" i="15"/>
  <c r="G563" i="15"/>
  <c r="E564" i="15"/>
  <c r="F564" i="15"/>
  <c r="G564" i="15"/>
  <c r="E565" i="15"/>
  <c r="F565" i="15"/>
  <c r="G565" i="15"/>
  <c r="E566" i="15"/>
  <c r="F566" i="15"/>
  <c r="G566" i="15"/>
  <c r="E567" i="15"/>
  <c r="F567" i="15"/>
  <c r="G567" i="15"/>
  <c r="E568" i="15"/>
  <c r="F568" i="15"/>
  <c r="G568" i="15"/>
  <c r="E569" i="15"/>
  <c r="F569" i="15"/>
  <c r="G569" i="15"/>
  <c r="E570" i="15"/>
  <c r="F570" i="15"/>
  <c r="G570" i="15"/>
  <c r="E571" i="15"/>
  <c r="F571" i="15"/>
  <c r="G571" i="15"/>
  <c r="E572" i="15"/>
  <c r="F572" i="15"/>
  <c r="G572" i="15"/>
  <c r="E573" i="15"/>
  <c r="F573" i="15"/>
  <c r="G573" i="15"/>
  <c r="E574" i="15"/>
  <c r="F574" i="15"/>
  <c r="G574" i="15"/>
  <c r="E575" i="15"/>
  <c r="F575" i="15"/>
  <c r="G575" i="15"/>
  <c r="E576" i="15"/>
  <c r="F576" i="15"/>
  <c r="G576" i="15"/>
  <c r="E577" i="15"/>
  <c r="F577" i="15"/>
  <c r="G577" i="15"/>
  <c r="E578" i="15"/>
  <c r="F578" i="15"/>
  <c r="G578" i="15"/>
  <c r="E579" i="15"/>
  <c r="F579" i="15"/>
  <c r="G579" i="15"/>
  <c r="E580" i="15"/>
  <c r="F580" i="15"/>
  <c r="G580" i="15"/>
  <c r="E581" i="15"/>
  <c r="F581" i="15"/>
  <c r="G581" i="15"/>
  <c r="E582" i="15"/>
  <c r="F582" i="15"/>
  <c r="G582" i="15"/>
  <c r="E583" i="15"/>
  <c r="F583" i="15"/>
  <c r="G583" i="15"/>
  <c r="E584" i="15"/>
  <c r="F584" i="15"/>
  <c r="G584" i="15"/>
  <c r="E585" i="15"/>
  <c r="F585" i="15"/>
  <c r="G585" i="15"/>
  <c r="E586" i="15"/>
  <c r="F586" i="15"/>
  <c r="G586" i="15"/>
  <c r="E587" i="15"/>
  <c r="F587" i="15"/>
  <c r="G587" i="15"/>
  <c r="E588" i="15"/>
  <c r="F588" i="15"/>
  <c r="G588" i="15"/>
  <c r="E589" i="15"/>
  <c r="F589" i="15"/>
  <c r="G589" i="15"/>
  <c r="E590" i="15"/>
  <c r="F590" i="15"/>
  <c r="G590" i="15"/>
  <c r="E591" i="15"/>
  <c r="F591" i="15"/>
  <c r="G591" i="15"/>
  <c r="E592" i="15"/>
  <c r="F592" i="15"/>
  <c r="G592" i="15"/>
  <c r="E593" i="15"/>
  <c r="F593" i="15"/>
  <c r="G593" i="15"/>
  <c r="E594" i="15"/>
  <c r="F594" i="15"/>
  <c r="G594" i="15"/>
  <c r="E595" i="15"/>
  <c r="F595" i="15"/>
  <c r="G595" i="15"/>
  <c r="E596" i="15"/>
  <c r="F596" i="15"/>
  <c r="G596" i="15"/>
  <c r="E597" i="15"/>
  <c r="F597" i="15"/>
  <c r="G597" i="15"/>
  <c r="E598" i="15"/>
  <c r="F598" i="15"/>
  <c r="G598" i="15"/>
  <c r="E599" i="15"/>
  <c r="F599" i="15"/>
  <c r="G599" i="15"/>
  <c r="E600" i="15"/>
  <c r="F600" i="15"/>
  <c r="G600" i="15"/>
  <c r="E601" i="15"/>
  <c r="F601" i="15"/>
  <c r="G601" i="15"/>
  <c r="E602" i="15"/>
  <c r="F602" i="15"/>
  <c r="G602" i="15"/>
  <c r="E603" i="15"/>
  <c r="F603" i="15"/>
  <c r="G603" i="15"/>
  <c r="E604" i="15"/>
  <c r="F604" i="15"/>
  <c r="G604" i="15"/>
  <c r="E605" i="15"/>
  <c r="F605" i="15"/>
  <c r="G605" i="15"/>
  <c r="E606" i="15"/>
  <c r="F606" i="15"/>
  <c r="G606" i="15"/>
  <c r="E607" i="15"/>
  <c r="F607" i="15"/>
  <c r="G607" i="15"/>
  <c r="E608" i="15"/>
  <c r="F608" i="15"/>
  <c r="G608" i="15"/>
  <c r="E609" i="15"/>
  <c r="F609" i="15"/>
  <c r="G609" i="15"/>
  <c r="E610" i="15"/>
  <c r="F610" i="15"/>
  <c r="G610" i="15"/>
  <c r="E611" i="15"/>
  <c r="F611" i="15"/>
  <c r="G611" i="15"/>
  <c r="E612" i="15"/>
  <c r="F612" i="15"/>
  <c r="G612" i="15"/>
  <c r="E613" i="15"/>
  <c r="F613" i="15"/>
  <c r="G613" i="15"/>
  <c r="E614" i="15"/>
  <c r="F614" i="15"/>
  <c r="G614" i="15"/>
  <c r="E615" i="15"/>
  <c r="F615" i="15"/>
  <c r="G615" i="15"/>
  <c r="E616" i="15"/>
  <c r="F616" i="15"/>
  <c r="G616" i="15"/>
  <c r="E617" i="15"/>
  <c r="F617" i="15"/>
  <c r="G617" i="15"/>
  <c r="E618" i="15"/>
  <c r="F618" i="15"/>
  <c r="G618" i="15"/>
  <c r="E619" i="15"/>
  <c r="F619" i="15"/>
  <c r="G619" i="15"/>
  <c r="E620" i="15"/>
  <c r="F620" i="15"/>
  <c r="G620" i="15"/>
  <c r="E621" i="15"/>
  <c r="F621" i="15"/>
  <c r="G621" i="15"/>
  <c r="E622" i="15"/>
  <c r="F622" i="15"/>
  <c r="G622" i="15"/>
  <c r="E623" i="15"/>
  <c r="F623" i="15"/>
  <c r="G623" i="15"/>
  <c r="E624" i="15"/>
  <c r="F624" i="15"/>
  <c r="G624" i="15"/>
  <c r="E625" i="15"/>
  <c r="F625" i="15"/>
  <c r="G625" i="15"/>
  <c r="E626" i="15"/>
  <c r="F626" i="15"/>
  <c r="G626" i="15"/>
  <c r="E627" i="15"/>
  <c r="F627" i="15"/>
  <c r="G627" i="15"/>
  <c r="E628" i="15"/>
  <c r="F628" i="15"/>
  <c r="G628" i="15"/>
  <c r="E629" i="15"/>
  <c r="F629" i="15"/>
  <c r="G629" i="15"/>
  <c r="E630" i="15"/>
  <c r="F630" i="15"/>
  <c r="G630" i="15"/>
  <c r="E631" i="15"/>
  <c r="F631" i="15"/>
  <c r="G631" i="15"/>
  <c r="E632" i="15"/>
  <c r="F632" i="15"/>
  <c r="G632" i="15"/>
  <c r="E633" i="15"/>
  <c r="F633" i="15"/>
  <c r="G633" i="15"/>
  <c r="E634" i="15"/>
  <c r="F634" i="15"/>
  <c r="G634" i="15"/>
  <c r="E635" i="15"/>
  <c r="F635" i="15"/>
  <c r="G635" i="15"/>
  <c r="E636" i="15"/>
  <c r="F636" i="15"/>
  <c r="G636" i="15"/>
  <c r="E637" i="15"/>
  <c r="F637" i="15"/>
  <c r="G637" i="15"/>
  <c r="E638" i="15"/>
  <c r="F638" i="15"/>
  <c r="G638" i="15"/>
  <c r="E639" i="15"/>
  <c r="F639" i="15"/>
  <c r="G639" i="15"/>
  <c r="E640" i="15"/>
  <c r="F640" i="15"/>
  <c r="G640" i="15"/>
  <c r="E641" i="15"/>
  <c r="F641" i="15"/>
  <c r="G641" i="15"/>
  <c r="E642" i="15"/>
  <c r="F642" i="15"/>
  <c r="G642" i="15"/>
  <c r="E643" i="15"/>
  <c r="F643" i="15"/>
  <c r="G643" i="15"/>
  <c r="E644" i="15"/>
  <c r="F644" i="15"/>
  <c r="G644" i="15"/>
  <c r="E645" i="15"/>
  <c r="F645" i="15"/>
  <c r="G645" i="15"/>
  <c r="E646" i="15"/>
  <c r="F646" i="15"/>
  <c r="G646" i="15"/>
  <c r="E647" i="15"/>
  <c r="F647" i="15"/>
  <c r="G647" i="15"/>
  <c r="E648" i="15"/>
  <c r="F648" i="15"/>
  <c r="G648" i="15"/>
  <c r="E649" i="15"/>
  <c r="F649" i="15"/>
  <c r="G649" i="15"/>
  <c r="E650" i="15"/>
  <c r="F650" i="15"/>
  <c r="G650" i="15"/>
  <c r="E651" i="15"/>
  <c r="F651" i="15"/>
  <c r="G651" i="15"/>
  <c r="E652" i="15"/>
  <c r="F652" i="15"/>
  <c r="G652" i="15"/>
  <c r="E653" i="15"/>
  <c r="F653" i="15"/>
  <c r="G653" i="15"/>
  <c r="E654" i="15"/>
  <c r="F654" i="15"/>
  <c r="G654" i="15"/>
  <c r="E655" i="15"/>
  <c r="F655" i="15"/>
  <c r="G655" i="15"/>
  <c r="E656" i="15"/>
  <c r="F656" i="15"/>
  <c r="G656" i="15"/>
  <c r="E657" i="15"/>
  <c r="F657" i="15"/>
  <c r="G657" i="15"/>
  <c r="E658" i="15"/>
  <c r="F658" i="15"/>
  <c r="G658" i="15"/>
  <c r="E659" i="15"/>
  <c r="F659" i="15"/>
  <c r="G659" i="15"/>
  <c r="E660" i="15"/>
  <c r="F660" i="15"/>
  <c r="G660" i="15"/>
  <c r="E661" i="15"/>
  <c r="F661" i="15"/>
  <c r="G661" i="15"/>
  <c r="E662" i="15"/>
  <c r="F662" i="15"/>
  <c r="G662" i="15"/>
  <c r="E663" i="15"/>
  <c r="F663" i="15"/>
  <c r="G663" i="15"/>
  <c r="E664" i="15"/>
  <c r="F664" i="15"/>
  <c r="G664" i="15"/>
  <c r="E665" i="15"/>
  <c r="F665" i="15"/>
  <c r="G665" i="15"/>
  <c r="E666" i="15"/>
  <c r="F666" i="15"/>
  <c r="G666" i="15"/>
  <c r="E667" i="15"/>
  <c r="F667" i="15"/>
  <c r="G667" i="15"/>
  <c r="E668" i="15"/>
  <c r="F668" i="15"/>
  <c r="G668" i="15"/>
  <c r="E669" i="15"/>
  <c r="F669" i="15"/>
  <c r="G669" i="15"/>
  <c r="E670" i="15"/>
  <c r="F670" i="15"/>
  <c r="G670" i="15"/>
  <c r="E671" i="15"/>
  <c r="F671" i="15"/>
  <c r="G671" i="15"/>
  <c r="E672" i="15"/>
  <c r="F672" i="15"/>
  <c r="G672" i="15"/>
  <c r="E673" i="15"/>
  <c r="F673" i="15"/>
  <c r="G673" i="15"/>
  <c r="E674" i="15"/>
  <c r="F674" i="15"/>
  <c r="G674" i="15"/>
  <c r="E675" i="15"/>
  <c r="F675" i="15"/>
  <c r="G675" i="15"/>
  <c r="E676" i="15"/>
  <c r="F676" i="15"/>
  <c r="G676" i="15"/>
  <c r="E677" i="15"/>
  <c r="F677" i="15"/>
  <c r="G677" i="15"/>
  <c r="E678" i="15"/>
  <c r="F678" i="15"/>
  <c r="G678" i="15"/>
  <c r="E679" i="15"/>
  <c r="F679" i="15"/>
  <c r="G679" i="15"/>
  <c r="E680" i="15"/>
  <c r="F680" i="15"/>
  <c r="G680" i="15"/>
  <c r="E681" i="15"/>
  <c r="F681" i="15"/>
  <c r="G681" i="15"/>
  <c r="E682" i="15"/>
  <c r="F682" i="15"/>
  <c r="G682" i="15"/>
  <c r="E683" i="15"/>
  <c r="F683" i="15"/>
  <c r="G683" i="15"/>
  <c r="E684" i="15"/>
  <c r="F684" i="15"/>
  <c r="G684" i="15"/>
  <c r="E685" i="15"/>
  <c r="F685" i="15"/>
  <c r="G685" i="15"/>
  <c r="E686" i="15"/>
  <c r="F686" i="15"/>
  <c r="G686" i="15"/>
  <c r="E687" i="15"/>
  <c r="F687" i="15"/>
  <c r="G687" i="15"/>
  <c r="E688" i="15"/>
  <c r="F688" i="15"/>
  <c r="G688" i="15"/>
  <c r="E689" i="15"/>
  <c r="F689" i="15"/>
  <c r="G689" i="15"/>
  <c r="E690" i="15"/>
  <c r="F690" i="15"/>
  <c r="G690" i="15"/>
  <c r="E691" i="15"/>
  <c r="F691" i="15"/>
  <c r="G691" i="15"/>
  <c r="E692" i="15"/>
  <c r="F692" i="15"/>
  <c r="G692" i="15"/>
  <c r="E693" i="15"/>
  <c r="F693" i="15"/>
  <c r="G693" i="15"/>
  <c r="E694" i="15"/>
  <c r="F694" i="15"/>
  <c r="G694" i="15"/>
  <c r="E695" i="15"/>
  <c r="F695" i="15"/>
  <c r="G695" i="15"/>
  <c r="E696" i="15"/>
  <c r="F696" i="15"/>
  <c r="G696" i="15"/>
  <c r="E697" i="15"/>
  <c r="F697" i="15"/>
  <c r="G697" i="15"/>
  <c r="E698" i="15"/>
  <c r="F698" i="15"/>
  <c r="G698" i="15"/>
  <c r="E699" i="15"/>
  <c r="F699" i="15"/>
  <c r="G699" i="15"/>
  <c r="E700" i="15"/>
  <c r="F700" i="15"/>
  <c r="G700" i="15"/>
  <c r="E701" i="15"/>
  <c r="F701" i="15"/>
  <c r="G701" i="15"/>
  <c r="E702" i="15"/>
  <c r="F702" i="15"/>
  <c r="G702" i="15"/>
  <c r="E703" i="15"/>
  <c r="F703" i="15"/>
  <c r="G703" i="15"/>
  <c r="E704" i="15"/>
  <c r="F704" i="15"/>
  <c r="G704" i="15"/>
  <c r="E705" i="15"/>
  <c r="F705" i="15"/>
  <c r="G705" i="15"/>
  <c r="E706" i="15"/>
  <c r="F706" i="15"/>
  <c r="G706" i="15"/>
  <c r="E707" i="15"/>
  <c r="F707" i="15"/>
  <c r="G707" i="15"/>
  <c r="E708" i="15"/>
  <c r="F708" i="15"/>
  <c r="G708" i="15"/>
  <c r="E709" i="15"/>
  <c r="F709" i="15"/>
  <c r="G709" i="15"/>
  <c r="E710" i="15"/>
  <c r="F710" i="15"/>
  <c r="G710" i="15"/>
  <c r="E711" i="15"/>
  <c r="F711" i="15"/>
  <c r="G711" i="15"/>
  <c r="E712" i="15"/>
  <c r="F712" i="15"/>
  <c r="G712" i="15"/>
  <c r="E713" i="15"/>
  <c r="F713" i="15"/>
  <c r="G713" i="15"/>
  <c r="E714" i="15"/>
  <c r="F714" i="15"/>
  <c r="G714" i="15"/>
  <c r="E715" i="15"/>
  <c r="F715" i="15"/>
  <c r="G715" i="15"/>
  <c r="E716" i="15"/>
  <c r="F716" i="15"/>
  <c r="G716" i="15"/>
  <c r="E717" i="15"/>
  <c r="F717" i="15"/>
  <c r="G717" i="15"/>
  <c r="E718" i="15"/>
  <c r="F718" i="15"/>
  <c r="G718" i="15"/>
  <c r="E719" i="15"/>
  <c r="F719" i="15"/>
  <c r="G719" i="15"/>
  <c r="E720" i="15"/>
  <c r="F720" i="15"/>
  <c r="G720" i="15"/>
  <c r="E721" i="15"/>
  <c r="F721" i="15"/>
  <c r="G721" i="15"/>
  <c r="E722" i="15"/>
  <c r="F722" i="15"/>
  <c r="G722" i="15"/>
  <c r="E723" i="15"/>
  <c r="F723" i="15"/>
  <c r="G723" i="15"/>
  <c r="E724" i="15"/>
  <c r="F724" i="15"/>
  <c r="G724" i="15"/>
  <c r="E725" i="15"/>
  <c r="F725" i="15"/>
  <c r="G725" i="15"/>
  <c r="E726" i="15"/>
  <c r="F726" i="15"/>
  <c r="G726" i="15"/>
  <c r="E727" i="15"/>
  <c r="F727" i="15"/>
  <c r="G727" i="15"/>
  <c r="E728" i="15"/>
  <c r="F728" i="15"/>
  <c r="G728" i="15"/>
  <c r="E729" i="15"/>
  <c r="F729" i="15"/>
  <c r="G729" i="15"/>
  <c r="E730" i="15"/>
  <c r="F730" i="15"/>
  <c r="G730" i="15"/>
  <c r="E731" i="15"/>
  <c r="F731" i="15"/>
  <c r="G731" i="15"/>
  <c r="E732" i="15"/>
  <c r="F732" i="15"/>
  <c r="G732" i="15"/>
  <c r="E733" i="15"/>
  <c r="F733" i="15"/>
  <c r="G733" i="15"/>
  <c r="E734" i="15"/>
  <c r="F734" i="15"/>
  <c r="G734" i="15"/>
  <c r="E735" i="15"/>
  <c r="F735" i="15"/>
  <c r="G735" i="15"/>
  <c r="E736" i="15"/>
  <c r="F736" i="15"/>
  <c r="G736" i="15"/>
  <c r="E737" i="15"/>
  <c r="F737" i="15"/>
  <c r="G737" i="15"/>
  <c r="E738" i="15"/>
  <c r="F738" i="15"/>
  <c r="G738" i="15"/>
  <c r="E739" i="15"/>
  <c r="F739" i="15"/>
  <c r="G739" i="15"/>
  <c r="E740" i="15"/>
  <c r="F740" i="15"/>
  <c r="G740" i="15"/>
  <c r="E741" i="15"/>
  <c r="F741" i="15"/>
  <c r="G741" i="15"/>
  <c r="E742" i="15"/>
  <c r="F742" i="15"/>
  <c r="G742" i="15"/>
  <c r="E743" i="15"/>
  <c r="F743" i="15"/>
  <c r="G743" i="15"/>
  <c r="E744" i="15"/>
  <c r="F744" i="15"/>
  <c r="G744" i="15"/>
  <c r="E745" i="15"/>
  <c r="F745" i="15"/>
  <c r="G745" i="15"/>
  <c r="E746" i="15"/>
  <c r="F746" i="15"/>
  <c r="G746" i="15"/>
  <c r="E747" i="15"/>
  <c r="F747" i="15"/>
  <c r="G747" i="15"/>
  <c r="E748" i="15"/>
  <c r="F748" i="15"/>
  <c r="G748" i="15"/>
  <c r="E749" i="15"/>
  <c r="F749" i="15"/>
  <c r="G749" i="15"/>
  <c r="E750" i="15"/>
  <c r="F750" i="15"/>
  <c r="G750" i="15"/>
  <c r="E751" i="15"/>
  <c r="F751" i="15"/>
  <c r="G751" i="15"/>
  <c r="E752" i="15"/>
  <c r="F752" i="15"/>
  <c r="G752" i="15"/>
  <c r="E753" i="15"/>
  <c r="F753" i="15"/>
  <c r="G753" i="15"/>
  <c r="E754" i="15"/>
  <c r="F754" i="15"/>
  <c r="G754" i="15"/>
  <c r="E755" i="15"/>
  <c r="F755" i="15"/>
  <c r="G755" i="15"/>
  <c r="E756" i="15"/>
  <c r="F756" i="15"/>
  <c r="G756" i="15"/>
  <c r="E757" i="15"/>
  <c r="F757" i="15"/>
  <c r="G757" i="15"/>
  <c r="E758" i="15"/>
  <c r="F758" i="15"/>
  <c r="G758" i="15"/>
  <c r="E759" i="15"/>
  <c r="F759" i="15"/>
  <c r="G759" i="15"/>
  <c r="E760" i="15"/>
  <c r="F760" i="15"/>
  <c r="G760" i="15"/>
  <c r="E761" i="15"/>
  <c r="F761" i="15"/>
  <c r="G761" i="15"/>
  <c r="E762" i="15"/>
  <c r="F762" i="15"/>
  <c r="G762" i="15"/>
  <c r="E763" i="15"/>
  <c r="F763" i="15"/>
  <c r="G763" i="15"/>
  <c r="E764" i="15"/>
  <c r="F764" i="15"/>
  <c r="G764" i="15"/>
  <c r="E765" i="15"/>
  <c r="F765" i="15"/>
  <c r="G765" i="15"/>
  <c r="E766" i="15"/>
  <c r="F766" i="15"/>
  <c r="G766" i="15"/>
  <c r="E767" i="15"/>
  <c r="F767" i="15"/>
  <c r="G767" i="15"/>
  <c r="E768" i="15"/>
  <c r="F768" i="15"/>
  <c r="G768" i="15"/>
  <c r="E769" i="15"/>
  <c r="F769" i="15"/>
  <c r="G769" i="15"/>
  <c r="E770" i="15"/>
  <c r="F770" i="15"/>
  <c r="G770" i="15"/>
  <c r="E771" i="15"/>
  <c r="F771" i="15"/>
  <c r="G771" i="15"/>
  <c r="E772" i="15"/>
  <c r="F772" i="15"/>
  <c r="G772" i="15"/>
  <c r="E773" i="15"/>
  <c r="F773" i="15"/>
  <c r="G773" i="15"/>
  <c r="E774" i="15"/>
  <c r="F774" i="15"/>
  <c r="G774" i="15"/>
  <c r="E775" i="15"/>
  <c r="F775" i="15"/>
  <c r="G775" i="15"/>
  <c r="E776" i="15"/>
  <c r="F776" i="15"/>
  <c r="G776" i="15"/>
  <c r="E777" i="15"/>
  <c r="F777" i="15"/>
  <c r="G777" i="15"/>
  <c r="E778" i="15"/>
  <c r="F778" i="15"/>
  <c r="G778" i="15"/>
  <c r="E779" i="15"/>
  <c r="F779" i="15"/>
  <c r="G779" i="15"/>
  <c r="E780" i="15"/>
  <c r="F780" i="15"/>
  <c r="G780" i="15"/>
  <c r="E781" i="15"/>
  <c r="F781" i="15"/>
  <c r="G781" i="15"/>
  <c r="E782" i="15"/>
  <c r="F782" i="15"/>
  <c r="G782" i="15"/>
  <c r="E783" i="15"/>
  <c r="F783" i="15"/>
  <c r="G783" i="15"/>
  <c r="E784" i="15"/>
  <c r="F784" i="15"/>
  <c r="G784" i="15"/>
  <c r="E785" i="15"/>
  <c r="F785" i="15"/>
  <c r="G785" i="15"/>
  <c r="E786" i="15"/>
  <c r="F786" i="15"/>
  <c r="G786" i="15"/>
  <c r="E787" i="15"/>
  <c r="F787" i="15"/>
  <c r="G787" i="15"/>
  <c r="E788" i="15"/>
  <c r="F788" i="15"/>
  <c r="G788" i="15"/>
  <c r="E789" i="15"/>
  <c r="F789" i="15"/>
  <c r="G789" i="15"/>
  <c r="E790" i="15"/>
  <c r="F790" i="15"/>
  <c r="G790" i="15"/>
  <c r="E791" i="15"/>
  <c r="F791" i="15"/>
  <c r="G791" i="15"/>
  <c r="E792" i="15"/>
  <c r="F792" i="15"/>
  <c r="G792" i="15"/>
  <c r="E793" i="15"/>
  <c r="F793" i="15"/>
  <c r="G793" i="15"/>
  <c r="E794" i="15"/>
  <c r="F794" i="15"/>
  <c r="G794" i="15"/>
  <c r="E795" i="15"/>
  <c r="F795" i="15"/>
  <c r="G795" i="15"/>
  <c r="E796" i="15"/>
  <c r="F796" i="15"/>
  <c r="G796" i="15"/>
  <c r="E797" i="15"/>
  <c r="F797" i="15"/>
  <c r="G797" i="15"/>
  <c r="E798" i="15"/>
  <c r="F798" i="15"/>
  <c r="G798" i="15"/>
  <c r="E799" i="15"/>
  <c r="F799" i="15"/>
  <c r="G799" i="15"/>
  <c r="E800" i="15"/>
  <c r="F800" i="15"/>
  <c r="G800" i="15"/>
  <c r="E801" i="15"/>
  <c r="F801" i="15"/>
  <c r="G801" i="15"/>
  <c r="E802" i="15"/>
  <c r="F802" i="15"/>
  <c r="G802" i="15"/>
  <c r="E803" i="15"/>
  <c r="F803" i="15"/>
  <c r="G803" i="15"/>
  <c r="E804" i="15"/>
  <c r="F804" i="15"/>
  <c r="G804" i="15"/>
  <c r="E805" i="15"/>
  <c r="F805" i="15"/>
  <c r="G805" i="15"/>
  <c r="E806" i="15"/>
  <c r="F806" i="15"/>
  <c r="G806" i="15"/>
  <c r="E807" i="15"/>
  <c r="F807" i="15"/>
  <c r="G807" i="15"/>
  <c r="E808" i="15"/>
  <c r="F808" i="15"/>
  <c r="G808" i="15"/>
  <c r="E809" i="15"/>
  <c r="F809" i="15"/>
  <c r="G809" i="15"/>
  <c r="E810" i="15"/>
  <c r="F810" i="15"/>
  <c r="G810" i="15"/>
  <c r="E811" i="15"/>
  <c r="F811" i="15"/>
  <c r="G811" i="15"/>
  <c r="E812" i="15"/>
  <c r="F812" i="15"/>
  <c r="G812" i="15"/>
  <c r="E813" i="15"/>
  <c r="F813" i="15"/>
  <c r="G813" i="15"/>
  <c r="E814" i="15"/>
  <c r="F814" i="15"/>
  <c r="G814" i="15"/>
  <c r="E815" i="15"/>
  <c r="F815" i="15"/>
  <c r="G815" i="15"/>
  <c r="E816" i="15"/>
  <c r="F816" i="15"/>
  <c r="G816" i="15"/>
  <c r="E817" i="15"/>
  <c r="F817" i="15"/>
  <c r="G817" i="15"/>
  <c r="E818" i="15"/>
  <c r="F818" i="15"/>
  <c r="G818" i="15"/>
  <c r="E819" i="15"/>
  <c r="F819" i="15"/>
  <c r="G819" i="15"/>
  <c r="E820" i="15"/>
  <c r="F820" i="15"/>
  <c r="G820" i="15"/>
  <c r="E821" i="15"/>
  <c r="F821" i="15"/>
  <c r="G821" i="15"/>
  <c r="E822" i="15"/>
  <c r="F822" i="15"/>
  <c r="G822" i="15"/>
  <c r="E823" i="15"/>
  <c r="F823" i="15"/>
  <c r="G823" i="15"/>
  <c r="E824" i="15"/>
  <c r="F824" i="15"/>
  <c r="G824" i="15"/>
  <c r="E825" i="15"/>
  <c r="F825" i="15"/>
  <c r="G825" i="15"/>
  <c r="E826" i="15"/>
  <c r="F826" i="15"/>
  <c r="G826" i="15"/>
  <c r="E827" i="15"/>
  <c r="F827" i="15"/>
  <c r="G827" i="15"/>
  <c r="E828" i="15"/>
  <c r="F828" i="15"/>
  <c r="G828" i="15"/>
  <c r="E829" i="15"/>
  <c r="F829" i="15"/>
  <c r="G829" i="15"/>
  <c r="E830" i="15"/>
  <c r="F830" i="15"/>
  <c r="G830" i="15"/>
  <c r="E831" i="15"/>
  <c r="F831" i="15"/>
  <c r="G831" i="15"/>
  <c r="E832" i="15"/>
  <c r="F832" i="15"/>
  <c r="G832" i="15"/>
  <c r="E833" i="15"/>
  <c r="F833" i="15"/>
  <c r="G833" i="15"/>
  <c r="E834" i="15"/>
  <c r="F834" i="15"/>
  <c r="G834" i="15"/>
  <c r="E835" i="15"/>
  <c r="F835" i="15"/>
  <c r="G835" i="15"/>
  <c r="E836" i="15"/>
  <c r="F836" i="15"/>
  <c r="G836" i="15"/>
  <c r="E837" i="15"/>
  <c r="F837" i="15"/>
  <c r="G837" i="15"/>
  <c r="E838" i="15"/>
  <c r="F838" i="15"/>
  <c r="G838" i="15"/>
  <c r="E839" i="15"/>
  <c r="F839" i="15"/>
  <c r="G839" i="15"/>
  <c r="E840" i="15"/>
  <c r="F840" i="15"/>
  <c r="G840" i="15"/>
  <c r="E841" i="15"/>
  <c r="F841" i="15"/>
  <c r="G841" i="15"/>
  <c r="E842" i="15"/>
  <c r="F842" i="15"/>
  <c r="G842" i="15"/>
  <c r="E843" i="15"/>
  <c r="F843" i="15"/>
  <c r="G843" i="15"/>
  <c r="E844" i="15"/>
  <c r="F844" i="15"/>
  <c r="G844" i="15"/>
  <c r="E845" i="15"/>
  <c r="F845" i="15"/>
  <c r="G845" i="15"/>
  <c r="E846" i="15"/>
  <c r="F846" i="15"/>
  <c r="G846" i="15"/>
  <c r="E847" i="15"/>
  <c r="F847" i="15"/>
  <c r="G847" i="15"/>
  <c r="E848" i="15"/>
  <c r="F848" i="15"/>
  <c r="G848" i="15"/>
  <c r="E849" i="15"/>
  <c r="F849" i="15"/>
  <c r="G849" i="15"/>
  <c r="E850" i="15"/>
  <c r="F850" i="15"/>
  <c r="G850" i="15"/>
  <c r="E851" i="15"/>
  <c r="F851" i="15"/>
  <c r="G851" i="15"/>
  <c r="E852" i="15"/>
  <c r="F852" i="15"/>
  <c r="G852" i="15"/>
  <c r="E853" i="15"/>
  <c r="F853" i="15"/>
  <c r="G853" i="15"/>
  <c r="E854" i="15"/>
  <c r="F854" i="15"/>
  <c r="G854" i="15"/>
  <c r="E855" i="15"/>
  <c r="F855" i="15"/>
  <c r="G855" i="15"/>
  <c r="E856" i="15"/>
  <c r="F856" i="15"/>
  <c r="G856" i="15"/>
  <c r="E857" i="15"/>
  <c r="F857" i="15"/>
  <c r="G857" i="15"/>
  <c r="E858" i="15"/>
  <c r="F858" i="15"/>
  <c r="G858" i="15"/>
  <c r="E859" i="15"/>
  <c r="F859" i="15"/>
  <c r="G859" i="15"/>
  <c r="E860" i="15"/>
  <c r="F860" i="15"/>
  <c r="G860" i="15"/>
  <c r="E861" i="15"/>
  <c r="F861" i="15"/>
  <c r="G861" i="15"/>
  <c r="E862" i="15"/>
  <c r="F862" i="15"/>
  <c r="G862" i="15"/>
  <c r="E863" i="15"/>
  <c r="F863" i="15"/>
  <c r="G863" i="15"/>
  <c r="E864" i="15"/>
  <c r="F864" i="15"/>
  <c r="G864" i="15"/>
  <c r="E865" i="15"/>
  <c r="F865" i="15"/>
  <c r="G865" i="15"/>
  <c r="E866" i="15"/>
  <c r="F866" i="15"/>
  <c r="G866" i="15"/>
  <c r="E867" i="15"/>
  <c r="F867" i="15"/>
  <c r="G867" i="15"/>
  <c r="E868" i="15"/>
  <c r="F868" i="15"/>
  <c r="G868" i="15"/>
  <c r="E869" i="15"/>
  <c r="F869" i="15"/>
  <c r="G869" i="15"/>
  <c r="E870" i="15"/>
  <c r="F870" i="15"/>
  <c r="G870" i="15"/>
  <c r="E871" i="15"/>
  <c r="F871" i="15"/>
  <c r="G871" i="15"/>
  <c r="E872" i="15"/>
  <c r="F872" i="15"/>
  <c r="G872" i="15"/>
  <c r="E873" i="15"/>
  <c r="F873" i="15"/>
  <c r="G873" i="15"/>
  <c r="E874" i="15"/>
  <c r="F874" i="15"/>
  <c r="G874" i="15"/>
  <c r="E875" i="15"/>
  <c r="F875" i="15"/>
  <c r="G875" i="15"/>
  <c r="E876" i="15"/>
  <c r="F876" i="15"/>
  <c r="G876" i="15"/>
  <c r="E877" i="15"/>
  <c r="F877" i="15"/>
  <c r="G877" i="15"/>
  <c r="E878" i="15"/>
  <c r="F878" i="15"/>
  <c r="G878" i="15"/>
  <c r="E879" i="15"/>
  <c r="F879" i="15"/>
  <c r="G879" i="15"/>
  <c r="E880" i="15"/>
  <c r="F880" i="15"/>
  <c r="G880" i="15"/>
  <c r="E881" i="15"/>
  <c r="F881" i="15"/>
  <c r="G881" i="15"/>
  <c r="E882" i="15"/>
  <c r="F882" i="15"/>
  <c r="G882" i="15"/>
  <c r="E883" i="15"/>
  <c r="F883" i="15"/>
  <c r="G883" i="15"/>
  <c r="E884" i="15"/>
  <c r="F884" i="15"/>
  <c r="G884" i="15"/>
  <c r="E885" i="15"/>
  <c r="F885" i="15"/>
  <c r="G885" i="15"/>
  <c r="E886" i="15"/>
  <c r="F886" i="15"/>
  <c r="G886" i="15"/>
  <c r="E887" i="15"/>
  <c r="F887" i="15"/>
  <c r="G887" i="15"/>
  <c r="E888" i="15"/>
  <c r="F888" i="15"/>
  <c r="G888" i="15"/>
  <c r="E889" i="15"/>
  <c r="F889" i="15"/>
  <c r="G889" i="15"/>
  <c r="E890" i="15"/>
  <c r="F890" i="15"/>
  <c r="G890" i="15"/>
  <c r="E891" i="15"/>
  <c r="F891" i="15"/>
  <c r="G891" i="15"/>
  <c r="E892" i="15"/>
  <c r="F892" i="15"/>
  <c r="G892" i="15"/>
  <c r="E893" i="15"/>
  <c r="F893" i="15"/>
  <c r="G893" i="15"/>
  <c r="E894" i="15"/>
  <c r="F894" i="15"/>
  <c r="G894" i="15"/>
  <c r="E895" i="15"/>
  <c r="F895" i="15"/>
  <c r="G895" i="15"/>
  <c r="E896" i="15"/>
  <c r="F896" i="15"/>
  <c r="G896" i="15"/>
  <c r="E897" i="15"/>
  <c r="F897" i="15"/>
  <c r="G897" i="15"/>
  <c r="E898" i="15"/>
  <c r="F898" i="15"/>
  <c r="G898" i="15"/>
  <c r="E899" i="15"/>
  <c r="F899" i="15"/>
  <c r="G899" i="15"/>
  <c r="E900" i="15"/>
  <c r="F900" i="15"/>
  <c r="G900" i="15"/>
  <c r="E901" i="15"/>
  <c r="F901" i="15"/>
  <c r="G901" i="15"/>
  <c r="E902" i="15"/>
  <c r="F902" i="15"/>
  <c r="G902" i="15"/>
  <c r="E903" i="15"/>
  <c r="F903" i="15"/>
  <c r="G903" i="15"/>
  <c r="E904" i="15"/>
  <c r="F904" i="15"/>
  <c r="G904" i="15"/>
  <c r="E905" i="15"/>
  <c r="F905" i="15"/>
  <c r="G905" i="15"/>
  <c r="E906" i="15"/>
  <c r="F906" i="15"/>
  <c r="G906" i="15"/>
  <c r="E907" i="15"/>
  <c r="F907" i="15"/>
  <c r="G907" i="15"/>
  <c r="E908" i="15"/>
  <c r="F908" i="15"/>
  <c r="G908" i="15"/>
  <c r="E909" i="15"/>
  <c r="F909" i="15"/>
  <c r="G909" i="15"/>
  <c r="E910" i="15"/>
  <c r="F910" i="15"/>
  <c r="G910" i="15"/>
  <c r="E911" i="15"/>
  <c r="F911" i="15"/>
  <c r="G911" i="15"/>
  <c r="E912" i="15"/>
  <c r="F912" i="15"/>
  <c r="G912" i="15"/>
  <c r="E913" i="15"/>
  <c r="F913" i="15"/>
  <c r="G913" i="15"/>
  <c r="E914" i="15"/>
  <c r="F914" i="15"/>
  <c r="G914" i="15"/>
  <c r="E915" i="15"/>
  <c r="F915" i="15"/>
  <c r="G915" i="15"/>
  <c r="E916" i="15"/>
  <c r="F916" i="15"/>
  <c r="G916" i="15"/>
  <c r="E917" i="15"/>
  <c r="F917" i="15"/>
  <c r="G917" i="15"/>
  <c r="E918" i="15"/>
  <c r="F918" i="15"/>
  <c r="G918" i="15"/>
  <c r="E919" i="15"/>
  <c r="F919" i="15"/>
  <c r="G919" i="15"/>
  <c r="E920" i="15"/>
  <c r="F920" i="15"/>
  <c r="G920" i="15"/>
  <c r="E921" i="15"/>
  <c r="F921" i="15"/>
  <c r="G921" i="15"/>
  <c r="E922" i="15"/>
  <c r="F922" i="15"/>
  <c r="G922" i="15"/>
  <c r="E923" i="15"/>
  <c r="F923" i="15"/>
  <c r="G923" i="15"/>
  <c r="E924" i="15"/>
  <c r="F924" i="15"/>
  <c r="G924" i="15"/>
  <c r="E925" i="15"/>
  <c r="F925" i="15"/>
  <c r="G925" i="15"/>
  <c r="E926" i="15"/>
  <c r="F926" i="15"/>
  <c r="G926" i="15"/>
  <c r="E927" i="15"/>
  <c r="F927" i="15"/>
  <c r="G927" i="15"/>
  <c r="E928" i="15"/>
  <c r="F928" i="15"/>
  <c r="G928" i="15"/>
  <c r="E929" i="15"/>
  <c r="F929" i="15"/>
  <c r="G929" i="15"/>
  <c r="E930" i="15"/>
  <c r="F930" i="15"/>
  <c r="G930" i="15"/>
  <c r="E931" i="15"/>
  <c r="F931" i="15"/>
  <c r="G931" i="15"/>
  <c r="E932" i="15"/>
  <c r="F932" i="15"/>
  <c r="G932" i="15"/>
  <c r="E933" i="15"/>
  <c r="F933" i="15"/>
  <c r="G933" i="15"/>
  <c r="E934" i="15"/>
  <c r="F934" i="15"/>
  <c r="G934" i="15"/>
  <c r="E935" i="15"/>
  <c r="F935" i="15"/>
  <c r="G935" i="15"/>
  <c r="E936" i="15"/>
  <c r="F936" i="15"/>
  <c r="G936" i="15"/>
  <c r="E937" i="15"/>
  <c r="F937" i="15"/>
  <c r="G937" i="15"/>
  <c r="E938" i="15"/>
  <c r="F938" i="15"/>
  <c r="G938" i="15"/>
  <c r="E939" i="15"/>
  <c r="F939" i="15"/>
  <c r="G939" i="15"/>
  <c r="E940" i="15"/>
  <c r="F940" i="15"/>
  <c r="G940" i="15"/>
  <c r="E941" i="15"/>
  <c r="F941" i="15"/>
  <c r="G941" i="15"/>
  <c r="E942" i="15"/>
  <c r="F942" i="15"/>
  <c r="G942" i="15"/>
  <c r="E943" i="15"/>
  <c r="F943" i="15"/>
  <c r="G943" i="15"/>
  <c r="E944" i="15"/>
  <c r="F944" i="15"/>
  <c r="G944" i="15"/>
  <c r="E945" i="15"/>
  <c r="F945" i="15"/>
  <c r="G945" i="15"/>
  <c r="E946" i="15"/>
  <c r="F946" i="15"/>
  <c r="G946" i="15"/>
  <c r="E947" i="15"/>
  <c r="F947" i="15"/>
  <c r="G947" i="15"/>
  <c r="E948" i="15"/>
  <c r="F948" i="15"/>
  <c r="G948" i="15"/>
  <c r="E949" i="15"/>
  <c r="F949" i="15"/>
  <c r="G949" i="15"/>
  <c r="E950" i="15"/>
  <c r="F950" i="15"/>
  <c r="G950" i="15"/>
  <c r="E951" i="15"/>
  <c r="F951" i="15"/>
  <c r="G951" i="15"/>
  <c r="E952" i="15"/>
  <c r="F952" i="15"/>
  <c r="G952" i="15"/>
  <c r="E953" i="15"/>
  <c r="F953" i="15"/>
  <c r="G953" i="15"/>
  <c r="E954" i="15"/>
  <c r="F954" i="15"/>
  <c r="G954" i="15"/>
  <c r="E955" i="15"/>
  <c r="F955" i="15"/>
  <c r="G955" i="15"/>
  <c r="E956" i="15"/>
  <c r="F956" i="15"/>
  <c r="G956" i="15"/>
  <c r="E957" i="15"/>
  <c r="F957" i="15"/>
  <c r="G957" i="15"/>
  <c r="E958" i="15"/>
  <c r="F958" i="15"/>
  <c r="G958" i="15"/>
  <c r="E959" i="15"/>
  <c r="F959" i="15"/>
  <c r="G959" i="15"/>
  <c r="E960" i="15"/>
  <c r="F960" i="15"/>
  <c r="G960" i="15"/>
  <c r="E961" i="15"/>
  <c r="F961" i="15"/>
  <c r="G961" i="15"/>
  <c r="E962" i="15"/>
  <c r="F962" i="15"/>
  <c r="G962" i="15"/>
  <c r="E963" i="15"/>
  <c r="F963" i="15"/>
  <c r="G963" i="15"/>
  <c r="E964" i="15"/>
  <c r="F964" i="15"/>
  <c r="G964" i="15"/>
  <c r="E965" i="15"/>
  <c r="F965" i="15"/>
  <c r="G965" i="15"/>
  <c r="E966" i="15"/>
  <c r="F966" i="15"/>
  <c r="G966" i="15"/>
  <c r="E967" i="15"/>
  <c r="F967" i="15"/>
  <c r="G967" i="15"/>
  <c r="E968" i="15"/>
  <c r="F968" i="15"/>
  <c r="G968" i="15"/>
  <c r="E969" i="15"/>
  <c r="F969" i="15"/>
  <c r="G969" i="15"/>
  <c r="E970" i="15"/>
  <c r="F970" i="15"/>
  <c r="G970" i="15"/>
  <c r="E971" i="15"/>
  <c r="F971" i="15"/>
  <c r="G971" i="15"/>
  <c r="E972" i="15"/>
  <c r="F972" i="15"/>
  <c r="G972" i="15"/>
  <c r="E973" i="15"/>
  <c r="F973" i="15"/>
  <c r="G973" i="15"/>
  <c r="E974" i="15"/>
  <c r="F974" i="15"/>
  <c r="G974" i="15"/>
  <c r="E975" i="15"/>
  <c r="F975" i="15"/>
  <c r="G975" i="15"/>
  <c r="E976" i="15"/>
  <c r="F976" i="15"/>
  <c r="G976" i="15"/>
  <c r="E977" i="15"/>
  <c r="F977" i="15"/>
  <c r="G977" i="15"/>
  <c r="E978" i="15"/>
  <c r="F978" i="15"/>
  <c r="G978" i="15"/>
  <c r="E979" i="15"/>
  <c r="F979" i="15"/>
  <c r="G979" i="15"/>
  <c r="E980" i="15"/>
  <c r="F980" i="15"/>
  <c r="G980" i="15"/>
  <c r="E981" i="15"/>
  <c r="F981" i="15"/>
  <c r="G981" i="15"/>
  <c r="E982" i="15"/>
  <c r="F982" i="15"/>
  <c r="G982" i="15"/>
  <c r="E983" i="15"/>
  <c r="F983" i="15"/>
  <c r="G983" i="15"/>
  <c r="E984" i="15"/>
  <c r="F984" i="15"/>
  <c r="G984" i="15"/>
  <c r="E985" i="15"/>
  <c r="F985" i="15"/>
  <c r="G985" i="15"/>
  <c r="E986" i="15"/>
  <c r="F986" i="15"/>
  <c r="G986" i="15"/>
  <c r="E987" i="15"/>
  <c r="F987" i="15"/>
  <c r="G987" i="15"/>
  <c r="E988" i="15"/>
  <c r="F988" i="15"/>
  <c r="G988" i="15"/>
  <c r="E989" i="15"/>
  <c r="F989" i="15"/>
  <c r="G989" i="15"/>
  <c r="E990" i="15"/>
  <c r="F990" i="15"/>
  <c r="G990" i="15"/>
  <c r="E991" i="15"/>
  <c r="F991" i="15"/>
  <c r="G991" i="15"/>
  <c r="E992" i="15"/>
  <c r="F992" i="15"/>
  <c r="G992" i="15"/>
  <c r="E993" i="15"/>
  <c r="F993" i="15"/>
  <c r="G993" i="15"/>
  <c r="E994" i="15"/>
  <c r="F994" i="15"/>
  <c r="G994" i="15"/>
  <c r="E995" i="15"/>
  <c r="F995" i="15"/>
  <c r="G995" i="15"/>
  <c r="E996" i="15"/>
  <c r="F996" i="15"/>
  <c r="G996" i="15"/>
  <c r="E997" i="15"/>
  <c r="F997" i="15"/>
  <c r="G997" i="15"/>
  <c r="E998" i="15"/>
  <c r="F998" i="15"/>
  <c r="G998" i="15"/>
  <c r="E999" i="15"/>
  <c r="F999" i="15"/>
  <c r="G999" i="15"/>
  <c r="E1000" i="15"/>
  <c r="F1000" i="15"/>
  <c r="G1000" i="15"/>
  <c r="E1001" i="15"/>
  <c r="F1001" i="15"/>
  <c r="G1001" i="15"/>
  <c r="E1002" i="15"/>
  <c r="F1002" i="15"/>
  <c r="G1002" i="15"/>
  <c r="E1003" i="15"/>
  <c r="F1003" i="15"/>
  <c r="G1003" i="15"/>
  <c r="E1004" i="15"/>
  <c r="F1004" i="15"/>
  <c r="G1004" i="15"/>
  <c r="E1005" i="15"/>
  <c r="F1005" i="15"/>
  <c r="G1005" i="15"/>
  <c r="E1006" i="15"/>
  <c r="F1006" i="15"/>
  <c r="G1006" i="15"/>
  <c r="E1007" i="15"/>
  <c r="F1007" i="15"/>
  <c r="G1007" i="15"/>
  <c r="E1008" i="15"/>
  <c r="F1008" i="15"/>
  <c r="G1008" i="15"/>
  <c r="E1009" i="15"/>
  <c r="F1009" i="15"/>
  <c r="G1009" i="15"/>
  <c r="E1010" i="15"/>
  <c r="F1010" i="15"/>
  <c r="G1010" i="15"/>
  <c r="E1011" i="15"/>
  <c r="F1011" i="15"/>
  <c r="G1011" i="15"/>
  <c r="E1012" i="15"/>
  <c r="F1012" i="15"/>
  <c r="G1012" i="15"/>
  <c r="E1013" i="15"/>
  <c r="F1013" i="15"/>
  <c r="G1013" i="15"/>
  <c r="E1014" i="15"/>
  <c r="F1014" i="15"/>
  <c r="G1014" i="15"/>
  <c r="E1015" i="15"/>
  <c r="F1015" i="15"/>
  <c r="G1015" i="15"/>
  <c r="E1016" i="15"/>
  <c r="F1016" i="15"/>
  <c r="G1016" i="15"/>
  <c r="E1017" i="15"/>
  <c r="F1017" i="15"/>
  <c r="G1017" i="15"/>
  <c r="E1018" i="15"/>
  <c r="F1018" i="15"/>
  <c r="G1018" i="15"/>
  <c r="E1019" i="15"/>
  <c r="F1019" i="15"/>
  <c r="G1019" i="15"/>
  <c r="E1020" i="15"/>
  <c r="F1020" i="15"/>
  <c r="G1020" i="15"/>
  <c r="E1021" i="15"/>
  <c r="F1021" i="15"/>
  <c r="G1021" i="15"/>
  <c r="E1022" i="15"/>
  <c r="F1022" i="15"/>
  <c r="G1022" i="15"/>
  <c r="E1023" i="15"/>
  <c r="F1023" i="15"/>
  <c r="G1023" i="15"/>
  <c r="E1024" i="15"/>
  <c r="F1024" i="15"/>
  <c r="G1024" i="15"/>
  <c r="E1025" i="15"/>
  <c r="F1025" i="15"/>
  <c r="G1025" i="15"/>
  <c r="E1026" i="15"/>
  <c r="F1026" i="15"/>
  <c r="G1026" i="15"/>
  <c r="E1027" i="15"/>
  <c r="F1027" i="15"/>
  <c r="G1027" i="15"/>
  <c r="E1028" i="15"/>
  <c r="F1028" i="15"/>
  <c r="G1028" i="15"/>
  <c r="E1029" i="15"/>
  <c r="F1029" i="15"/>
  <c r="G1029" i="15"/>
  <c r="E1030" i="15"/>
  <c r="F1030" i="15"/>
  <c r="G1030" i="15"/>
  <c r="E1031" i="15"/>
  <c r="F1031" i="15"/>
  <c r="G1031" i="15"/>
  <c r="E1032" i="15"/>
  <c r="F1032" i="15"/>
  <c r="G1032" i="15"/>
  <c r="E1033" i="15"/>
  <c r="F1033" i="15"/>
  <c r="G1033" i="15"/>
  <c r="E1034" i="15"/>
  <c r="F1034" i="15"/>
  <c r="G1034" i="15"/>
  <c r="E1035" i="15"/>
  <c r="F1035" i="15"/>
  <c r="G1035" i="15"/>
  <c r="E1036" i="15"/>
  <c r="F1036" i="15"/>
  <c r="G1036" i="15"/>
  <c r="E1037" i="15"/>
  <c r="F1037" i="15"/>
  <c r="G1037" i="15"/>
  <c r="E1038" i="15"/>
  <c r="F1038" i="15"/>
  <c r="G1038" i="15"/>
  <c r="E1039" i="15"/>
  <c r="F1039" i="15"/>
  <c r="G1039" i="15"/>
  <c r="E1040" i="15"/>
  <c r="F1040" i="15"/>
  <c r="G1040" i="15"/>
  <c r="E1041" i="15"/>
  <c r="F1041" i="15"/>
  <c r="G1041" i="15"/>
  <c r="E1042" i="15"/>
  <c r="F1042" i="15"/>
  <c r="G1042" i="15"/>
  <c r="E1043" i="15"/>
  <c r="F1043" i="15"/>
  <c r="G1043" i="15"/>
  <c r="E1044" i="15"/>
  <c r="F1044" i="15"/>
  <c r="G1044" i="15"/>
  <c r="E1045" i="15"/>
  <c r="F1045" i="15"/>
  <c r="G1045" i="15"/>
  <c r="E1046" i="15"/>
  <c r="F1046" i="15"/>
  <c r="G1046" i="15"/>
  <c r="E1047" i="15"/>
  <c r="F1047" i="15"/>
  <c r="G1047" i="15"/>
  <c r="E1048" i="15"/>
  <c r="F1048" i="15"/>
  <c r="G1048" i="15"/>
  <c r="E1049" i="15"/>
  <c r="F1049" i="15"/>
  <c r="G1049" i="15"/>
  <c r="E1050" i="15"/>
  <c r="F1050" i="15"/>
  <c r="G1050" i="15"/>
  <c r="E1051" i="15"/>
  <c r="F1051" i="15"/>
  <c r="G1051" i="15"/>
  <c r="E1052" i="15"/>
  <c r="F1052" i="15"/>
  <c r="G1052" i="15"/>
  <c r="E1053" i="15"/>
  <c r="F1053" i="15"/>
  <c r="G1053" i="15"/>
  <c r="E1054" i="15"/>
  <c r="F1054" i="15"/>
  <c r="G1054" i="15"/>
  <c r="E1055" i="15"/>
  <c r="F1055" i="15"/>
  <c r="G1055" i="15"/>
  <c r="E1056" i="15"/>
  <c r="F1056" i="15"/>
  <c r="G1056" i="15"/>
  <c r="E1057" i="15"/>
  <c r="F1057" i="15"/>
  <c r="G1057" i="15"/>
  <c r="E1058" i="15"/>
  <c r="F1058" i="15"/>
  <c r="G1058" i="15"/>
  <c r="E1059" i="15"/>
  <c r="F1059" i="15"/>
  <c r="G1059" i="15"/>
  <c r="E1060" i="15"/>
  <c r="F1060" i="15"/>
  <c r="G1060" i="15"/>
  <c r="E1061" i="15"/>
  <c r="F1061" i="15"/>
  <c r="G1061" i="15"/>
  <c r="E1062" i="15"/>
  <c r="F1062" i="15"/>
  <c r="G1062" i="15"/>
  <c r="E1063" i="15"/>
  <c r="F1063" i="15"/>
  <c r="G1063" i="15"/>
  <c r="E1064" i="15"/>
  <c r="F1064" i="15"/>
  <c r="G1064" i="15"/>
  <c r="E1065" i="15"/>
  <c r="F1065" i="15"/>
  <c r="G1065" i="15"/>
  <c r="E1066" i="15"/>
  <c r="F1066" i="15"/>
  <c r="G1066" i="15"/>
  <c r="E1067" i="15"/>
  <c r="F1067" i="15"/>
  <c r="G1067" i="15"/>
  <c r="E1068" i="15"/>
  <c r="F1068" i="15"/>
  <c r="G1068" i="15"/>
  <c r="E1069" i="15"/>
  <c r="F1069" i="15"/>
  <c r="G1069" i="15"/>
  <c r="E1070" i="15"/>
  <c r="F1070" i="15"/>
  <c r="G1070" i="15"/>
  <c r="E1071" i="15"/>
  <c r="F1071" i="15"/>
  <c r="G1071" i="15"/>
  <c r="E1072" i="15"/>
  <c r="F1072" i="15"/>
  <c r="G1072" i="15"/>
  <c r="E1073" i="15"/>
  <c r="F1073" i="15"/>
  <c r="G1073" i="15"/>
  <c r="E1074" i="15"/>
  <c r="F1074" i="15"/>
  <c r="G1074" i="15"/>
  <c r="E1075" i="15"/>
  <c r="F1075" i="15"/>
  <c r="G1075" i="15"/>
  <c r="E1076" i="15"/>
  <c r="F1076" i="15"/>
  <c r="G1076" i="15"/>
  <c r="E1077" i="15"/>
  <c r="F1077" i="15"/>
  <c r="G1077" i="15"/>
  <c r="E1078" i="15"/>
  <c r="F1078" i="15"/>
  <c r="G1078" i="15"/>
  <c r="E1079" i="15"/>
  <c r="F1079" i="15"/>
  <c r="G1079" i="15"/>
  <c r="E1080" i="15"/>
  <c r="F1080" i="15"/>
  <c r="G1080" i="15"/>
  <c r="E1081" i="15"/>
  <c r="F1081" i="15"/>
  <c r="G1081" i="15"/>
  <c r="E1082" i="15"/>
  <c r="F1082" i="15"/>
  <c r="G1082" i="15"/>
  <c r="E1083" i="15"/>
  <c r="F1083" i="15"/>
  <c r="G1083" i="15"/>
  <c r="E1084" i="15"/>
  <c r="F1084" i="15"/>
  <c r="G1084" i="15"/>
  <c r="E1085" i="15"/>
  <c r="F1085" i="15"/>
  <c r="G1085" i="15"/>
  <c r="E1086" i="15"/>
  <c r="F1086" i="15"/>
  <c r="G1086" i="15"/>
  <c r="E1087" i="15"/>
  <c r="F1087" i="15"/>
  <c r="G1087" i="15"/>
  <c r="E1088" i="15"/>
  <c r="F1088" i="15"/>
  <c r="G1088" i="15"/>
  <c r="E1089" i="15"/>
  <c r="F1089" i="15"/>
  <c r="G1089" i="15"/>
  <c r="E1090" i="15"/>
  <c r="F1090" i="15"/>
  <c r="G1090" i="15"/>
  <c r="E1091" i="15"/>
  <c r="F1091" i="15"/>
  <c r="G1091" i="15"/>
  <c r="E1092" i="15"/>
  <c r="F1092" i="15"/>
  <c r="G1092" i="15"/>
  <c r="E1093" i="15"/>
  <c r="F1093" i="15"/>
  <c r="G1093" i="15"/>
  <c r="E1094" i="15"/>
  <c r="F1094" i="15"/>
  <c r="G1094" i="15"/>
  <c r="E1095" i="15"/>
  <c r="F1095" i="15"/>
  <c r="G1095" i="15"/>
  <c r="E1096" i="15"/>
  <c r="F1096" i="15"/>
  <c r="G1096" i="15"/>
  <c r="E1097" i="15"/>
  <c r="F1097" i="15"/>
  <c r="G1097" i="15"/>
  <c r="E1098" i="15"/>
  <c r="F1098" i="15"/>
  <c r="G1098" i="15"/>
  <c r="E1099" i="15"/>
  <c r="F1099" i="15"/>
  <c r="G1099" i="15"/>
  <c r="E1100" i="15"/>
  <c r="F1100" i="15"/>
  <c r="G1100" i="15"/>
  <c r="E1101" i="15"/>
  <c r="F1101" i="15"/>
  <c r="G1101" i="15"/>
  <c r="E1102" i="15"/>
  <c r="F1102" i="15"/>
  <c r="G1102" i="15"/>
  <c r="E1103" i="15"/>
  <c r="F1103" i="15"/>
  <c r="G1103" i="15"/>
  <c r="E1104" i="15"/>
  <c r="F1104" i="15"/>
  <c r="G1104" i="15"/>
  <c r="E1105" i="15"/>
  <c r="F1105" i="15"/>
  <c r="G1105" i="15"/>
  <c r="E1106" i="15"/>
  <c r="F1106" i="15"/>
  <c r="G1106" i="15"/>
  <c r="E1107" i="15"/>
  <c r="F1107" i="15"/>
  <c r="G1107" i="15"/>
  <c r="E1108" i="15"/>
  <c r="F1108" i="15"/>
  <c r="G1108" i="15"/>
  <c r="E1109" i="15"/>
  <c r="F1109" i="15"/>
  <c r="G1109" i="15"/>
  <c r="E1110" i="15"/>
  <c r="F1110" i="15"/>
  <c r="G1110" i="15"/>
  <c r="E1111" i="15"/>
  <c r="F1111" i="15"/>
  <c r="G1111" i="15"/>
  <c r="E1112" i="15"/>
  <c r="F1112" i="15"/>
  <c r="G1112" i="15"/>
  <c r="E1113" i="15"/>
  <c r="F1113" i="15"/>
  <c r="G1113" i="15"/>
  <c r="E1114" i="15"/>
  <c r="F1114" i="15"/>
  <c r="G1114" i="15"/>
  <c r="E1115" i="15"/>
  <c r="F1115" i="15"/>
  <c r="G1115" i="15"/>
  <c r="E1116" i="15"/>
  <c r="F1116" i="15"/>
  <c r="G1116" i="15"/>
  <c r="E1117" i="15"/>
  <c r="F1117" i="15"/>
  <c r="G1117" i="15"/>
  <c r="E1118" i="15"/>
  <c r="F1118" i="15"/>
  <c r="G1118" i="15"/>
  <c r="E1119" i="15"/>
  <c r="F1119" i="15"/>
  <c r="G1119" i="15"/>
  <c r="E1120" i="15"/>
  <c r="F1120" i="15"/>
  <c r="G1120" i="15"/>
  <c r="E1121" i="15"/>
  <c r="F1121" i="15"/>
  <c r="G1121" i="15"/>
  <c r="E1122" i="15"/>
  <c r="F1122" i="15"/>
  <c r="G1122" i="15"/>
  <c r="E1123" i="15"/>
  <c r="F1123" i="15"/>
  <c r="G1123" i="15"/>
  <c r="E1124" i="15"/>
  <c r="F1124" i="15"/>
  <c r="G1124" i="15"/>
  <c r="E1125" i="15"/>
  <c r="F1125" i="15"/>
  <c r="G1125" i="15"/>
  <c r="E1126" i="15"/>
  <c r="F1126" i="15"/>
  <c r="G1126" i="15"/>
  <c r="E1127" i="15"/>
  <c r="F1127" i="15"/>
  <c r="G1127" i="15"/>
  <c r="E1128" i="15"/>
  <c r="F1128" i="15"/>
  <c r="G1128" i="15"/>
  <c r="E1129" i="15"/>
  <c r="F1129" i="15"/>
  <c r="G1129" i="15"/>
  <c r="E1130" i="15"/>
  <c r="F1130" i="15"/>
  <c r="G1130" i="15"/>
  <c r="E1131" i="15"/>
  <c r="F1131" i="15"/>
  <c r="G1131" i="15"/>
  <c r="E1132" i="15"/>
  <c r="F1132" i="15"/>
  <c r="G1132" i="15"/>
  <c r="E1133" i="15"/>
  <c r="F1133" i="15"/>
  <c r="G1133" i="15"/>
  <c r="E1134" i="15"/>
  <c r="F1134" i="15"/>
  <c r="G1134" i="15"/>
  <c r="E1135" i="15"/>
  <c r="F1135" i="15"/>
  <c r="G1135" i="15"/>
  <c r="E1136" i="15"/>
  <c r="F1136" i="15"/>
  <c r="G1136" i="15"/>
  <c r="E1137" i="15"/>
  <c r="F1137" i="15"/>
  <c r="G1137" i="15"/>
  <c r="E1138" i="15"/>
  <c r="F1138" i="15"/>
  <c r="G1138" i="15"/>
  <c r="E1139" i="15"/>
  <c r="F1139" i="15"/>
  <c r="G1139" i="15"/>
  <c r="E1140" i="15"/>
  <c r="F1140" i="15"/>
  <c r="G1140" i="15"/>
  <c r="E1141" i="15"/>
  <c r="F1141" i="15"/>
  <c r="G1141" i="15"/>
  <c r="E1142" i="15"/>
  <c r="F1142" i="15"/>
  <c r="G1142" i="15"/>
  <c r="E1143" i="15"/>
  <c r="F1143" i="15"/>
  <c r="G1143" i="15"/>
  <c r="E1144" i="15"/>
  <c r="F1144" i="15"/>
  <c r="G1144" i="15"/>
  <c r="E1145" i="15"/>
  <c r="F1145" i="15"/>
  <c r="G1145" i="15"/>
  <c r="E1146" i="15"/>
  <c r="F1146" i="15"/>
  <c r="G1146" i="15"/>
  <c r="E1147" i="15"/>
  <c r="F1147" i="15"/>
  <c r="G1147" i="15"/>
  <c r="E1148" i="15"/>
  <c r="F1148" i="15"/>
  <c r="G1148" i="15"/>
  <c r="E1149" i="15"/>
  <c r="F1149" i="15"/>
  <c r="G1149" i="15"/>
  <c r="E1150" i="15"/>
  <c r="F1150" i="15"/>
  <c r="G1150" i="15"/>
  <c r="E1151" i="15"/>
  <c r="F1151" i="15"/>
  <c r="G1151" i="15"/>
  <c r="E1152" i="15"/>
  <c r="F1152" i="15"/>
  <c r="G1152" i="15"/>
  <c r="E1153" i="15"/>
  <c r="F1153" i="15"/>
  <c r="G1153" i="15"/>
  <c r="E1154" i="15"/>
  <c r="F1154" i="15"/>
  <c r="G1154" i="15"/>
  <c r="E1155" i="15"/>
  <c r="F1155" i="15"/>
  <c r="G1155" i="15"/>
  <c r="E1156" i="15"/>
  <c r="F1156" i="15"/>
  <c r="G1156" i="15"/>
  <c r="E1157" i="15"/>
  <c r="F1157" i="15"/>
  <c r="G1157" i="15"/>
  <c r="E1158" i="15"/>
  <c r="F1158" i="15"/>
  <c r="G1158" i="15"/>
  <c r="E1159" i="15"/>
  <c r="F1159" i="15"/>
  <c r="G1159" i="15"/>
  <c r="E1160" i="15"/>
  <c r="F1160" i="15"/>
  <c r="G1160" i="15"/>
  <c r="E1161" i="15"/>
  <c r="F1161" i="15"/>
  <c r="G1161" i="15"/>
  <c r="E1162" i="15"/>
  <c r="F1162" i="15"/>
  <c r="G1162" i="15"/>
  <c r="E1163" i="15"/>
  <c r="F1163" i="15"/>
  <c r="G1163" i="15"/>
  <c r="E1164" i="15"/>
  <c r="F1164" i="15"/>
  <c r="G1164" i="15"/>
  <c r="E1165" i="15"/>
  <c r="F1165" i="15"/>
  <c r="G1165" i="15"/>
  <c r="E1166" i="15"/>
  <c r="F1166" i="15"/>
  <c r="G1166" i="15"/>
  <c r="E1167" i="15"/>
  <c r="F1167" i="15"/>
  <c r="G1167" i="15"/>
  <c r="E1168" i="15"/>
  <c r="F1168" i="15"/>
  <c r="G1168" i="15"/>
  <c r="E1169" i="15"/>
  <c r="F1169" i="15"/>
  <c r="G1169" i="15"/>
  <c r="E1170" i="15"/>
  <c r="F1170" i="15"/>
  <c r="G1170" i="15"/>
  <c r="E1171" i="15"/>
  <c r="F1171" i="15"/>
  <c r="G1171" i="15"/>
  <c r="E1172" i="15"/>
  <c r="F1172" i="15"/>
  <c r="G1172" i="15"/>
  <c r="E1173" i="15"/>
  <c r="F1173" i="15"/>
  <c r="G1173" i="15"/>
  <c r="E1174" i="15"/>
  <c r="F1174" i="15"/>
  <c r="G1174" i="15"/>
  <c r="E1175" i="15"/>
  <c r="F1175" i="15"/>
  <c r="G1175" i="15"/>
  <c r="E1176" i="15"/>
  <c r="F1176" i="15"/>
  <c r="G1176" i="15"/>
  <c r="E1177" i="15"/>
  <c r="F1177" i="15"/>
  <c r="G1177" i="15"/>
  <c r="E1178" i="15"/>
  <c r="F1178" i="15"/>
  <c r="G1178" i="15"/>
  <c r="E1179" i="15"/>
  <c r="F1179" i="15"/>
  <c r="G1179" i="15"/>
  <c r="E1180" i="15"/>
  <c r="F1180" i="15"/>
  <c r="G1180" i="15"/>
  <c r="E1181" i="15"/>
  <c r="F1181" i="15"/>
  <c r="G1181" i="15"/>
  <c r="E1182" i="15"/>
  <c r="F1182" i="15"/>
  <c r="G1182" i="15"/>
  <c r="E1183" i="15"/>
  <c r="F1183" i="15"/>
  <c r="G1183" i="15"/>
  <c r="E1184" i="15"/>
  <c r="F1184" i="15"/>
  <c r="G1184" i="15"/>
  <c r="E1185" i="15"/>
  <c r="F1185" i="15"/>
  <c r="G1185" i="15"/>
  <c r="E1186" i="15"/>
  <c r="F1186" i="15"/>
  <c r="G1186" i="15"/>
  <c r="E1187" i="15"/>
  <c r="F1187" i="15"/>
  <c r="G1187" i="15"/>
  <c r="E1188" i="15"/>
  <c r="F1188" i="15"/>
  <c r="G1188" i="15"/>
  <c r="E1189" i="15"/>
  <c r="F1189" i="15"/>
  <c r="G1189" i="15"/>
  <c r="E1190" i="15"/>
  <c r="F1190" i="15"/>
  <c r="G1190" i="15"/>
  <c r="E1191" i="15"/>
  <c r="F1191" i="15"/>
  <c r="G1191" i="15"/>
  <c r="E1192" i="15"/>
  <c r="F1192" i="15"/>
  <c r="G1192" i="15"/>
  <c r="E1193" i="15"/>
  <c r="F1193" i="15"/>
  <c r="G1193" i="15"/>
  <c r="E1194" i="15"/>
  <c r="F1194" i="15"/>
  <c r="G1194" i="15"/>
  <c r="E1195" i="15"/>
  <c r="F1195" i="15"/>
  <c r="G1195" i="15"/>
  <c r="E1196" i="15"/>
  <c r="F1196" i="15"/>
  <c r="G1196" i="15"/>
  <c r="E1197" i="15"/>
  <c r="F1197" i="15"/>
  <c r="G1197" i="15"/>
  <c r="E1198" i="15"/>
  <c r="F1198" i="15"/>
  <c r="G1198" i="15"/>
  <c r="E1199" i="15"/>
  <c r="F1199" i="15"/>
  <c r="G1199" i="15"/>
  <c r="E1200" i="15"/>
  <c r="F1200" i="15"/>
  <c r="G1200" i="15"/>
  <c r="E1201" i="15"/>
  <c r="F1201" i="15"/>
  <c r="G1201" i="15"/>
  <c r="E1202" i="15"/>
  <c r="F1202" i="15"/>
  <c r="G1202" i="15"/>
  <c r="E1203" i="15"/>
  <c r="F1203" i="15"/>
  <c r="G1203" i="15"/>
  <c r="E1204" i="15"/>
  <c r="F1204" i="15"/>
  <c r="G1204" i="15"/>
  <c r="E1205" i="15"/>
  <c r="F1205" i="15"/>
  <c r="G1205" i="15"/>
  <c r="E1206" i="15"/>
  <c r="F1206" i="15"/>
  <c r="G1206" i="15"/>
  <c r="E1207" i="15"/>
  <c r="F1207" i="15"/>
  <c r="G1207" i="15"/>
  <c r="E1208" i="15"/>
  <c r="F1208" i="15"/>
  <c r="G1208" i="15"/>
  <c r="E1209" i="15"/>
  <c r="F1209" i="15"/>
  <c r="G1209" i="15"/>
  <c r="E1210" i="15"/>
  <c r="F1210" i="15"/>
  <c r="G1210" i="15"/>
  <c r="E1211" i="15"/>
  <c r="F1211" i="15"/>
  <c r="G1211" i="15"/>
  <c r="E1212" i="15"/>
  <c r="F1212" i="15"/>
  <c r="G1212" i="15"/>
  <c r="E1213" i="15"/>
  <c r="F1213" i="15"/>
  <c r="G1213" i="15"/>
  <c r="E1214" i="15"/>
  <c r="F1214" i="15"/>
  <c r="G1214" i="15"/>
  <c r="E1215" i="15"/>
  <c r="F1215" i="15"/>
  <c r="G1215" i="15"/>
  <c r="E1216" i="15"/>
  <c r="F1216" i="15"/>
  <c r="G1216" i="15"/>
  <c r="E1217" i="15"/>
  <c r="F1217" i="15"/>
  <c r="G1217" i="15"/>
  <c r="E1218" i="15"/>
  <c r="F1218" i="15"/>
  <c r="G1218" i="15"/>
  <c r="E1219" i="15"/>
  <c r="F1219" i="15"/>
  <c r="G1219" i="15"/>
  <c r="E1220" i="15"/>
  <c r="F1220" i="15"/>
  <c r="G1220" i="15"/>
  <c r="E1221" i="15"/>
  <c r="F1221" i="15"/>
  <c r="G1221" i="15"/>
  <c r="E1222" i="15"/>
  <c r="F1222" i="15"/>
  <c r="G1222" i="15"/>
  <c r="E1223" i="15"/>
  <c r="F1223" i="15"/>
  <c r="G1223" i="15"/>
  <c r="E1224" i="15"/>
  <c r="F1224" i="15"/>
  <c r="G1224" i="15"/>
  <c r="E1225" i="15"/>
  <c r="F1225" i="15"/>
  <c r="G1225" i="15"/>
  <c r="E1226" i="15"/>
  <c r="F1226" i="15"/>
  <c r="G1226" i="15"/>
  <c r="E1227" i="15"/>
  <c r="F1227" i="15"/>
  <c r="G1227" i="15"/>
  <c r="E1228" i="15"/>
  <c r="F1228" i="15"/>
  <c r="G1228" i="15"/>
  <c r="E1229" i="15"/>
  <c r="F1229" i="15"/>
  <c r="G1229" i="15"/>
  <c r="E1230" i="15"/>
  <c r="F1230" i="15"/>
  <c r="G1230" i="15"/>
  <c r="E1231" i="15"/>
  <c r="F1231" i="15"/>
  <c r="G1231" i="15"/>
  <c r="E1232" i="15"/>
  <c r="F1232" i="15"/>
  <c r="G1232" i="15"/>
  <c r="E1233" i="15"/>
  <c r="F1233" i="15"/>
  <c r="G1233" i="15"/>
  <c r="E1234" i="15"/>
  <c r="F1234" i="15"/>
  <c r="G1234" i="15"/>
  <c r="E1235" i="15"/>
  <c r="F1235" i="15"/>
  <c r="G1235" i="15"/>
  <c r="E1236" i="15"/>
  <c r="F1236" i="15"/>
  <c r="G1236" i="15"/>
  <c r="E1237" i="15"/>
  <c r="F1237" i="15"/>
  <c r="G1237" i="15"/>
  <c r="E1238" i="15"/>
  <c r="F1238" i="15"/>
  <c r="G1238" i="15"/>
  <c r="E1239" i="15"/>
  <c r="F1239" i="15"/>
  <c r="G1239" i="15"/>
  <c r="E1240" i="15"/>
  <c r="F1240" i="15"/>
  <c r="G1240" i="15"/>
  <c r="E1241" i="15"/>
  <c r="F1241" i="15"/>
  <c r="G1241" i="15"/>
  <c r="E1242" i="15"/>
  <c r="F1242" i="15"/>
  <c r="G1242" i="15"/>
  <c r="E1243" i="15"/>
  <c r="F1243" i="15"/>
  <c r="G1243" i="15"/>
  <c r="E1244" i="15"/>
  <c r="F1244" i="15"/>
  <c r="G1244" i="15"/>
  <c r="E1245" i="15"/>
  <c r="F1245" i="15"/>
  <c r="G1245" i="15"/>
  <c r="E1246" i="15"/>
  <c r="F1246" i="15"/>
  <c r="G1246" i="15"/>
  <c r="E1247" i="15"/>
  <c r="F1247" i="15"/>
  <c r="G1247" i="15"/>
  <c r="E1248" i="15"/>
  <c r="F1248" i="15"/>
  <c r="G1248" i="15"/>
  <c r="E1249" i="15"/>
  <c r="F1249" i="15"/>
  <c r="G1249" i="15"/>
  <c r="E1250" i="15"/>
  <c r="F1250" i="15"/>
  <c r="G1250" i="15"/>
  <c r="E1251" i="15"/>
  <c r="F1251" i="15"/>
  <c r="G1251" i="15"/>
  <c r="E1252" i="15"/>
  <c r="F1252" i="15"/>
  <c r="G1252" i="15"/>
  <c r="E1253" i="15"/>
  <c r="F1253" i="15"/>
  <c r="G1253" i="15"/>
  <c r="E1254" i="15"/>
  <c r="F1254" i="15"/>
  <c r="G1254" i="15"/>
  <c r="E1255" i="15"/>
  <c r="F1255" i="15"/>
  <c r="G1255" i="15"/>
  <c r="E1256" i="15"/>
  <c r="F1256" i="15"/>
  <c r="G1256" i="15"/>
  <c r="E1257" i="15"/>
  <c r="F1257" i="15"/>
  <c r="G1257" i="15"/>
  <c r="E1258" i="15"/>
  <c r="F1258" i="15"/>
  <c r="G1258" i="15"/>
  <c r="E1259" i="15"/>
  <c r="F1259" i="15"/>
  <c r="G1259" i="15"/>
  <c r="E1260" i="15"/>
  <c r="F1260" i="15"/>
  <c r="G1260" i="15"/>
  <c r="E1261" i="15"/>
  <c r="F1261" i="15"/>
  <c r="G1261" i="15"/>
  <c r="E1262" i="15"/>
  <c r="F1262" i="15"/>
  <c r="G1262" i="15"/>
  <c r="E1263" i="15"/>
  <c r="F1263" i="15"/>
  <c r="G1263" i="15"/>
  <c r="E1264" i="15"/>
  <c r="F1264" i="15"/>
  <c r="G1264" i="15"/>
  <c r="E1265" i="15"/>
  <c r="F1265" i="15"/>
  <c r="G1265" i="15"/>
  <c r="E1266" i="15"/>
  <c r="F1266" i="15"/>
  <c r="G1266" i="15"/>
  <c r="E1267" i="15"/>
  <c r="F1267" i="15"/>
  <c r="G1267" i="15"/>
  <c r="E1268" i="15"/>
  <c r="F1268" i="15"/>
  <c r="G1268" i="15"/>
  <c r="E1269" i="15"/>
  <c r="F1269" i="15"/>
  <c r="G1269" i="15"/>
  <c r="E1270" i="15"/>
  <c r="F1270" i="15"/>
  <c r="G1270" i="15"/>
  <c r="E1271" i="15"/>
  <c r="F1271" i="15"/>
  <c r="G1271" i="15"/>
  <c r="E1272" i="15"/>
  <c r="F1272" i="15"/>
  <c r="G1272" i="15"/>
  <c r="E1273" i="15"/>
  <c r="F1273" i="15"/>
  <c r="G1273" i="15"/>
  <c r="E1274" i="15"/>
  <c r="F1274" i="15"/>
  <c r="G1274" i="15"/>
  <c r="E1275" i="15"/>
  <c r="F1275" i="15"/>
  <c r="G1275" i="15"/>
  <c r="E1276" i="15"/>
  <c r="F1276" i="15"/>
  <c r="G1276" i="15"/>
  <c r="E1277" i="15"/>
  <c r="F1277" i="15"/>
  <c r="G1277" i="15"/>
  <c r="E1278" i="15"/>
  <c r="F1278" i="15"/>
  <c r="G1278" i="15"/>
  <c r="E1279" i="15"/>
  <c r="F1279" i="15"/>
  <c r="G1279" i="15"/>
  <c r="E1280" i="15"/>
  <c r="F1280" i="15"/>
  <c r="G1280" i="15"/>
  <c r="E1281" i="15"/>
  <c r="F1281" i="15"/>
  <c r="G1281" i="15"/>
  <c r="E1282" i="15"/>
  <c r="F1282" i="15"/>
  <c r="G1282" i="15"/>
  <c r="E1283" i="15"/>
  <c r="F1283" i="15"/>
  <c r="G1283" i="15"/>
  <c r="E1284" i="15"/>
  <c r="F1284" i="15"/>
  <c r="G1284" i="15"/>
  <c r="E1285" i="15"/>
  <c r="F1285" i="15"/>
  <c r="G1285" i="15"/>
  <c r="E1286" i="15"/>
  <c r="F1286" i="15"/>
  <c r="G1286" i="15"/>
  <c r="E1287" i="15"/>
  <c r="F1287" i="15"/>
  <c r="G1287" i="15"/>
  <c r="E1288" i="15"/>
  <c r="F1288" i="15"/>
  <c r="G1288" i="15"/>
  <c r="E1289" i="15"/>
  <c r="F1289" i="15"/>
  <c r="G1289" i="15"/>
  <c r="E1290" i="15"/>
  <c r="F1290" i="15"/>
  <c r="G1290" i="15"/>
  <c r="E1291" i="15"/>
  <c r="F1291" i="15"/>
  <c r="G1291" i="15"/>
  <c r="E1292" i="15"/>
  <c r="F1292" i="15"/>
  <c r="G1292" i="15"/>
  <c r="E1293" i="15"/>
  <c r="F1293" i="15"/>
  <c r="G1293" i="15"/>
  <c r="E1294" i="15"/>
  <c r="F1294" i="15"/>
  <c r="G1294" i="15"/>
  <c r="E1295" i="15"/>
  <c r="F1295" i="15"/>
  <c r="G1295" i="15"/>
  <c r="E1296" i="15"/>
  <c r="F1296" i="15"/>
  <c r="G1296" i="15"/>
  <c r="E1297" i="15"/>
  <c r="F1297" i="15"/>
  <c r="G1297" i="15"/>
  <c r="E1298" i="15"/>
  <c r="F1298" i="15"/>
  <c r="G1298" i="15"/>
  <c r="E1299" i="15"/>
  <c r="F1299" i="15"/>
  <c r="G1299" i="15"/>
  <c r="E1300" i="15"/>
  <c r="F1300" i="15"/>
  <c r="G1300" i="15"/>
  <c r="E1301" i="15"/>
  <c r="F1301" i="15"/>
  <c r="G1301" i="15"/>
  <c r="E1302" i="15"/>
  <c r="F1302" i="15"/>
  <c r="G1302" i="15"/>
  <c r="E1303" i="15"/>
  <c r="F1303" i="15"/>
  <c r="G1303" i="15"/>
  <c r="E1304" i="15"/>
  <c r="F1304" i="15"/>
  <c r="G1304" i="15"/>
  <c r="E1305" i="15"/>
  <c r="F1305" i="15"/>
  <c r="G1305" i="15"/>
  <c r="E1306" i="15"/>
  <c r="F1306" i="15"/>
  <c r="G1306" i="15"/>
  <c r="E1307" i="15"/>
  <c r="F1307" i="15"/>
  <c r="G1307" i="15"/>
  <c r="E1308" i="15"/>
  <c r="F1308" i="15"/>
  <c r="G1308" i="15"/>
  <c r="E1309" i="15"/>
  <c r="F1309" i="15"/>
  <c r="G1309" i="15"/>
  <c r="E1310" i="15"/>
  <c r="F1310" i="15"/>
  <c r="G1310" i="15"/>
  <c r="E1311" i="15"/>
  <c r="F1311" i="15"/>
  <c r="G1311" i="15"/>
  <c r="E1312" i="15"/>
  <c r="F1312" i="15"/>
  <c r="G1312" i="15"/>
  <c r="E1313" i="15"/>
  <c r="F1313" i="15"/>
  <c r="G1313" i="15"/>
  <c r="E1314" i="15"/>
  <c r="F1314" i="15"/>
  <c r="G1314" i="15"/>
  <c r="E1315" i="15"/>
  <c r="F1315" i="15"/>
  <c r="G1315" i="15"/>
  <c r="E1316" i="15"/>
  <c r="F1316" i="15"/>
  <c r="G1316" i="15"/>
  <c r="E1317" i="15"/>
  <c r="F1317" i="15"/>
  <c r="G1317" i="15"/>
  <c r="E1318" i="15"/>
  <c r="F1318" i="15"/>
  <c r="G1318" i="15"/>
  <c r="E1319" i="15"/>
  <c r="F1319" i="15"/>
  <c r="G1319" i="15"/>
  <c r="E1320" i="15"/>
  <c r="F1320" i="15"/>
  <c r="G1320" i="15"/>
  <c r="E1321" i="15"/>
  <c r="F1321" i="15"/>
  <c r="G1321" i="15"/>
  <c r="E1322" i="15"/>
  <c r="F1322" i="15"/>
  <c r="G1322" i="15"/>
  <c r="E1323" i="15"/>
  <c r="F1323" i="15"/>
  <c r="G1323" i="15"/>
  <c r="E1324" i="15"/>
  <c r="F1324" i="15"/>
  <c r="G1324" i="15"/>
  <c r="E1325" i="15"/>
  <c r="F1325" i="15"/>
  <c r="G1325" i="15"/>
  <c r="E1326" i="15"/>
  <c r="F1326" i="15"/>
  <c r="G1326" i="15"/>
  <c r="E1327" i="15"/>
  <c r="F1327" i="15"/>
  <c r="G1327" i="15"/>
  <c r="E1328" i="15"/>
  <c r="F1328" i="15"/>
  <c r="G1328" i="15"/>
  <c r="E1329" i="15"/>
  <c r="F1329" i="15"/>
  <c r="G1329" i="15"/>
  <c r="E1330" i="15"/>
  <c r="F1330" i="15"/>
  <c r="G1330" i="15"/>
  <c r="E1331" i="15"/>
  <c r="F1331" i="15"/>
  <c r="G1331" i="15"/>
  <c r="E1332" i="15"/>
  <c r="F1332" i="15"/>
  <c r="G1332" i="15"/>
  <c r="E1333" i="15"/>
  <c r="F1333" i="15"/>
  <c r="G1333" i="15"/>
  <c r="E1334" i="15"/>
  <c r="F1334" i="15"/>
  <c r="G1334" i="15"/>
  <c r="E1335" i="15"/>
  <c r="F1335" i="15"/>
  <c r="G1335" i="15"/>
  <c r="E1336" i="15"/>
  <c r="F1336" i="15"/>
  <c r="G1336" i="15"/>
  <c r="E1337" i="15"/>
  <c r="F1337" i="15"/>
  <c r="G1337" i="15"/>
  <c r="E1338" i="15"/>
  <c r="F1338" i="15"/>
  <c r="G1338" i="15"/>
  <c r="E1339" i="15"/>
  <c r="F1339" i="15"/>
  <c r="G1339" i="15"/>
  <c r="E1340" i="15"/>
  <c r="F1340" i="15"/>
  <c r="G1340" i="15"/>
  <c r="E1341" i="15"/>
  <c r="F1341" i="15"/>
  <c r="G1341" i="15"/>
  <c r="E1342" i="15"/>
  <c r="F1342" i="15"/>
  <c r="G1342" i="15"/>
  <c r="E1343" i="15"/>
  <c r="F1343" i="15"/>
  <c r="G1343" i="15"/>
  <c r="E1344" i="15"/>
  <c r="F1344" i="15"/>
  <c r="G1344" i="15"/>
  <c r="E1345" i="15"/>
  <c r="F1345" i="15"/>
  <c r="G1345" i="15"/>
  <c r="E1346" i="15"/>
  <c r="F1346" i="15"/>
  <c r="G1346" i="15"/>
  <c r="E1347" i="15"/>
  <c r="F1347" i="15"/>
  <c r="G1347" i="15"/>
  <c r="E1348" i="15"/>
  <c r="F1348" i="15"/>
  <c r="G1348" i="15"/>
  <c r="E1349" i="15"/>
  <c r="F1349" i="15"/>
  <c r="G1349" i="15"/>
  <c r="E1350" i="15"/>
  <c r="F1350" i="15"/>
  <c r="G1350" i="15"/>
  <c r="E1351" i="15"/>
  <c r="F1351" i="15"/>
  <c r="G1351" i="15"/>
  <c r="E1352" i="15"/>
  <c r="F1352" i="15"/>
  <c r="G1352" i="15"/>
  <c r="E1353" i="15"/>
  <c r="F1353" i="15"/>
  <c r="G1353" i="15"/>
  <c r="E1354" i="15"/>
  <c r="F1354" i="15"/>
  <c r="G1354" i="15"/>
  <c r="E1355" i="15"/>
  <c r="F1355" i="15"/>
  <c r="G1355" i="15"/>
  <c r="E1356" i="15"/>
  <c r="F1356" i="15"/>
  <c r="G1356" i="15"/>
  <c r="E1357" i="15"/>
  <c r="F1357" i="15"/>
  <c r="G1357" i="15"/>
  <c r="E1358" i="15"/>
  <c r="F1358" i="15"/>
  <c r="G1358" i="15"/>
  <c r="E1359" i="15"/>
  <c r="F1359" i="15"/>
  <c r="G1359" i="15"/>
  <c r="E1360" i="15"/>
  <c r="F1360" i="15"/>
  <c r="G1360" i="15"/>
  <c r="E1361" i="15"/>
  <c r="F1361" i="15"/>
  <c r="G1361" i="15"/>
  <c r="E1362" i="15"/>
  <c r="F1362" i="15"/>
  <c r="G1362" i="15"/>
  <c r="E1363" i="15"/>
  <c r="F1363" i="15"/>
  <c r="G1363" i="15"/>
  <c r="E1364" i="15"/>
  <c r="F1364" i="15"/>
  <c r="G1364" i="15"/>
  <c r="E1365" i="15"/>
  <c r="F1365" i="15"/>
  <c r="G1365" i="15"/>
  <c r="E1366" i="15"/>
  <c r="F1366" i="15"/>
  <c r="G1366" i="15"/>
  <c r="E1367" i="15"/>
  <c r="F1367" i="15"/>
  <c r="G1367" i="15"/>
  <c r="E1368" i="15"/>
  <c r="F1368" i="15"/>
  <c r="G1368" i="15"/>
  <c r="E1369" i="15"/>
  <c r="F1369" i="15"/>
  <c r="G1369" i="15"/>
  <c r="E1370" i="15"/>
  <c r="F1370" i="15"/>
  <c r="G1370" i="15"/>
  <c r="E1371" i="15"/>
  <c r="F1371" i="15"/>
  <c r="G1371" i="15"/>
  <c r="E1372" i="15"/>
  <c r="F1372" i="15"/>
  <c r="G1372" i="15"/>
  <c r="E1373" i="15"/>
  <c r="F1373" i="15"/>
  <c r="G1373" i="15"/>
  <c r="E1374" i="15"/>
  <c r="F1374" i="15"/>
  <c r="G1374" i="15"/>
  <c r="E1375" i="15"/>
  <c r="F1375" i="15"/>
  <c r="G1375" i="15"/>
  <c r="E1376" i="15"/>
  <c r="F1376" i="15"/>
  <c r="G1376" i="15"/>
  <c r="E1377" i="15"/>
  <c r="F1377" i="15"/>
  <c r="G1377" i="15"/>
  <c r="E1378" i="15"/>
  <c r="F1378" i="15"/>
  <c r="G1378" i="15"/>
  <c r="E1379" i="15"/>
  <c r="F1379" i="15"/>
  <c r="G1379" i="15"/>
  <c r="E1380" i="15"/>
  <c r="F1380" i="15"/>
  <c r="G1380" i="15"/>
  <c r="E1381" i="15"/>
  <c r="F1381" i="15"/>
  <c r="G1381" i="15"/>
  <c r="E1382" i="15"/>
  <c r="F1382" i="15"/>
  <c r="G1382" i="15"/>
  <c r="E1383" i="15"/>
  <c r="F1383" i="15"/>
  <c r="G1383" i="15"/>
  <c r="E1384" i="15"/>
  <c r="F1384" i="15"/>
  <c r="G1384" i="15"/>
  <c r="E1385" i="15"/>
  <c r="F1385" i="15"/>
  <c r="G1385" i="15"/>
  <c r="E1386" i="15"/>
  <c r="F1386" i="15"/>
  <c r="G1386" i="15"/>
  <c r="E1387" i="15"/>
  <c r="F1387" i="15"/>
  <c r="G1387" i="15"/>
  <c r="E1388" i="15"/>
  <c r="F1388" i="15"/>
  <c r="G1388" i="15"/>
  <c r="E1389" i="15"/>
  <c r="F1389" i="15"/>
  <c r="G1389" i="15"/>
  <c r="E1390" i="15"/>
  <c r="F1390" i="15"/>
  <c r="G1390" i="15"/>
  <c r="E1391" i="15"/>
  <c r="F1391" i="15"/>
  <c r="G1391" i="15"/>
  <c r="E1392" i="15"/>
  <c r="F1392" i="15"/>
  <c r="G1392" i="15"/>
  <c r="E1393" i="15"/>
  <c r="F1393" i="15"/>
  <c r="G1393" i="15"/>
  <c r="E1394" i="15"/>
  <c r="F1394" i="15"/>
  <c r="G1394" i="15"/>
  <c r="E1395" i="15"/>
  <c r="F1395" i="15"/>
  <c r="G1395" i="15"/>
  <c r="E1396" i="15"/>
  <c r="F1396" i="15"/>
  <c r="G1396" i="15"/>
  <c r="E1397" i="15"/>
  <c r="F1397" i="15"/>
  <c r="G1397" i="15"/>
  <c r="E1398" i="15"/>
  <c r="F1398" i="15"/>
  <c r="G1398" i="15"/>
  <c r="E1399" i="15"/>
  <c r="F1399" i="15"/>
  <c r="G1399" i="15"/>
  <c r="E1400" i="15"/>
  <c r="F1400" i="15"/>
  <c r="G1400" i="15"/>
  <c r="E1401" i="15"/>
  <c r="F1401" i="15"/>
  <c r="G1401" i="15"/>
  <c r="E1402" i="15"/>
  <c r="F1402" i="15"/>
  <c r="G1402" i="15"/>
  <c r="E1403" i="15"/>
  <c r="F1403" i="15"/>
  <c r="G1403" i="15"/>
  <c r="E1404" i="15"/>
  <c r="F1404" i="15"/>
  <c r="G1404" i="15"/>
  <c r="E1405" i="15"/>
  <c r="F1405" i="15"/>
  <c r="G1405" i="15"/>
  <c r="E1406" i="15"/>
  <c r="F1406" i="15"/>
  <c r="G1406" i="15"/>
  <c r="E1407" i="15"/>
  <c r="F1407" i="15"/>
  <c r="G1407" i="15"/>
  <c r="E1408" i="15"/>
  <c r="F1408" i="15"/>
  <c r="G1408" i="15"/>
  <c r="E1409" i="15"/>
  <c r="F1409" i="15"/>
  <c r="G1409" i="15"/>
  <c r="E1410" i="15"/>
  <c r="F1410" i="15"/>
  <c r="G1410" i="15"/>
  <c r="E1411" i="15"/>
  <c r="F1411" i="15"/>
  <c r="G1411" i="15"/>
  <c r="E1412" i="15"/>
  <c r="F1412" i="15"/>
  <c r="G1412" i="15"/>
  <c r="E1413" i="15"/>
  <c r="F1413" i="15"/>
  <c r="G1413" i="15"/>
  <c r="E1414" i="15"/>
  <c r="F1414" i="15"/>
  <c r="G1414" i="15"/>
  <c r="E1415" i="15"/>
  <c r="F1415" i="15"/>
  <c r="G1415" i="15"/>
  <c r="E1416" i="15"/>
  <c r="F1416" i="15"/>
  <c r="G1416" i="15"/>
  <c r="E1417" i="15"/>
  <c r="F1417" i="15"/>
  <c r="G1417" i="15"/>
  <c r="E1418" i="15"/>
  <c r="F1418" i="15"/>
  <c r="G1418" i="15"/>
  <c r="E1419" i="15"/>
  <c r="F1419" i="15"/>
  <c r="G1419" i="15"/>
  <c r="E1420" i="15"/>
  <c r="F1420" i="15"/>
  <c r="G1420" i="15"/>
  <c r="E1421" i="15"/>
  <c r="F1421" i="15"/>
  <c r="G1421" i="15"/>
  <c r="E1422" i="15"/>
  <c r="F1422" i="15"/>
  <c r="G1422" i="15"/>
  <c r="E1423" i="15"/>
  <c r="F1423" i="15"/>
  <c r="G1423" i="15"/>
  <c r="E1424" i="15"/>
  <c r="F1424" i="15"/>
  <c r="G1424" i="15"/>
  <c r="E1425" i="15"/>
  <c r="F1425" i="15"/>
  <c r="G1425" i="15"/>
  <c r="E1426" i="15"/>
  <c r="F1426" i="15"/>
  <c r="G1426" i="15"/>
  <c r="E1427" i="15"/>
  <c r="F1427" i="15"/>
  <c r="G1427" i="15"/>
  <c r="E1428" i="15"/>
  <c r="F1428" i="15"/>
  <c r="G1428" i="15"/>
  <c r="E1429" i="15"/>
  <c r="F1429" i="15"/>
  <c r="G1429" i="15"/>
  <c r="E1430" i="15"/>
  <c r="F1430" i="15"/>
  <c r="G1430" i="15"/>
  <c r="E1431" i="15"/>
  <c r="F1431" i="15"/>
  <c r="G1431" i="15"/>
  <c r="E1432" i="15"/>
  <c r="F1432" i="15"/>
  <c r="G1432" i="15"/>
  <c r="E1433" i="15"/>
  <c r="F1433" i="15"/>
  <c r="G1433" i="15"/>
  <c r="E1434" i="15"/>
  <c r="F1434" i="15"/>
  <c r="G1434" i="15"/>
  <c r="E1435" i="15"/>
  <c r="F1435" i="15"/>
  <c r="G1435" i="15"/>
  <c r="E1436" i="15"/>
  <c r="F1436" i="15"/>
  <c r="G1436" i="15"/>
  <c r="E1437" i="15"/>
  <c r="F1437" i="15"/>
  <c r="G1437" i="15"/>
  <c r="E1438" i="15"/>
  <c r="F1438" i="15"/>
  <c r="G1438" i="15"/>
  <c r="E1439" i="15"/>
  <c r="F1439" i="15"/>
  <c r="G1439" i="15"/>
  <c r="E1440" i="15"/>
  <c r="F1440" i="15"/>
  <c r="G1440" i="15"/>
  <c r="E1441" i="15"/>
  <c r="F1441" i="15"/>
  <c r="G1441" i="15"/>
  <c r="E1442" i="15"/>
  <c r="F1442" i="15"/>
  <c r="G1442" i="15"/>
  <c r="E1443" i="15"/>
  <c r="F1443" i="15"/>
  <c r="G1443" i="15"/>
  <c r="E1444" i="15"/>
  <c r="F1444" i="15"/>
  <c r="G1444" i="15"/>
  <c r="E1445" i="15"/>
  <c r="F1445" i="15"/>
  <c r="G1445" i="15"/>
  <c r="E1446" i="15"/>
  <c r="F1446" i="15"/>
  <c r="G1446" i="15"/>
  <c r="E1447" i="15"/>
  <c r="F1447" i="15"/>
  <c r="G1447" i="15"/>
  <c r="E1448" i="15"/>
  <c r="F1448" i="15"/>
  <c r="G1448" i="15"/>
  <c r="E1449" i="15"/>
  <c r="F1449" i="15"/>
  <c r="G1449" i="15"/>
  <c r="E1450" i="15"/>
  <c r="F1450" i="15"/>
  <c r="G1450" i="15"/>
  <c r="E1451" i="15"/>
  <c r="F1451" i="15"/>
  <c r="G1451" i="15"/>
  <c r="E1452" i="15"/>
  <c r="F1452" i="15"/>
  <c r="G1452" i="15"/>
  <c r="E1453" i="15"/>
  <c r="F1453" i="15"/>
  <c r="G1453" i="15"/>
  <c r="E1454" i="15"/>
  <c r="F1454" i="15"/>
  <c r="G1454" i="15"/>
  <c r="E1455" i="15"/>
  <c r="F1455" i="15"/>
  <c r="G1455" i="15"/>
  <c r="E1456" i="15"/>
  <c r="F1456" i="15"/>
  <c r="G1456" i="15"/>
  <c r="E1457" i="15"/>
  <c r="F1457" i="15"/>
  <c r="G1457" i="15"/>
  <c r="E1458" i="15"/>
  <c r="F1458" i="15"/>
  <c r="G1458" i="15"/>
  <c r="E1459" i="15"/>
  <c r="F1459" i="15"/>
  <c r="G1459" i="15"/>
  <c r="E1460" i="15"/>
  <c r="F1460" i="15"/>
  <c r="G1460" i="15"/>
  <c r="E1461" i="15"/>
  <c r="F1461" i="15"/>
  <c r="G1461" i="15"/>
  <c r="E1462" i="15"/>
  <c r="F1462" i="15"/>
  <c r="G1462" i="15"/>
  <c r="E1463" i="15"/>
  <c r="F1463" i="15"/>
  <c r="G1463" i="15"/>
  <c r="E1464" i="15"/>
  <c r="F1464" i="15"/>
  <c r="G1464" i="15"/>
  <c r="E1465" i="15"/>
  <c r="F1465" i="15"/>
  <c r="G1465" i="15"/>
  <c r="E1466" i="15"/>
  <c r="F1466" i="15"/>
  <c r="G1466" i="15"/>
  <c r="E1467" i="15"/>
  <c r="F1467" i="15"/>
  <c r="G1467" i="15"/>
  <c r="E1468" i="15"/>
  <c r="F1468" i="15"/>
  <c r="G1468" i="15"/>
  <c r="E1469" i="15"/>
  <c r="F1469" i="15"/>
  <c r="G1469" i="15"/>
  <c r="E1470" i="15"/>
  <c r="F1470" i="15"/>
  <c r="G1470" i="15"/>
  <c r="E1471" i="15"/>
  <c r="F1471" i="15"/>
  <c r="G1471" i="15"/>
  <c r="E1472" i="15"/>
  <c r="F1472" i="15"/>
  <c r="G1472" i="15"/>
  <c r="E1473" i="15"/>
  <c r="F1473" i="15"/>
  <c r="G1473" i="15"/>
  <c r="E1474" i="15"/>
  <c r="F1474" i="15"/>
  <c r="G1474" i="15"/>
  <c r="E1475" i="15"/>
  <c r="F1475" i="15"/>
  <c r="G1475" i="15"/>
  <c r="E1476" i="15"/>
  <c r="F1476" i="15"/>
  <c r="G1476" i="15"/>
  <c r="E1477" i="15"/>
  <c r="F1477" i="15"/>
  <c r="G1477" i="15"/>
  <c r="E1478" i="15"/>
  <c r="F1478" i="15"/>
  <c r="G1478" i="15"/>
  <c r="E1479" i="15"/>
  <c r="F1479" i="15"/>
  <c r="G1479" i="15"/>
  <c r="E1480" i="15"/>
  <c r="F1480" i="15"/>
  <c r="G1480" i="15"/>
  <c r="E1481" i="15"/>
  <c r="F1481" i="15"/>
  <c r="G1481" i="15"/>
  <c r="E1482" i="15"/>
  <c r="F1482" i="15"/>
  <c r="G1482" i="15"/>
  <c r="E1483" i="15"/>
  <c r="F1483" i="15"/>
  <c r="G1483" i="15"/>
  <c r="E1484" i="15"/>
  <c r="F1484" i="15"/>
  <c r="G1484" i="15"/>
  <c r="E1485" i="15"/>
  <c r="F1485" i="15"/>
  <c r="G1485" i="15"/>
  <c r="E1486" i="15"/>
  <c r="F1486" i="15"/>
  <c r="G1486" i="15"/>
  <c r="E1487" i="15"/>
  <c r="F1487" i="15"/>
  <c r="G1487" i="15"/>
  <c r="E1488" i="15"/>
  <c r="F1488" i="15"/>
  <c r="G1488" i="15"/>
  <c r="E1489" i="15"/>
  <c r="F1489" i="15"/>
  <c r="G1489" i="15"/>
  <c r="E1490" i="15"/>
  <c r="F1490" i="15"/>
  <c r="G1490" i="15"/>
  <c r="E1491" i="15"/>
  <c r="F1491" i="15"/>
  <c r="G1491" i="15"/>
  <c r="E1492" i="15"/>
  <c r="F1492" i="15"/>
  <c r="G1492" i="15"/>
  <c r="E1493" i="15"/>
  <c r="F1493" i="15"/>
  <c r="G1493" i="15"/>
  <c r="E1494" i="15"/>
  <c r="F1494" i="15"/>
  <c r="G1494" i="15"/>
  <c r="E1495" i="15"/>
  <c r="F1495" i="15"/>
  <c r="G1495" i="15"/>
  <c r="E1496" i="15"/>
  <c r="F1496" i="15"/>
  <c r="G1496" i="15"/>
  <c r="E1497" i="15"/>
  <c r="F1497" i="15"/>
  <c r="G1497" i="15"/>
  <c r="E1498" i="15"/>
  <c r="F1498" i="15"/>
  <c r="G1498" i="15"/>
  <c r="E1499" i="15"/>
  <c r="F1499" i="15"/>
  <c r="G1499" i="15"/>
  <c r="E1500" i="15"/>
  <c r="F1500" i="15"/>
  <c r="G1500" i="15"/>
  <c r="E1501" i="15"/>
  <c r="F1501" i="15"/>
  <c r="G1501" i="15"/>
  <c r="E1502" i="15"/>
  <c r="F1502" i="15"/>
  <c r="G1502" i="15"/>
  <c r="E1503" i="15"/>
  <c r="F1503" i="15"/>
  <c r="G1503" i="15"/>
  <c r="E1504" i="15"/>
  <c r="F1504" i="15"/>
  <c r="G1504" i="15"/>
  <c r="E1505" i="15"/>
  <c r="F1505" i="15"/>
  <c r="G1505" i="15"/>
  <c r="E1506" i="15"/>
  <c r="F1506" i="15"/>
  <c r="G1506" i="15"/>
  <c r="E1507" i="15"/>
  <c r="F1507" i="15"/>
  <c r="G1507" i="15"/>
  <c r="E1508" i="15"/>
  <c r="F1508" i="15"/>
  <c r="G1508" i="15"/>
  <c r="E1509" i="15"/>
  <c r="F1509" i="15"/>
  <c r="G1509" i="15"/>
  <c r="E1510" i="15"/>
  <c r="F1510" i="15"/>
  <c r="G1510" i="15"/>
  <c r="E1511" i="15"/>
  <c r="F1511" i="15"/>
  <c r="G1511" i="15"/>
  <c r="E1512" i="15"/>
  <c r="F1512" i="15"/>
  <c r="G1512" i="15"/>
  <c r="E1513" i="15"/>
  <c r="F1513" i="15"/>
  <c r="G1513" i="15"/>
  <c r="E1514" i="15"/>
  <c r="F1514" i="15"/>
  <c r="G1514" i="15"/>
  <c r="E1515" i="15"/>
  <c r="F1515" i="15"/>
  <c r="G1515" i="15"/>
  <c r="E1516" i="15"/>
  <c r="F1516" i="15"/>
  <c r="G1516" i="15"/>
  <c r="E1517" i="15"/>
  <c r="F1517" i="15"/>
  <c r="G1517" i="15"/>
  <c r="E1518" i="15"/>
  <c r="F1518" i="15"/>
  <c r="G1518" i="15"/>
  <c r="E1519" i="15"/>
  <c r="F1519" i="15"/>
  <c r="G1519" i="15"/>
  <c r="E1520" i="15"/>
  <c r="F1520" i="15"/>
  <c r="G1520" i="15"/>
  <c r="E1521" i="15"/>
  <c r="F1521" i="15"/>
  <c r="G1521" i="15"/>
  <c r="E1522" i="15"/>
  <c r="F1522" i="15"/>
  <c r="G1522" i="15"/>
  <c r="E1523" i="15"/>
  <c r="F1523" i="15"/>
  <c r="G1523" i="15"/>
  <c r="E1524" i="15"/>
  <c r="F1524" i="15"/>
  <c r="G1524" i="15"/>
  <c r="E1525" i="15"/>
  <c r="F1525" i="15"/>
  <c r="G1525" i="15"/>
  <c r="E1526" i="15"/>
  <c r="F1526" i="15"/>
  <c r="G1526" i="15"/>
  <c r="E1527" i="15"/>
  <c r="F1527" i="15"/>
  <c r="G1527" i="15"/>
  <c r="E1528" i="15"/>
  <c r="F1528" i="15"/>
  <c r="G1528" i="15"/>
  <c r="E1529" i="15"/>
  <c r="F1529" i="15"/>
  <c r="G1529" i="15"/>
  <c r="E1530" i="15"/>
  <c r="F1530" i="15"/>
  <c r="G1530" i="15"/>
  <c r="E1531" i="15"/>
  <c r="F1531" i="15"/>
  <c r="G1531" i="15"/>
  <c r="E1532" i="15"/>
  <c r="F1532" i="15"/>
  <c r="G1532" i="15"/>
  <c r="E1533" i="15"/>
  <c r="F1533" i="15"/>
  <c r="G1533" i="15"/>
  <c r="E1534" i="15"/>
  <c r="F1534" i="15"/>
  <c r="G1534" i="15"/>
  <c r="E1535" i="15"/>
  <c r="F1535" i="15"/>
  <c r="G1535" i="15"/>
  <c r="E1536" i="15"/>
  <c r="F1536" i="15"/>
  <c r="G1536" i="15"/>
  <c r="E1537" i="15"/>
  <c r="F1537" i="15"/>
  <c r="G1537" i="15"/>
  <c r="E1538" i="15"/>
  <c r="F1538" i="15"/>
  <c r="G1538" i="15"/>
  <c r="E1539" i="15"/>
  <c r="F1539" i="15"/>
  <c r="G1539" i="15"/>
  <c r="E1540" i="15"/>
  <c r="F1540" i="15"/>
  <c r="G1540" i="15"/>
  <c r="E1541" i="15"/>
  <c r="F1541" i="15"/>
  <c r="G1541" i="15"/>
  <c r="E1542" i="15"/>
  <c r="F1542" i="15"/>
  <c r="G1542" i="15"/>
  <c r="E1543" i="15"/>
  <c r="F1543" i="15"/>
  <c r="G1543" i="15"/>
  <c r="E1544" i="15"/>
  <c r="F1544" i="15"/>
  <c r="G1544" i="15"/>
  <c r="E1545" i="15"/>
  <c r="F1545" i="15"/>
  <c r="G1545" i="15"/>
  <c r="E1546" i="15"/>
  <c r="F1546" i="15"/>
  <c r="G1546" i="15"/>
  <c r="E1547" i="15"/>
  <c r="F1547" i="15"/>
  <c r="G1547" i="15"/>
  <c r="E1548" i="15"/>
  <c r="F1548" i="15"/>
  <c r="G1548" i="15"/>
  <c r="E1549" i="15"/>
  <c r="F1549" i="15"/>
  <c r="G1549" i="15"/>
  <c r="E1550" i="15"/>
  <c r="F1550" i="15"/>
  <c r="G1550" i="15"/>
  <c r="E1551" i="15"/>
  <c r="F1551" i="15"/>
  <c r="G1551" i="15"/>
  <c r="E1552" i="15"/>
  <c r="F1552" i="15"/>
  <c r="G1552" i="15"/>
  <c r="E1553" i="15"/>
  <c r="F1553" i="15"/>
  <c r="G1553" i="15"/>
  <c r="E1554" i="15"/>
  <c r="F1554" i="15"/>
  <c r="G1554" i="15"/>
  <c r="E1555" i="15"/>
  <c r="F1555" i="15"/>
  <c r="G1555" i="15"/>
  <c r="E1556" i="15"/>
  <c r="F1556" i="15"/>
  <c r="G1556" i="15"/>
  <c r="E1557" i="15"/>
  <c r="F1557" i="15"/>
  <c r="G1557" i="15"/>
  <c r="E1558" i="15"/>
  <c r="F1558" i="15"/>
  <c r="G1558" i="15"/>
  <c r="E1559" i="15"/>
  <c r="F1559" i="15"/>
  <c r="G1559" i="15"/>
  <c r="E1560" i="15"/>
  <c r="F1560" i="15"/>
  <c r="G1560" i="15"/>
  <c r="E1561" i="15"/>
  <c r="F1561" i="15"/>
  <c r="G1561" i="15"/>
  <c r="E1562" i="15"/>
  <c r="F1562" i="15"/>
  <c r="G1562" i="15"/>
  <c r="E1563" i="15"/>
  <c r="F1563" i="15"/>
  <c r="G1563" i="15"/>
  <c r="E1564" i="15"/>
  <c r="F1564" i="15"/>
  <c r="G1564" i="15"/>
  <c r="E1565" i="15"/>
  <c r="F1565" i="15"/>
  <c r="G1565" i="15"/>
  <c r="E1566" i="15"/>
  <c r="F1566" i="15"/>
  <c r="G1566" i="15"/>
  <c r="E1567" i="15"/>
  <c r="F1567" i="15"/>
  <c r="G1567" i="15"/>
  <c r="E1568" i="15"/>
  <c r="F1568" i="15"/>
  <c r="G1568" i="15"/>
  <c r="E1569" i="15"/>
  <c r="F1569" i="15"/>
  <c r="G1569" i="15"/>
  <c r="E1570" i="15"/>
  <c r="F1570" i="15"/>
  <c r="G1570" i="15"/>
  <c r="E1571" i="15"/>
  <c r="F1571" i="15"/>
  <c r="G1571" i="15"/>
  <c r="E1572" i="15"/>
  <c r="F1572" i="15"/>
  <c r="G1572" i="15"/>
  <c r="E1573" i="15"/>
  <c r="F1573" i="15"/>
  <c r="G1573" i="15"/>
  <c r="E1574" i="15"/>
  <c r="F1574" i="15"/>
  <c r="G1574" i="15"/>
  <c r="E1575" i="15"/>
  <c r="F1575" i="15"/>
  <c r="G1575" i="15"/>
  <c r="E1576" i="15"/>
  <c r="F1576" i="15"/>
  <c r="G1576" i="15"/>
  <c r="E1577" i="15"/>
  <c r="F1577" i="15"/>
  <c r="G1577" i="15"/>
  <c r="E1578" i="15"/>
  <c r="F1578" i="15"/>
  <c r="G1578" i="15"/>
  <c r="E1579" i="15"/>
  <c r="F1579" i="15"/>
  <c r="G1579" i="15"/>
  <c r="E1580" i="15"/>
  <c r="F1580" i="15"/>
  <c r="G1580" i="15"/>
  <c r="E1581" i="15"/>
  <c r="F1581" i="15"/>
  <c r="G1581" i="15"/>
  <c r="E1582" i="15"/>
  <c r="F1582" i="15"/>
  <c r="G1582" i="15"/>
  <c r="E1583" i="15"/>
  <c r="F1583" i="15"/>
  <c r="G1583" i="15"/>
  <c r="E1584" i="15"/>
  <c r="F1584" i="15"/>
  <c r="G1584" i="15"/>
  <c r="E1585" i="15"/>
  <c r="F1585" i="15"/>
  <c r="G1585" i="15"/>
  <c r="E1586" i="15"/>
  <c r="F1586" i="15"/>
  <c r="G1586" i="15"/>
  <c r="E1587" i="15"/>
  <c r="F1587" i="15"/>
  <c r="G1587" i="15"/>
  <c r="E1588" i="15"/>
  <c r="F1588" i="15"/>
  <c r="G1588" i="15"/>
  <c r="E1589" i="15"/>
  <c r="F1589" i="15"/>
  <c r="G1589" i="15"/>
  <c r="E1590" i="15"/>
  <c r="F1590" i="15"/>
  <c r="G1590" i="15"/>
  <c r="E1591" i="15"/>
  <c r="F1591" i="15"/>
  <c r="G1591" i="15"/>
  <c r="E1592" i="15"/>
  <c r="F1592" i="15"/>
  <c r="G1592" i="15"/>
  <c r="E1593" i="15"/>
  <c r="F1593" i="15"/>
  <c r="G1593" i="15"/>
  <c r="E1594" i="15"/>
  <c r="F1594" i="15"/>
  <c r="G1594" i="15"/>
  <c r="E1595" i="15"/>
  <c r="F1595" i="15"/>
  <c r="G1595" i="15"/>
  <c r="E1596" i="15"/>
  <c r="F1596" i="15"/>
  <c r="G1596" i="15"/>
  <c r="E1597" i="15"/>
  <c r="F1597" i="15"/>
  <c r="G1597" i="15"/>
  <c r="E1598" i="15"/>
  <c r="F1598" i="15"/>
  <c r="G1598" i="15"/>
  <c r="E1599" i="15"/>
  <c r="F1599" i="15"/>
  <c r="G1599" i="15"/>
  <c r="E1600" i="15"/>
  <c r="F1600" i="15"/>
  <c r="G1600" i="15"/>
  <c r="E1601" i="15"/>
  <c r="F1601" i="15"/>
  <c r="G1601" i="15"/>
  <c r="E1602" i="15"/>
  <c r="F1602" i="15"/>
  <c r="G1602" i="15"/>
  <c r="E1603" i="15"/>
  <c r="F1603" i="15"/>
  <c r="G1603" i="15"/>
  <c r="E1604" i="15"/>
  <c r="F1604" i="15"/>
  <c r="G1604" i="15"/>
  <c r="E1605" i="15"/>
  <c r="F1605" i="15"/>
  <c r="G1605" i="15"/>
  <c r="E1606" i="15"/>
  <c r="F1606" i="15"/>
  <c r="G1606" i="15"/>
  <c r="E1607" i="15"/>
  <c r="F1607" i="15"/>
  <c r="G1607" i="15"/>
  <c r="E1608" i="15"/>
  <c r="F1608" i="15"/>
  <c r="G1608" i="15"/>
  <c r="E1609" i="15"/>
  <c r="F1609" i="15"/>
  <c r="G1609" i="15"/>
  <c r="E1610" i="15"/>
  <c r="F1610" i="15"/>
  <c r="G1610" i="15"/>
  <c r="E1611" i="15"/>
  <c r="F1611" i="15"/>
  <c r="G1611" i="15"/>
  <c r="E1612" i="15"/>
  <c r="F1612" i="15"/>
  <c r="G1612" i="15"/>
  <c r="E1613" i="15"/>
  <c r="F1613" i="15"/>
  <c r="G1613" i="15"/>
  <c r="E1614" i="15"/>
  <c r="F1614" i="15"/>
  <c r="G1614" i="15"/>
  <c r="E1615" i="15"/>
  <c r="F1615" i="15"/>
  <c r="G1615" i="15"/>
  <c r="E1616" i="15"/>
  <c r="F1616" i="15"/>
  <c r="G1616" i="15"/>
  <c r="E1617" i="15"/>
  <c r="F1617" i="15"/>
  <c r="G1617" i="15"/>
  <c r="E1618" i="15"/>
  <c r="F1618" i="15"/>
  <c r="G1618" i="15"/>
  <c r="E1619" i="15"/>
  <c r="F1619" i="15"/>
  <c r="G1619" i="15"/>
  <c r="E1620" i="15"/>
  <c r="F1620" i="15"/>
  <c r="G1620" i="15"/>
  <c r="E1621" i="15"/>
  <c r="F1621" i="15"/>
  <c r="G1621" i="15"/>
  <c r="E1622" i="15"/>
  <c r="F1622" i="15"/>
  <c r="G1622" i="15"/>
  <c r="E1623" i="15"/>
  <c r="F1623" i="15"/>
  <c r="G1623" i="15"/>
  <c r="E1624" i="15"/>
  <c r="F1624" i="15"/>
  <c r="G1624" i="15"/>
  <c r="E1625" i="15"/>
  <c r="F1625" i="15"/>
  <c r="G1625" i="15"/>
  <c r="E1626" i="15"/>
  <c r="F1626" i="15"/>
  <c r="G1626" i="15"/>
  <c r="E1627" i="15"/>
  <c r="F1627" i="15"/>
  <c r="G1627" i="15"/>
  <c r="E1628" i="15"/>
  <c r="F1628" i="15"/>
  <c r="G1628" i="15"/>
  <c r="E1629" i="15"/>
  <c r="F1629" i="15"/>
  <c r="G1629" i="15"/>
  <c r="E1630" i="15"/>
  <c r="F1630" i="15"/>
  <c r="G1630" i="15"/>
  <c r="E1631" i="15"/>
  <c r="F1631" i="15"/>
  <c r="G1631" i="15"/>
  <c r="E1632" i="15"/>
  <c r="F1632" i="15"/>
  <c r="G1632" i="15"/>
  <c r="E1633" i="15"/>
  <c r="F1633" i="15"/>
  <c r="G1633" i="15"/>
  <c r="E1634" i="15"/>
  <c r="F1634" i="15"/>
  <c r="G1634" i="15"/>
  <c r="E1635" i="15"/>
  <c r="F1635" i="15"/>
  <c r="G1635" i="15"/>
  <c r="E1636" i="15"/>
  <c r="F1636" i="15"/>
  <c r="G1636" i="15"/>
  <c r="E1637" i="15"/>
  <c r="F1637" i="15"/>
  <c r="G1637" i="15"/>
  <c r="E1638" i="15"/>
  <c r="F1638" i="15"/>
  <c r="G1638" i="15"/>
  <c r="E1639" i="15"/>
  <c r="F1639" i="15"/>
  <c r="G1639" i="15"/>
  <c r="E1640" i="15"/>
  <c r="F1640" i="15"/>
  <c r="G1640" i="15"/>
  <c r="E1641" i="15"/>
  <c r="F1641" i="15"/>
  <c r="G1641" i="15"/>
  <c r="E1642" i="15"/>
  <c r="F1642" i="15"/>
  <c r="G1642" i="15"/>
  <c r="E1643" i="15"/>
  <c r="F1643" i="15"/>
  <c r="G1643" i="15"/>
  <c r="E1644" i="15"/>
  <c r="F1644" i="15"/>
  <c r="G1644" i="15"/>
  <c r="E1645" i="15"/>
  <c r="F1645" i="15"/>
  <c r="G1645" i="15"/>
  <c r="E1646" i="15"/>
  <c r="F1646" i="15"/>
  <c r="G1646" i="15"/>
  <c r="E1647" i="15"/>
  <c r="F1647" i="15"/>
  <c r="G1647" i="15"/>
  <c r="E1648" i="15"/>
  <c r="F1648" i="15"/>
  <c r="G1648" i="15"/>
  <c r="E1649" i="15"/>
  <c r="F1649" i="15"/>
  <c r="G1649" i="15"/>
  <c r="E1650" i="15"/>
  <c r="F1650" i="15"/>
  <c r="G1650" i="15"/>
  <c r="E1651" i="15"/>
  <c r="F1651" i="15"/>
  <c r="G1651" i="15"/>
  <c r="E1652" i="15"/>
  <c r="F1652" i="15"/>
  <c r="G1652" i="15"/>
  <c r="E1653" i="15"/>
  <c r="F1653" i="15"/>
  <c r="G1653" i="15"/>
  <c r="E1654" i="15"/>
  <c r="F1654" i="15"/>
  <c r="G1654" i="15"/>
  <c r="E1655" i="15"/>
  <c r="F1655" i="15"/>
  <c r="G1655" i="15"/>
  <c r="E1656" i="15"/>
  <c r="F1656" i="15"/>
  <c r="G1656" i="15"/>
  <c r="E1657" i="15"/>
  <c r="F1657" i="15"/>
  <c r="G1657" i="15"/>
  <c r="E1658" i="15"/>
  <c r="F1658" i="15"/>
  <c r="G1658" i="15"/>
  <c r="E1659" i="15"/>
  <c r="F1659" i="15"/>
  <c r="G1659" i="15"/>
  <c r="E1660" i="15"/>
  <c r="F1660" i="15"/>
  <c r="G1660" i="15"/>
  <c r="E1661" i="15"/>
  <c r="F1661" i="15"/>
  <c r="G1661" i="15"/>
  <c r="E1662" i="15"/>
  <c r="F1662" i="15"/>
  <c r="G1662" i="15"/>
  <c r="E1663" i="15"/>
  <c r="F1663" i="15"/>
  <c r="G1663" i="15"/>
  <c r="E1664" i="15"/>
  <c r="F1664" i="15"/>
  <c r="G1664" i="15"/>
  <c r="E1665" i="15"/>
  <c r="F1665" i="15"/>
  <c r="G1665" i="15"/>
  <c r="E1666" i="15"/>
  <c r="F1666" i="15"/>
  <c r="G1666" i="15"/>
  <c r="E1667" i="15"/>
  <c r="F1667" i="15"/>
  <c r="G1667" i="15"/>
  <c r="E1668" i="15"/>
  <c r="F1668" i="15"/>
  <c r="G1668" i="15"/>
  <c r="E1669" i="15"/>
  <c r="F1669" i="15"/>
  <c r="G1669" i="15"/>
  <c r="E1670" i="15"/>
  <c r="F1670" i="15"/>
  <c r="G1670" i="15"/>
  <c r="E1671" i="15"/>
  <c r="F1671" i="15"/>
  <c r="G1671" i="15"/>
  <c r="E1672" i="15"/>
  <c r="F1672" i="15"/>
  <c r="G1672" i="15"/>
  <c r="E1673" i="15"/>
  <c r="F1673" i="15"/>
  <c r="G1673" i="15"/>
  <c r="E1674" i="15"/>
  <c r="F1674" i="15"/>
  <c r="G1674" i="15"/>
  <c r="E1675" i="15"/>
  <c r="F1675" i="15"/>
  <c r="G1675" i="15"/>
  <c r="E1676" i="15"/>
  <c r="F1676" i="15"/>
  <c r="G1676" i="15"/>
  <c r="E1677" i="15"/>
  <c r="F1677" i="15"/>
  <c r="G1677" i="15"/>
  <c r="E1678" i="15"/>
  <c r="F1678" i="15"/>
  <c r="G1678" i="15"/>
  <c r="E1679" i="15"/>
  <c r="F1679" i="15"/>
  <c r="G1679" i="15"/>
  <c r="E1680" i="15"/>
  <c r="F1680" i="15"/>
  <c r="G1680" i="15"/>
  <c r="E1681" i="15"/>
  <c r="F1681" i="15"/>
  <c r="G1681" i="15"/>
  <c r="E1682" i="15"/>
  <c r="F1682" i="15"/>
  <c r="G1682" i="15"/>
  <c r="E1683" i="15"/>
  <c r="F1683" i="15"/>
  <c r="G1683" i="15"/>
  <c r="E1684" i="15"/>
  <c r="F1684" i="15"/>
  <c r="G1684" i="15"/>
  <c r="E1685" i="15"/>
  <c r="F1685" i="15"/>
  <c r="G1685" i="15"/>
  <c r="E1686" i="15"/>
  <c r="F1686" i="15"/>
  <c r="G1686" i="15"/>
  <c r="E1687" i="15"/>
  <c r="F1687" i="15"/>
  <c r="G1687" i="15"/>
  <c r="E1688" i="15"/>
  <c r="F1688" i="15"/>
  <c r="G1688" i="15"/>
  <c r="E1689" i="15"/>
  <c r="F1689" i="15"/>
  <c r="G1689" i="15"/>
  <c r="E1690" i="15"/>
  <c r="F1690" i="15"/>
  <c r="G1690" i="15"/>
  <c r="E1691" i="15"/>
  <c r="F1691" i="15"/>
  <c r="G1691" i="15"/>
  <c r="E1692" i="15"/>
  <c r="F1692" i="15"/>
  <c r="G1692" i="15"/>
  <c r="E1693" i="15"/>
  <c r="F1693" i="15"/>
  <c r="G1693" i="15"/>
  <c r="E1694" i="15"/>
  <c r="F1694" i="15"/>
  <c r="G1694" i="15"/>
  <c r="E1695" i="15"/>
  <c r="F1695" i="15"/>
  <c r="G1695" i="15"/>
  <c r="E1696" i="15"/>
  <c r="F1696" i="15"/>
  <c r="G1696" i="15"/>
  <c r="E1697" i="15"/>
  <c r="F1697" i="15"/>
  <c r="G1697" i="15"/>
  <c r="E1698" i="15"/>
  <c r="F1698" i="15"/>
  <c r="G1698" i="15"/>
  <c r="E1699" i="15"/>
  <c r="F1699" i="15"/>
  <c r="G1699" i="15"/>
  <c r="E1700" i="15"/>
  <c r="F1700" i="15"/>
  <c r="G1700" i="15"/>
  <c r="E1701" i="15"/>
  <c r="F1701" i="15"/>
  <c r="G1701" i="15"/>
  <c r="E1702" i="15"/>
  <c r="F1702" i="15"/>
  <c r="G1702" i="15"/>
  <c r="E1703" i="15"/>
  <c r="F1703" i="15"/>
  <c r="G1703" i="15"/>
  <c r="E1704" i="15"/>
  <c r="F1704" i="15"/>
  <c r="G1704" i="15"/>
  <c r="E1705" i="15"/>
  <c r="F1705" i="15"/>
  <c r="G1705" i="15"/>
  <c r="E1706" i="15"/>
  <c r="F1706" i="15"/>
  <c r="G1706" i="15"/>
  <c r="E1707" i="15"/>
  <c r="F1707" i="15"/>
  <c r="G1707" i="15"/>
  <c r="E1708" i="15"/>
  <c r="F1708" i="15"/>
  <c r="G1708" i="15"/>
  <c r="E1709" i="15"/>
  <c r="F1709" i="15"/>
  <c r="G1709" i="15"/>
  <c r="E1710" i="15"/>
  <c r="F1710" i="15"/>
  <c r="G1710" i="15"/>
  <c r="E1711" i="15"/>
  <c r="F1711" i="15"/>
  <c r="G1711" i="15"/>
  <c r="E1712" i="15"/>
  <c r="F1712" i="15"/>
  <c r="G1712" i="15"/>
  <c r="E1713" i="15"/>
  <c r="F1713" i="15"/>
  <c r="G1713" i="15"/>
  <c r="E1714" i="15"/>
  <c r="F1714" i="15"/>
  <c r="G1714" i="15"/>
  <c r="E1715" i="15"/>
  <c r="F1715" i="15"/>
  <c r="G1715" i="15"/>
  <c r="E1716" i="15"/>
  <c r="F1716" i="15"/>
  <c r="G1716" i="15"/>
  <c r="E1717" i="15"/>
  <c r="F1717" i="15"/>
  <c r="G1717" i="15"/>
  <c r="E1718" i="15"/>
  <c r="F1718" i="15"/>
  <c r="G1718" i="15"/>
  <c r="E1719" i="15"/>
  <c r="F1719" i="15"/>
  <c r="G1719" i="15"/>
  <c r="E1720" i="15"/>
  <c r="F1720" i="15"/>
  <c r="G1720" i="15"/>
  <c r="E1721" i="15"/>
  <c r="F1721" i="15"/>
  <c r="G1721" i="15"/>
  <c r="E1722" i="15"/>
  <c r="F1722" i="15"/>
  <c r="G1722" i="15"/>
  <c r="E1723" i="15"/>
  <c r="F1723" i="15"/>
  <c r="G1723" i="15"/>
  <c r="E1724" i="15"/>
  <c r="F1724" i="15"/>
  <c r="G1724" i="15"/>
  <c r="E1725" i="15"/>
  <c r="F1725" i="15"/>
  <c r="G1725" i="15"/>
  <c r="E1726" i="15"/>
  <c r="F1726" i="15"/>
  <c r="G1726" i="15"/>
  <c r="E1727" i="15"/>
  <c r="F1727" i="15"/>
  <c r="G1727" i="15"/>
  <c r="E1728" i="15"/>
  <c r="F1728" i="15"/>
  <c r="G1728" i="15"/>
  <c r="E1729" i="15"/>
  <c r="F1729" i="15"/>
  <c r="G1729" i="15"/>
  <c r="E1730" i="15"/>
  <c r="F1730" i="15"/>
  <c r="G1730" i="15"/>
  <c r="E1731" i="15"/>
  <c r="F1731" i="15"/>
  <c r="G1731" i="15"/>
  <c r="E1732" i="15"/>
  <c r="F1732" i="15"/>
  <c r="G1732" i="15"/>
  <c r="E1733" i="15"/>
  <c r="F1733" i="15"/>
  <c r="G1733" i="15"/>
  <c r="E1734" i="15"/>
  <c r="F1734" i="15"/>
  <c r="G1734" i="15"/>
  <c r="E1735" i="15"/>
  <c r="F1735" i="15"/>
  <c r="G1735" i="15"/>
  <c r="E1736" i="15"/>
  <c r="F1736" i="15"/>
  <c r="G1736" i="15"/>
  <c r="E1737" i="15"/>
  <c r="F1737" i="15"/>
  <c r="G1737" i="15"/>
  <c r="E1738" i="15"/>
  <c r="F1738" i="15"/>
  <c r="G1738" i="15"/>
  <c r="E1739" i="15"/>
  <c r="F1739" i="15"/>
  <c r="G1739" i="15"/>
  <c r="E1740" i="15"/>
  <c r="F1740" i="15"/>
  <c r="G1740" i="15"/>
  <c r="E1741" i="15"/>
  <c r="F1741" i="15"/>
  <c r="G1741" i="15"/>
  <c r="E1742" i="15"/>
  <c r="F1742" i="15"/>
  <c r="G1742" i="15"/>
  <c r="E1743" i="15"/>
  <c r="F1743" i="15"/>
  <c r="G1743" i="15"/>
  <c r="E1744" i="15"/>
  <c r="F1744" i="15"/>
  <c r="G1744" i="15"/>
  <c r="E1745" i="15"/>
  <c r="F1745" i="15"/>
  <c r="G1745" i="15"/>
  <c r="E1746" i="15"/>
  <c r="F1746" i="15"/>
  <c r="G1746" i="15"/>
  <c r="E1747" i="15"/>
  <c r="F1747" i="15"/>
  <c r="G1747" i="15"/>
  <c r="E1748" i="15"/>
  <c r="F1748" i="15"/>
  <c r="G1748" i="15"/>
  <c r="E1749" i="15"/>
  <c r="F1749" i="15"/>
  <c r="G1749" i="15"/>
  <c r="E1750" i="15"/>
  <c r="F1750" i="15"/>
  <c r="G1750" i="15"/>
  <c r="E1751" i="15"/>
  <c r="F1751" i="15"/>
  <c r="G1751" i="15"/>
  <c r="E1752" i="15"/>
  <c r="F1752" i="15"/>
  <c r="G1752" i="15"/>
  <c r="E1753" i="15"/>
  <c r="F1753" i="15"/>
  <c r="G1753" i="15"/>
  <c r="E1754" i="15"/>
  <c r="F1754" i="15"/>
  <c r="G1754" i="15"/>
  <c r="E1755" i="15"/>
  <c r="F1755" i="15"/>
  <c r="G1755" i="15"/>
  <c r="E1756" i="15"/>
  <c r="F1756" i="15"/>
  <c r="G1756" i="15"/>
  <c r="E1757" i="15"/>
  <c r="F1757" i="15"/>
  <c r="G1757" i="15"/>
  <c r="E1758" i="15"/>
  <c r="F1758" i="15"/>
  <c r="G1758" i="15"/>
  <c r="E1759" i="15"/>
  <c r="F1759" i="15"/>
  <c r="G1759" i="15"/>
  <c r="E1760" i="15"/>
  <c r="F1760" i="15"/>
  <c r="G1760" i="15"/>
  <c r="E1761" i="15"/>
  <c r="F1761" i="15"/>
  <c r="G1761" i="15"/>
  <c r="E1762" i="15"/>
  <c r="F1762" i="15"/>
  <c r="G1762" i="15"/>
  <c r="E1763" i="15"/>
  <c r="F1763" i="15"/>
  <c r="G1763" i="15"/>
  <c r="E1764" i="15"/>
  <c r="F1764" i="15"/>
  <c r="G1764" i="15"/>
  <c r="E1765" i="15"/>
  <c r="F1765" i="15"/>
  <c r="G1765" i="15"/>
  <c r="E1766" i="15"/>
  <c r="F1766" i="15"/>
  <c r="G1766" i="15"/>
  <c r="E1767" i="15"/>
  <c r="F1767" i="15"/>
  <c r="G1767" i="15"/>
  <c r="E1768" i="15"/>
  <c r="F1768" i="15"/>
  <c r="G1768" i="15"/>
  <c r="E1769" i="15"/>
  <c r="F1769" i="15"/>
  <c r="G1769" i="15"/>
  <c r="E1770" i="15"/>
  <c r="F1770" i="15"/>
  <c r="G1770" i="15"/>
  <c r="E1771" i="15"/>
  <c r="F1771" i="15"/>
  <c r="G1771" i="15"/>
  <c r="E1772" i="15"/>
  <c r="F1772" i="15"/>
  <c r="G1772" i="15"/>
  <c r="E1773" i="15"/>
  <c r="F1773" i="15"/>
  <c r="G1773" i="15"/>
  <c r="E1774" i="15"/>
  <c r="F1774" i="15"/>
  <c r="G1774" i="15"/>
  <c r="E1775" i="15"/>
  <c r="F1775" i="15"/>
  <c r="G1775" i="15"/>
  <c r="E1776" i="15"/>
  <c r="F1776" i="15"/>
  <c r="G1776" i="15"/>
  <c r="E1777" i="15"/>
  <c r="F1777" i="15"/>
  <c r="G1777" i="15"/>
  <c r="E1778" i="15"/>
  <c r="F1778" i="15"/>
  <c r="G1778" i="15"/>
  <c r="E1779" i="15"/>
  <c r="F1779" i="15"/>
  <c r="G1779" i="15"/>
  <c r="E1780" i="15"/>
  <c r="F1780" i="15"/>
  <c r="G1780" i="15"/>
  <c r="E1781" i="15"/>
  <c r="F1781" i="15"/>
  <c r="G1781" i="15"/>
  <c r="E1782" i="15"/>
  <c r="F1782" i="15"/>
  <c r="G1782" i="15"/>
  <c r="E1783" i="15"/>
  <c r="F1783" i="15"/>
  <c r="G1783" i="15"/>
  <c r="E1784" i="15"/>
  <c r="F1784" i="15"/>
  <c r="G1784" i="15"/>
  <c r="E1785" i="15"/>
  <c r="F1785" i="15"/>
  <c r="G1785" i="15"/>
  <c r="E1786" i="15"/>
  <c r="F1786" i="15"/>
  <c r="G1786" i="15"/>
  <c r="E1787" i="15"/>
  <c r="F1787" i="15"/>
  <c r="G1787" i="15"/>
  <c r="E1788" i="15"/>
  <c r="F1788" i="15"/>
  <c r="G1788" i="15"/>
  <c r="E1789" i="15"/>
  <c r="F1789" i="15"/>
  <c r="G1789" i="15"/>
  <c r="E1790" i="15"/>
  <c r="F1790" i="15"/>
  <c r="G1790" i="15"/>
  <c r="E1791" i="15"/>
  <c r="F1791" i="15"/>
  <c r="G1791" i="15"/>
  <c r="E1792" i="15"/>
  <c r="F1792" i="15"/>
  <c r="G1792" i="15"/>
  <c r="E1793" i="15"/>
  <c r="F1793" i="15"/>
  <c r="G1793" i="15"/>
  <c r="E1794" i="15"/>
  <c r="F1794" i="15"/>
  <c r="G1794" i="15"/>
  <c r="E1795" i="15"/>
  <c r="F1795" i="15"/>
  <c r="G1795" i="15"/>
  <c r="E1796" i="15"/>
  <c r="F1796" i="15"/>
  <c r="G1796" i="15"/>
  <c r="E1797" i="15"/>
  <c r="F1797" i="15"/>
  <c r="G1797" i="15"/>
  <c r="E1798" i="15"/>
  <c r="F1798" i="15"/>
  <c r="G1798" i="15"/>
  <c r="E1799" i="15"/>
  <c r="F1799" i="15"/>
  <c r="G1799" i="15"/>
  <c r="E1800" i="15"/>
  <c r="F1800" i="15"/>
  <c r="G1800" i="15"/>
  <c r="E1801" i="15"/>
  <c r="F1801" i="15"/>
  <c r="G1801" i="15"/>
  <c r="E1802" i="15"/>
  <c r="F1802" i="15"/>
  <c r="G1802" i="15"/>
  <c r="E1803" i="15"/>
  <c r="F1803" i="15"/>
  <c r="G1803" i="15"/>
  <c r="E1804" i="15"/>
  <c r="F1804" i="15"/>
  <c r="G1804" i="15"/>
  <c r="E1805" i="15"/>
  <c r="F1805" i="15"/>
  <c r="G1805" i="15"/>
  <c r="E1806" i="15"/>
  <c r="F1806" i="15"/>
  <c r="G1806" i="15"/>
  <c r="E1807" i="15"/>
  <c r="F1807" i="15"/>
  <c r="G1807" i="15"/>
  <c r="E1808" i="15"/>
  <c r="F1808" i="15"/>
  <c r="G1808" i="15"/>
  <c r="E1809" i="15"/>
  <c r="F1809" i="15"/>
  <c r="G1809" i="15"/>
  <c r="E1810" i="15"/>
  <c r="F1810" i="15"/>
  <c r="G1810" i="15"/>
  <c r="E1811" i="15"/>
  <c r="F1811" i="15"/>
  <c r="G1811" i="15"/>
  <c r="E1812" i="15"/>
  <c r="F1812" i="15"/>
  <c r="G1812" i="15"/>
  <c r="E1813" i="15"/>
  <c r="F1813" i="15"/>
  <c r="G1813" i="15"/>
  <c r="E1814" i="15"/>
  <c r="F1814" i="15"/>
  <c r="G1814" i="15"/>
  <c r="E1815" i="15"/>
  <c r="F1815" i="15"/>
  <c r="G1815" i="15"/>
  <c r="E1816" i="15"/>
  <c r="F1816" i="15"/>
  <c r="G1816" i="15"/>
  <c r="E1817" i="15"/>
  <c r="F1817" i="15"/>
  <c r="G1817" i="15"/>
  <c r="E1818" i="15"/>
  <c r="F1818" i="15"/>
  <c r="G1818" i="15"/>
  <c r="E1819" i="15"/>
  <c r="F1819" i="15"/>
  <c r="G1819" i="15"/>
  <c r="E1820" i="15"/>
  <c r="F1820" i="15"/>
  <c r="G1820" i="15"/>
  <c r="E1821" i="15"/>
  <c r="F1821" i="15"/>
  <c r="G1821" i="15"/>
  <c r="E1822" i="15"/>
  <c r="F1822" i="15"/>
  <c r="G1822" i="15"/>
  <c r="E1823" i="15"/>
  <c r="F1823" i="15"/>
  <c r="G1823" i="15"/>
  <c r="E1824" i="15"/>
  <c r="F1824" i="15"/>
  <c r="G1824" i="15"/>
  <c r="E1825" i="15"/>
  <c r="F1825" i="15"/>
  <c r="G1825" i="15"/>
  <c r="E1826" i="15"/>
  <c r="F1826" i="15"/>
  <c r="G1826" i="15"/>
  <c r="E1827" i="15"/>
  <c r="F1827" i="15"/>
  <c r="G1827" i="15"/>
  <c r="E1828" i="15"/>
  <c r="F1828" i="15"/>
  <c r="G1828" i="15"/>
  <c r="E1829" i="15"/>
  <c r="F1829" i="15"/>
  <c r="G1829" i="15"/>
  <c r="E1830" i="15"/>
  <c r="F1830" i="15"/>
  <c r="G1830" i="15"/>
  <c r="E1831" i="15"/>
  <c r="F1831" i="15"/>
  <c r="G1831" i="15"/>
  <c r="E1832" i="15"/>
  <c r="F1832" i="15"/>
  <c r="G1832" i="15"/>
  <c r="E1833" i="15"/>
  <c r="F1833" i="15"/>
  <c r="G1833" i="15"/>
  <c r="E1834" i="15"/>
  <c r="F1834" i="15"/>
  <c r="G1834" i="15"/>
  <c r="E1835" i="15"/>
  <c r="F1835" i="15"/>
  <c r="G1835" i="15"/>
  <c r="E1836" i="15"/>
  <c r="F1836" i="15"/>
  <c r="G1836" i="15"/>
  <c r="E1837" i="15"/>
  <c r="F1837" i="15"/>
  <c r="G1837" i="15"/>
  <c r="E1838" i="15"/>
  <c r="F1838" i="15"/>
  <c r="G1838" i="15"/>
  <c r="E1839" i="15"/>
  <c r="F1839" i="15"/>
  <c r="G1839" i="15"/>
  <c r="E1840" i="15"/>
  <c r="F1840" i="15"/>
  <c r="G1840" i="15"/>
  <c r="E1841" i="15"/>
  <c r="F1841" i="15"/>
  <c r="G1841" i="15"/>
  <c r="E1842" i="15"/>
  <c r="F1842" i="15"/>
  <c r="G1842" i="15"/>
  <c r="E1843" i="15"/>
  <c r="F1843" i="15"/>
  <c r="G1843" i="15"/>
  <c r="E1844" i="15"/>
  <c r="F1844" i="15"/>
  <c r="G1844" i="15"/>
  <c r="E1845" i="15"/>
  <c r="F1845" i="15"/>
  <c r="G1845" i="15"/>
  <c r="E1846" i="15"/>
  <c r="F1846" i="15"/>
  <c r="G1846" i="15"/>
  <c r="E1847" i="15"/>
  <c r="F1847" i="15"/>
  <c r="G1847" i="15"/>
  <c r="E1848" i="15"/>
  <c r="F1848" i="15"/>
  <c r="G1848" i="15"/>
  <c r="E1849" i="15"/>
  <c r="F1849" i="15"/>
  <c r="G1849" i="15"/>
  <c r="E1850" i="15"/>
  <c r="F1850" i="15"/>
  <c r="G1850" i="15"/>
  <c r="E1851" i="15"/>
  <c r="F1851" i="15"/>
  <c r="G1851" i="15"/>
  <c r="E1852" i="15"/>
  <c r="F1852" i="15"/>
  <c r="G1852" i="15"/>
  <c r="E1853" i="15"/>
  <c r="F1853" i="15"/>
  <c r="G1853" i="15"/>
  <c r="E1854" i="15"/>
  <c r="F1854" i="15"/>
  <c r="G1854" i="15"/>
  <c r="E1855" i="15"/>
  <c r="F1855" i="15"/>
  <c r="G1855" i="15"/>
  <c r="E1856" i="15"/>
  <c r="F1856" i="15"/>
  <c r="G1856" i="15"/>
  <c r="E1857" i="15"/>
  <c r="F1857" i="15"/>
  <c r="G1857" i="15"/>
  <c r="E1858" i="15"/>
  <c r="F1858" i="15"/>
  <c r="G1858" i="15"/>
  <c r="E1859" i="15"/>
  <c r="F1859" i="15"/>
  <c r="G1859" i="15"/>
  <c r="E1860" i="15"/>
  <c r="F1860" i="15"/>
  <c r="G1860" i="15"/>
  <c r="E1861" i="15"/>
  <c r="F1861" i="15"/>
  <c r="G1861" i="15"/>
  <c r="E1862" i="15"/>
  <c r="F1862" i="15"/>
  <c r="G1862" i="15"/>
  <c r="E1863" i="15"/>
  <c r="F1863" i="15"/>
  <c r="G1863" i="15"/>
  <c r="E1864" i="15"/>
  <c r="F1864" i="15"/>
  <c r="G1864" i="15"/>
  <c r="E1865" i="15"/>
  <c r="F1865" i="15"/>
  <c r="G1865" i="15"/>
  <c r="E1866" i="15"/>
  <c r="F1866" i="15"/>
  <c r="G1866" i="15"/>
  <c r="E1867" i="15"/>
  <c r="F1867" i="15"/>
  <c r="G1867" i="15"/>
  <c r="E1868" i="15"/>
  <c r="F1868" i="15"/>
  <c r="G1868" i="15"/>
  <c r="E1869" i="15"/>
  <c r="F1869" i="15"/>
  <c r="G1869" i="15"/>
  <c r="E1870" i="15"/>
  <c r="F1870" i="15"/>
  <c r="G1870" i="15"/>
  <c r="E1871" i="15"/>
  <c r="F1871" i="15"/>
  <c r="G1871" i="15"/>
  <c r="E1872" i="15"/>
  <c r="F1872" i="15"/>
  <c r="G1872" i="15"/>
  <c r="E1873" i="15"/>
  <c r="F1873" i="15"/>
  <c r="G1873" i="15"/>
  <c r="E1874" i="15"/>
  <c r="F1874" i="15"/>
  <c r="G1874" i="15"/>
  <c r="E1875" i="15"/>
  <c r="F1875" i="15"/>
  <c r="G1875" i="15"/>
  <c r="E1876" i="15"/>
  <c r="F1876" i="15"/>
  <c r="G1876" i="15"/>
  <c r="E1877" i="15"/>
  <c r="F1877" i="15"/>
  <c r="G1877" i="15"/>
  <c r="E1878" i="15"/>
  <c r="F1878" i="15"/>
  <c r="G1878" i="15"/>
  <c r="E1879" i="15"/>
  <c r="F1879" i="15"/>
  <c r="G1879" i="15"/>
  <c r="E1880" i="15"/>
  <c r="F1880" i="15"/>
  <c r="G1880" i="15"/>
  <c r="E1881" i="15"/>
  <c r="F1881" i="15"/>
  <c r="G1881" i="15"/>
  <c r="E1882" i="15"/>
  <c r="F1882" i="15"/>
  <c r="G1882" i="15"/>
  <c r="E1883" i="15"/>
  <c r="F1883" i="15"/>
  <c r="G1883" i="15"/>
  <c r="E1884" i="15"/>
  <c r="F1884" i="15"/>
  <c r="G1884" i="15"/>
  <c r="E1885" i="15"/>
  <c r="F1885" i="15"/>
  <c r="G1885" i="15"/>
  <c r="E1886" i="15"/>
  <c r="F1886" i="15"/>
  <c r="G1886" i="15"/>
  <c r="E1887" i="15"/>
  <c r="F1887" i="15"/>
  <c r="G1887" i="15"/>
  <c r="E1888" i="15"/>
  <c r="F1888" i="15"/>
  <c r="G1888" i="15"/>
  <c r="E1889" i="15"/>
  <c r="F1889" i="15"/>
  <c r="G1889" i="15"/>
  <c r="E1890" i="15"/>
  <c r="F1890" i="15"/>
  <c r="G1890" i="15"/>
  <c r="E1891" i="15"/>
  <c r="F1891" i="15"/>
  <c r="G1891" i="15"/>
  <c r="E1892" i="15"/>
  <c r="F1892" i="15"/>
  <c r="G1892" i="15"/>
  <c r="E1893" i="15"/>
  <c r="F1893" i="15"/>
  <c r="G1893" i="15"/>
  <c r="E1894" i="15"/>
  <c r="F1894" i="15"/>
  <c r="G1894" i="15"/>
  <c r="E1895" i="15"/>
  <c r="F1895" i="15"/>
  <c r="G1895" i="15"/>
  <c r="E1896" i="15"/>
  <c r="F1896" i="15"/>
  <c r="G1896" i="15"/>
  <c r="E1897" i="15"/>
  <c r="F1897" i="15"/>
  <c r="G1897" i="15"/>
  <c r="E1898" i="15"/>
  <c r="F1898" i="15"/>
  <c r="G1898" i="15"/>
  <c r="E1899" i="15"/>
  <c r="F1899" i="15"/>
  <c r="G1899" i="15"/>
  <c r="E1900" i="15"/>
  <c r="F1900" i="15"/>
  <c r="G1900" i="15"/>
  <c r="E1901" i="15"/>
  <c r="F1901" i="15"/>
  <c r="G1901" i="15"/>
  <c r="E1902" i="15"/>
  <c r="F1902" i="15"/>
  <c r="G1902" i="15"/>
  <c r="E1903" i="15"/>
  <c r="F1903" i="15"/>
  <c r="G1903" i="15"/>
  <c r="E1904" i="15"/>
  <c r="F1904" i="15"/>
  <c r="G1904" i="15"/>
  <c r="E1905" i="15"/>
  <c r="F1905" i="15"/>
  <c r="G1905" i="15"/>
  <c r="E1906" i="15"/>
  <c r="F1906" i="15"/>
  <c r="G1906" i="15"/>
  <c r="E1907" i="15"/>
  <c r="F1907" i="15"/>
  <c r="G1907" i="15"/>
  <c r="E1908" i="15"/>
  <c r="F1908" i="15"/>
  <c r="G1908" i="15"/>
  <c r="E1909" i="15"/>
  <c r="F1909" i="15"/>
  <c r="G1909" i="15"/>
  <c r="E1910" i="15"/>
  <c r="F1910" i="15"/>
  <c r="G1910" i="15"/>
  <c r="E1911" i="15"/>
  <c r="F1911" i="15"/>
  <c r="G1911" i="15"/>
  <c r="E1912" i="15"/>
  <c r="F1912" i="15"/>
  <c r="G1912" i="15"/>
  <c r="E1913" i="15"/>
  <c r="F1913" i="15"/>
  <c r="G1913" i="15"/>
  <c r="E1914" i="15"/>
  <c r="F1914" i="15"/>
  <c r="G1914" i="15"/>
  <c r="E1915" i="15"/>
  <c r="F1915" i="15"/>
  <c r="G1915" i="15"/>
  <c r="E1916" i="15"/>
  <c r="F1916" i="15"/>
  <c r="G1916" i="15"/>
  <c r="E1917" i="15"/>
  <c r="F1917" i="15"/>
  <c r="G1917" i="15"/>
  <c r="E1918" i="15"/>
  <c r="F1918" i="15"/>
  <c r="G1918" i="15"/>
  <c r="E1919" i="15"/>
  <c r="F1919" i="15"/>
  <c r="G1919" i="15"/>
  <c r="E1920" i="15"/>
  <c r="F1920" i="15"/>
  <c r="G1920" i="15"/>
  <c r="E1921" i="15"/>
  <c r="F1921" i="15"/>
  <c r="G1921" i="15"/>
  <c r="E1922" i="15"/>
  <c r="F1922" i="15"/>
  <c r="G1922" i="15"/>
  <c r="E1923" i="15"/>
  <c r="F1923" i="15"/>
  <c r="G1923" i="15"/>
  <c r="E1924" i="15"/>
  <c r="F1924" i="15"/>
  <c r="G1924" i="15"/>
  <c r="E1925" i="15"/>
  <c r="F1925" i="15"/>
  <c r="G1925" i="15"/>
  <c r="E1926" i="15"/>
  <c r="F1926" i="15"/>
  <c r="G1926" i="15"/>
  <c r="E1927" i="15"/>
  <c r="F1927" i="15"/>
  <c r="G1927" i="15"/>
  <c r="E1928" i="15"/>
  <c r="F1928" i="15"/>
  <c r="G1928" i="15"/>
  <c r="E1929" i="15"/>
  <c r="F1929" i="15"/>
  <c r="G1929" i="15"/>
  <c r="E1930" i="15"/>
  <c r="F1930" i="15"/>
  <c r="G1930" i="15"/>
  <c r="E1931" i="15"/>
  <c r="F1931" i="15"/>
  <c r="G1931" i="15"/>
  <c r="E1932" i="15"/>
  <c r="F1932" i="15"/>
  <c r="G1932" i="15"/>
  <c r="E1933" i="15"/>
  <c r="F1933" i="15"/>
  <c r="G1933" i="15"/>
  <c r="E1934" i="15"/>
  <c r="F1934" i="15"/>
  <c r="G1934" i="15"/>
  <c r="E1935" i="15"/>
  <c r="F1935" i="15"/>
  <c r="G1935" i="15"/>
  <c r="E1936" i="15"/>
  <c r="F1936" i="15"/>
  <c r="G1936" i="15"/>
  <c r="E1937" i="15"/>
  <c r="F1937" i="15"/>
  <c r="G1937" i="15"/>
  <c r="E1938" i="15"/>
  <c r="F1938" i="15"/>
  <c r="G1938" i="15"/>
  <c r="E1939" i="15"/>
  <c r="F1939" i="15"/>
  <c r="G1939" i="15"/>
  <c r="E1940" i="15"/>
  <c r="F1940" i="15"/>
  <c r="G1940" i="15"/>
  <c r="E1941" i="15"/>
  <c r="F1941" i="15"/>
  <c r="G1941" i="15"/>
  <c r="E1942" i="15"/>
  <c r="F1942" i="15"/>
  <c r="G1942" i="15"/>
  <c r="E1943" i="15"/>
  <c r="F1943" i="15"/>
  <c r="G1943" i="15"/>
  <c r="E1944" i="15"/>
  <c r="F1944" i="15"/>
  <c r="G1944" i="15"/>
  <c r="E1945" i="15"/>
  <c r="F1945" i="15"/>
  <c r="G1945" i="15"/>
  <c r="E1946" i="15"/>
  <c r="F1946" i="15"/>
  <c r="G1946" i="15"/>
  <c r="E1947" i="15"/>
  <c r="F1947" i="15"/>
  <c r="G1947" i="15"/>
  <c r="E1948" i="15"/>
  <c r="F1948" i="15"/>
  <c r="G1948" i="15"/>
  <c r="E1949" i="15"/>
  <c r="F1949" i="15"/>
  <c r="G1949" i="15"/>
  <c r="E1950" i="15"/>
  <c r="F1950" i="15"/>
  <c r="G1950" i="15"/>
  <c r="E1951" i="15"/>
  <c r="F1951" i="15"/>
  <c r="G1951" i="15"/>
  <c r="E1952" i="15"/>
  <c r="F1952" i="15"/>
  <c r="G1952" i="15"/>
  <c r="E1953" i="15"/>
  <c r="F1953" i="15"/>
  <c r="G1953" i="15"/>
  <c r="E1954" i="15"/>
  <c r="F1954" i="15"/>
  <c r="G1954" i="15"/>
  <c r="E1955" i="15"/>
  <c r="F1955" i="15"/>
  <c r="G1955" i="15"/>
  <c r="E1956" i="15"/>
  <c r="F1956" i="15"/>
  <c r="G1956" i="15"/>
  <c r="E1957" i="15"/>
  <c r="F1957" i="15"/>
  <c r="G1957" i="15"/>
  <c r="E1958" i="15"/>
  <c r="F1958" i="15"/>
  <c r="G1958" i="15"/>
  <c r="E1959" i="15"/>
  <c r="F1959" i="15"/>
  <c r="G1959" i="15"/>
  <c r="E1960" i="15"/>
  <c r="F1960" i="15"/>
  <c r="G1960" i="15"/>
  <c r="E1961" i="15"/>
  <c r="F1961" i="15"/>
  <c r="G1961" i="15"/>
  <c r="E1962" i="15"/>
  <c r="F1962" i="15"/>
  <c r="G1962" i="15"/>
  <c r="E1963" i="15"/>
  <c r="F1963" i="15"/>
  <c r="G1963" i="15"/>
  <c r="E1964" i="15"/>
  <c r="F1964" i="15"/>
  <c r="G1964" i="15"/>
  <c r="E1965" i="15"/>
  <c r="F1965" i="15"/>
  <c r="G1965" i="15"/>
  <c r="E1966" i="15"/>
  <c r="F1966" i="15"/>
  <c r="G1966" i="15"/>
  <c r="E1967" i="15"/>
  <c r="F1967" i="15"/>
  <c r="G1967" i="15"/>
  <c r="E1968" i="15"/>
  <c r="F1968" i="15"/>
  <c r="G1968" i="15"/>
  <c r="E1969" i="15"/>
  <c r="F1969" i="15"/>
  <c r="G1969" i="15"/>
  <c r="E1970" i="15"/>
  <c r="F1970" i="15"/>
  <c r="G1970" i="15"/>
  <c r="E1971" i="15"/>
  <c r="F1971" i="15"/>
  <c r="G1971" i="15"/>
  <c r="E1972" i="15"/>
  <c r="F1972" i="15"/>
  <c r="G1972" i="15"/>
  <c r="E1973" i="15"/>
  <c r="F1973" i="15"/>
  <c r="G1973" i="15"/>
  <c r="E1974" i="15"/>
  <c r="F1974" i="15"/>
  <c r="G1974" i="15"/>
  <c r="E1975" i="15"/>
  <c r="F1975" i="15"/>
  <c r="G1975" i="15"/>
  <c r="E1976" i="15"/>
  <c r="F1976" i="15"/>
  <c r="G1976" i="15"/>
  <c r="E1977" i="15"/>
  <c r="F1977" i="15"/>
  <c r="G1977" i="15"/>
  <c r="E1978" i="15"/>
  <c r="F1978" i="15"/>
  <c r="G1978" i="15"/>
  <c r="E1979" i="15"/>
  <c r="F1979" i="15"/>
  <c r="G1979" i="15"/>
  <c r="E1980" i="15"/>
  <c r="F1980" i="15"/>
  <c r="G1980" i="15"/>
  <c r="E1981" i="15"/>
  <c r="F1981" i="15"/>
  <c r="G1981" i="15"/>
  <c r="E1982" i="15"/>
  <c r="F1982" i="15"/>
  <c r="G1982" i="15"/>
  <c r="E1983" i="15"/>
  <c r="F1983" i="15"/>
  <c r="G1983" i="15"/>
  <c r="E1984" i="15"/>
  <c r="F1984" i="15"/>
  <c r="G1984" i="15"/>
  <c r="E1985" i="15"/>
  <c r="F1985" i="15"/>
  <c r="G1985" i="15"/>
  <c r="E1986" i="15"/>
  <c r="F1986" i="15"/>
  <c r="G1986" i="15"/>
  <c r="E1987" i="15"/>
  <c r="F1987" i="15"/>
  <c r="G1987" i="15"/>
  <c r="E1988" i="15"/>
  <c r="F1988" i="15"/>
  <c r="G1988" i="15"/>
  <c r="E1989" i="15"/>
  <c r="F1989" i="15"/>
  <c r="G1989" i="15"/>
  <c r="E1990" i="15"/>
  <c r="F1990" i="15"/>
  <c r="G1990" i="15"/>
  <c r="E1991" i="15"/>
  <c r="F1991" i="15"/>
  <c r="G1991" i="15"/>
  <c r="E1992" i="15"/>
  <c r="F1992" i="15"/>
  <c r="G1992" i="15"/>
  <c r="E1993" i="15"/>
  <c r="F1993" i="15"/>
  <c r="G1993" i="15"/>
  <c r="E1994" i="15"/>
  <c r="F1994" i="15"/>
  <c r="G1994" i="15"/>
  <c r="E1995" i="15"/>
  <c r="F1995" i="15"/>
  <c r="G1995" i="15"/>
  <c r="E1996" i="15"/>
  <c r="F1996" i="15"/>
  <c r="G1996" i="15"/>
  <c r="E1997" i="15"/>
  <c r="F1997" i="15"/>
  <c r="G1997" i="15"/>
  <c r="E1998" i="15"/>
  <c r="F1998" i="15"/>
  <c r="G1998" i="15"/>
  <c r="E1999" i="15"/>
  <c r="F1999" i="15"/>
  <c r="G1999" i="15"/>
  <c r="E2000" i="15"/>
  <c r="F2000" i="15"/>
  <c r="G2000" i="15"/>
  <c r="E2001" i="15"/>
  <c r="F2001" i="15"/>
  <c r="G2001" i="15"/>
  <c r="E2002" i="15"/>
  <c r="F2002" i="15"/>
  <c r="G2002" i="15"/>
  <c r="E2003" i="15"/>
  <c r="F2003" i="15"/>
  <c r="G2003" i="15"/>
  <c r="E2004" i="15"/>
  <c r="F2004" i="15"/>
  <c r="G2004" i="15"/>
  <c r="E2005" i="15"/>
  <c r="F2005" i="15"/>
  <c r="G2005" i="15"/>
  <c r="E2006" i="15"/>
  <c r="F2006" i="15"/>
  <c r="G2006" i="15"/>
  <c r="E2007" i="15"/>
  <c r="F2007" i="15"/>
  <c r="G2007" i="15"/>
  <c r="E2008" i="15"/>
  <c r="F2008" i="15"/>
  <c r="G2008" i="15"/>
  <c r="E2009" i="15"/>
  <c r="F2009" i="15"/>
  <c r="G2009" i="15"/>
  <c r="E2010" i="15"/>
  <c r="F2010" i="15"/>
  <c r="G2010" i="15"/>
  <c r="E2011" i="15"/>
  <c r="F2011" i="15"/>
  <c r="G2011" i="15"/>
  <c r="E2012" i="15"/>
  <c r="F2012" i="15"/>
  <c r="G2012" i="15"/>
  <c r="E2013" i="15"/>
  <c r="F2013" i="15"/>
  <c r="G2013" i="15"/>
  <c r="E2014" i="15"/>
  <c r="F2014" i="15"/>
  <c r="G2014" i="15"/>
  <c r="E2015" i="15"/>
  <c r="F2015" i="15"/>
  <c r="G2015" i="15"/>
  <c r="E2016" i="15"/>
  <c r="F2016" i="15"/>
  <c r="G2016" i="15"/>
  <c r="E2017" i="15"/>
  <c r="F2017" i="15"/>
  <c r="G2017" i="15"/>
  <c r="E2018" i="15"/>
  <c r="F2018" i="15"/>
  <c r="G2018" i="15"/>
  <c r="E2019" i="15"/>
  <c r="F2019" i="15"/>
  <c r="G2019" i="15"/>
  <c r="E2020" i="15"/>
  <c r="F2020" i="15"/>
  <c r="G2020" i="15"/>
  <c r="E2021" i="15"/>
  <c r="F2021" i="15"/>
  <c r="G2021" i="15"/>
  <c r="E2022" i="15"/>
  <c r="F2022" i="15"/>
  <c r="G2022" i="15"/>
  <c r="E2023" i="15"/>
  <c r="F2023" i="15"/>
  <c r="G2023" i="15"/>
  <c r="E2024" i="15"/>
  <c r="F2024" i="15"/>
  <c r="G2024" i="15"/>
  <c r="E2025" i="15"/>
  <c r="F2025" i="15"/>
  <c r="G2025" i="15"/>
  <c r="E2026" i="15"/>
  <c r="F2026" i="15"/>
  <c r="G2026" i="15"/>
  <c r="E2027" i="15"/>
  <c r="F2027" i="15"/>
  <c r="G2027" i="15"/>
  <c r="E2028" i="15"/>
  <c r="F2028" i="15"/>
  <c r="G2028" i="15"/>
  <c r="E2029" i="15"/>
  <c r="F2029" i="15"/>
  <c r="G2029" i="15"/>
  <c r="E2030" i="15"/>
  <c r="F2030" i="15"/>
  <c r="G2030" i="15"/>
  <c r="E2031" i="15"/>
  <c r="F2031" i="15"/>
  <c r="G2031" i="15"/>
  <c r="E2032" i="15"/>
  <c r="F2032" i="15"/>
  <c r="G2032" i="15"/>
  <c r="E2033" i="15"/>
  <c r="F2033" i="15"/>
  <c r="G2033" i="15"/>
  <c r="E2034" i="15"/>
  <c r="F2034" i="15"/>
  <c r="G2034" i="15"/>
  <c r="E2035" i="15"/>
  <c r="F2035" i="15"/>
  <c r="G2035" i="15"/>
  <c r="E2036" i="15"/>
  <c r="F2036" i="15"/>
  <c r="G2036" i="15"/>
  <c r="E2037" i="15"/>
  <c r="F2037" i="15"/>
  <c r="G2037" i="15"/>
  <c r="E2038" i="15"/>
  <c r="F2038" i="15"/>
  <c r="G2038" i="15"/>
  <c r="E2039" i="15"/>
  <c r="F2039" i="15"/>
  <c r="G2039" i="15"/>
  <c r="E2040" i="15"/>
  <c r="F2040" i="15"/>
  <c r="G2040" i="15"/>
  <c r="E2041" i="15"/>
  <c r="F2041" i="15"/>
  <c r="G2041" i="15"/>
  <c r="E2042" i="15"/>
  <c r="F2042" i="15"/>
  <c r="G2042" i="15"/>
  <c r="E2043" i="15"/>
  <c r="F2043" i="15"/>
  <c r="G2043" i="15"/>
  <c r="E2044" i="15"/>
  <c r="F2044" i="15"/>
  <c r="G2044" i="15"/>
  <c r="E2045" i="15"/>
  <c r="F2045" i="15"/>
  <c r="G2045" i="15"/>
  <c r="E2046" i="15"/>
  <c r="F2046" i="15"/>
  <c r="G2046" i="15"/>
  <c r="E2047" i="15"/>
  <c r="F2047" i="15"/>
  <c r="G2047" i="15"/>
  <c r="E2048" i="15"/>
  <c r="F2048" i="15"/>
  <c r="G2048" i="15"/>
  <c r="E2049" i="15"/>
  <c r="F2049" i="15"/>
  <c r="G2049" i="15"/>
  <c r="E2050" i="15"/>
  <c r="F2050" i="15"/>
  <c r="G2050" i="15"/>
  <c r="E2051" i="15"/>
  <c r="F2051" i="15"/>
  <c r="G2051" i="15"/>
  <c r="E2052" i="15"/>
  <c r="F2052" i="15"/>
  <c r="G2052" i="15"/>
  <c r="E2053" i="15"/>
  <c r="F2053" i="15"/>
  <c r="G2053" i="15"/>
  <c r="E2054" i="15"/>
  <c r="F2054" i="15"/>
  <c r="G2054" i="15"/>
  <c r="E2055" i="15"/>
  <c r="F2055" i="15"/>
  <c r="G2055" i="15"/>
  <c r="E2056" i="15"/>
  <c r="F2056" i="15"/>
  <c r="G2056" i="15"/>
  <c r="E2057" i="15"/>
  <c r="F2057" i="15"/>
  <c r="G2057" i="15"/>
  <c r="E2058" i="15"/>
  <c r="F2058" i="15"/>
  <c r="G2058" i="15"/>
  <c r="E2059" i="15"/>
  <c r="F2059" i="15"/>
  <c r="G2059" i="15"/>
  <c r="E2060" i="15"/>
  <c r="F2060" i="15"/>
  <c r="G2060" i="15"/>
  <c r="E2061" i="15"/>
  <c r="F2061" i="15"/>
  <c r="G2061" i="15"/>
  <c r="E2062" i="15"/>
  <c r="F2062" i="15"/>
  <c r="G2062" i="15"/>
  <c r="E2063" i="15"/>
  <c r="F2063" i="15"/>
  <c r="G2063" i="15"/>
  <c r="E2064" i="15"/>
  <c r="F2064" i="15"/>
  <c r="G2064" i="15"/>
  <c r="E2065" i="15"/>
  <c r="F2065" i="15"/>
  <c r="G2065" i="15"/>
  <c r="E2066" i="15"/>
  <c r="F2066" i="15"/>
  <c r="G2066" i="15"/>
  <c r="E2067" i="15"/>
  <c r="F2067" i="15"/>
  <c r="G2067" i="15"/>
  <c r="E2068" i="15"/>
  <c r="F2068" i="15"/>
  <c r="G2068" i="15"/>
  <c r="E2069" i="15"/>
  <c r="F2069" i="15"/>
  <c r="G2069" i="15"/>
  <c r="E2070" i="15"/>
  <c r="F2070" i="15"/>
  <c r="G2070" i="15"/>
  <c r="E2071" i="15"/>
  <c r="F2071" i="15"/>
  <c r="G2071" i="15"/>
  <c r="E2072" i="15"/>
  <c r="F2072" i="15"/>
  <c r="G2072" i="15"/>
  <c r="E2073" i="15"/>
  <c r="F2073" i="15"/>
  <c r="G2073" i="15"/>
  <c r="E2074" i="15"/>
  <c r="F2074" i="15"/>
  <c r="G2074" i="15"/>
  <c r="E2075" i="15"/>
  <c r="F2075" i="15"/>
  <c r="G2075" i="15"/>
  <c r="E2076" i="15"/>
  <c r="F2076" i="15"/>
  <c r="G2076" i="15"/>
  <c r="E2077" i="15"/>
  <c r="F2077" i="15"/>
  <c r="G2077" i="15"/>
  <c r="E2078" i="15"/>
  <c r="F2078" i="15"/>
  <c r="G2078" i="15"/>
  <c r="E2079" i="15"/>
  <c r="F2079" i="15"/>
  <c r="G2079" i="15"/>
  <c r="E2080" i="15"/>
  <c r="F2080" i="15"/>
  <c r="G2080" i="15"/>
  <c r="E2081" i="15"/>
  <c r="F2081" i="15"/>
  <c r="G2081" i="15"/>
  <c r="E2082" i="15"/>
  <c r="F2082" i="15"/>
  <c r="G2082" i="15"/>
  <c r="E2083" i="15"/>
  <c r="F2083" i="15"/>
  <c r="G2083" i="15"/>
  <c r="E2084" i="15"/>
  <c r="F2084" i="15"/>
  <c r="G2084" i="15"/>
  <c r="E2085" i="15"/>
  <c r="F2085" i="15"/>
  <c r="G2085" i="15"/>
  <c r="E2086" i="15"/>
  <c r="F2086" i="15"/>
  <c r="G2086" i="15"/>
  <c r="E2087" i="15"/>
  <c r="F2087" i="15"/>
  <c r="G2087" i="15"/>
  <c r="E2088" i="15"/>
  <c r="F2088" i="15"/>
  <c r="G2088" i="15"/>
  <c r="E2089" i="15"/>
  <c r="F2089" i="15"/>
  <c r="G2089" i="15"/>
  <c r="E2090" i="15"/>
  <c r="F2090" i="15"/>
  <c r="G2090" i="15"/>
  <c r="E2091" i="15"/>
  <c r="F2091" i="15"/>
  <c r="G2091" i="15"/>
  <c r="E2092" i="15"/>
  <c r="F2092" i="15"/>
  <c r="G2092" i="15"/>
  <c r="E2093" i="15"/>
  <c r="F2093" i="15"/>
  <c r="G2093" i="15"/>
  <c r="E2094" i="15"/>
  <c r="F2094" i="15"/>
  <c r="G2094" i="15"/>
  <c r="E2095" i="15"/>
  <c r="F2095" i="15"/>
  <c r="G2095" i="15"/>
  <c r="E2096" i="15"/>
  <c r="F2096" i="15"/>
  <c r="G2096" i="15"/>
  <c r="E2097" i="15"/>
  <c r="F2097" i="15"/>
  <c r="G2097" i="15"/>
  <c r="E2098" i="15"/>
  <c r="F2098" i="15"/>
  <c r="G2098" i="15"/>
  <c r="E2099" i="15"/>
  <c r="F2099" i="15"/>
  <c r="G2099" i="15"/>
  <c r="E2100" i="15"/>
  <c r="F2100" i="15"/>
  <c r="G2100" i="15"/>
  <c r="E2101" i="15"/>
  <c r="F2101" i="15"/>
  <c r="G2101" i="15"/>
  <c r="E2102" i="15"/>
  <c r="F2102" i="15"/>
  <c r="G2102" i="15"/>
  <c r="E2103" i="15"/>
  <c r="F2103" i="15"/>
  <c r="G2103" i="15"/>
  <c r="E2104" i="15"/>
  <c r="F2104" i="15"/>
  <c r="G2104" i="15"/>
  <c r="E2105" i="15"/>
  <c r="F2105" i="15"/>
  <c r="G2105" i="15"/>
  <c r="E2106" i="15"/>
  <c r="F2106" i="15"/>
  <c r="G2106" i="15"/>
  <c r="E2107" i="15"/>
  <c r="F2107" i="15"/>
  <c r="G2107" i="15"/>
  <c r="E2108" i="15"/>
  <c r="F2108" i="15"/>
  <c r="G2108" i="15"/>
  <c r="E2109" i="15"/>
  <c r="F2109" i="15"/>
  <c r="G2109" i="15"/>
  <c r="E2110" i="15"/>
  <c r="F2110" i="15"/>
  <c r="G2110" i="15"/>
  <c r="E2111" i="15"/>
  <c r="F2111" i="15"/>
  <c r="G2111" i="15"/>
  <c r="E2112" i="15"/>
  <c r="F2112" i="15"/>
  <c r="G2112" i="15"/>
  <c r="E2113" i="15"/>
  <c r="F2113" i="15"/>
  <c r="G2113" i="15"/>
  <c r="E2114" i="15"/>
  <c r="F2114" i="15"/>
  <c r="G2114" i="15"/>
  <c r="E2115" i="15"/>
  <c r="F2115" i="15"/>
  <c r="G2115" i="15"/>
  <c r="E2116" i="15"/>
  <c r="F2116" i="15"/>
  <c r="G2116" i="15"/>
  <c r="E2117" i="15"/>
  <c r="F2117" i="15"/>
  <c r="G2117" i="15"/>
  <c r="E2118" i="15"/>
  <c r="F2118" i="15"/>
  <c r="G2118" i="15"/>
  <c r="E2119" i="15"/>
  <c r="F2119" i="15"/>
  <c r="G2119" i="15"/>
  <c r="E2120" i="15"/>
  <c r="F2120" i="15"/>
  <c r="G2120" i="15"/>
  <c r="E2121" i="15"/>
  <c r="F2121" i="15"/>
  <c r="G2121" i="15"/>
  <c r="E2122" i="15"/>
  <c r="F2122" i="15"/>
  <c r="G2122" i="15"/>
  <c r="E2123" i="15"/>
  <c r="F2123" i="15"/>
  <c r="G2123" i="15"/>
  <c r="E2124" i="15"/>
  <c r="F2124" i="15"/>
  <c r="G2124" i="15"/>
  <c r="E2125" i="15"/>
  <c r="F2125" i="15"/>
  <c r="G2125" i="15"/>
  <c r="E2126" i="15"/>
  <c r="F2126" i="15"/>
  <c r="G2126" i="15"/>
  <c r="E2127" i="15"/>
  <c r="F2127" i="15"/>
  <c r="G2127" i="15"/>
  <c r="E2128" i="15"/>
  <c r="F2128" i="15"/>
  <c r="G2128" i="15"/>
  <c r="E2129" i="15"/>
  <c r="F2129" i="15"/>
  <c r="G2129" i="15"/>
  <c r="E2130" i="15"/>
  <c r="F2130" i="15"/>
  <c r="G2130" i="15"/>
  <c r="E2131" i="15"/>
  <c r="F2131" i="15"/>
  <c r="G2131" i="15"/>
  <c r="E2132" i="15"/>
  <c r="F2132" i="15"/>
  <c r="G2132" i="15"/>
  <c r="E2133" i="15"/>
  <c r="F2133" i="15"/>
  <c r="G2133" i="15"/>
  <c r="E2134" i="15"/>
  <c r="F2134" i="15"/>
  <c r="G2134" i="15"/>
  <c r="E2135" i="15"/>
  <c r="F2135" i="15"/>
  <c r="G2135" i="15"/>
  <c r="E2136" i="15"/>
  <c r="F2136" i="15"/>
  <c r="G2136" i="15"/>
  <c r="E2137" i="15"/>
  <c r="F2137" i="15"/>
  <c r="G2137" i="15"/>
  <c r="E2138" i="15"/>
  <c r="F2138" i="15"/>
  <c r="G2138" i="15"/>
  <c r="E2139" i="15"/>
  <c r="F2139" i="15"/>
  <c r="G2139" i="15"/>
  <c r="E2140" i="15"/>
  <c r="F2140" i="15"/>
  <c r="G2140" i="15"/>
  <c r="E2141" i="15"/>
  <c r="F2141" i="15"/>
  <c r="G2141" i="15"/>
  <c r="E2142" i="15"/>
  <c r="F2142" i="15"/>
  <c r="G2142" i="15"/>
  <c r="E2143" i="15"/>
  <c r="F2143" i="15"/>
  <c r="G2143" i="15"/>
  <c r="E2144" i="15"/>
  <c r="F2144" i="15"/>
  <c r="G2144" i="15"/>
  <c r="E2145" i="15"/>
  <c r="F2145" i="15"/>
  <c r="G2145" i="15"/>
  <c r="E2146" i="15"/>
  <c r="F2146" i="15"/>
  <c r="G2146" i="15"/>
  <c r="E2147" i="15"/>
  <c r="F2147" i="15"/>
  <c r="G2147" i="15"/>
  <c r="E2148" i="15"/>
  <c r="F2148" i="15"/>
  <c r="G2148" i="15"/>
  <c r="E2149" i="15"/>
  <c r="F2149" i="15"/>
  <c r="G2149" i="15"/>
  <c r="E2150" i="15"/>
  <c r="F2150" i="15"/>
  <c r="G2150" i="15"/>
  <c r="E2151" i="15"/>
  <c r="F2151" i="15"/>
  <c r="G2151" i="15"/>
  <c r="E2152" i="15"/>
  <c r="F2152" i="15"/>
  <c r="G2152" i="15"/>
  <c r="E2153" i="15"/>
  <c r="F2153" i="15"/>
  <c r="G2153" i="15"/>
  <c r="E2154" i="15"/>
  <c r="F2154" i="15"/>
  <c r="G2154" i="15"/>
  <c r="E2155" i="15"/>
  <c r="F2155" i="15"/>
  <c r="G2155" i="15"/>
  <c r="E2156" i="15"/>
  <c r="F2156" i="15"/>
  <c r="G2156" i="15"/>
  <c r="E2157" i="15"/>
  <c r="F2157" i="15"/>
  <c r="G2157" i="15"/>
  <c r="E2158" i="15"/>
  <c r="F2158" i="15"/>
  <c r="G2158" i="15"/>
  <c r="E2159" i="15"/>
  <c r="F2159" i="15"/>
  <c r="G2159" i="15"/>
  <c r="E2160" i="15"/>
  <c r="F2160" i="15"/>
  <c r="G2160" i="15"/>
  <c r="E2161" i="15"/>
  <c r="F2161" i="15"/>
  <c r="G2161" i="15"/>
  <c r="E2162" i="15"/>
  <c r="F2162" i="15"/>
  <c r="G2162" i="15"/>
  <c r="E2163" i="15"/>
  <c r="F2163" i="15"/>
  <c r="G2163" i="15"/>
  <c r="E2164" i="15"/>
  <c r="F2164" i="15"/>
  <c r="G2164" i="15"/>
  <c r="E2165" i="15"/>
  <c r="F2165" i="15"/>
  <c r="G2165" i="15"/>
  <c r="E2166" i="15"/>
  <c r="F2166" i="15"/>
  <c r="G2166" i="15"/>
  <c r="E2167" i="15"/>
  <c r="F2167" i="15"/>
  <c r="G2167" i="15"/>
  <c r="E2168" i="15"/>
  <c r="F2168" i="15"/>
  <c r="G2168" i="15"/>
  <c r="E2169" i="15"/>
  <c r="F2169" i="15"/>
  <c r="G2169" i="15"/>
  <c r="E2170" i="15"/>
  <c r="F2170" i="15"/>
  <c r="G2170" i="15"/>
  <c r="E2171" i="15"/>
  <c r="F2171" i="15"/>
  <c r="G2171" i="15"/>
  <c r="E2172" i="15"/>
  <c r="F2172" i="15"/>
  <c r="G2172" i="15"/>
  <c r="E2173" i="15"/>
  <c r="F2173" i="15"/>
  <c r="G2173" i="15"/>
  <c r="E2174" i="15"/>
  <c r="F2174" i="15"/>
  <c r="G2174" i="15"/>
  <c r="E2175" i="15"/>
  <c r="F2175" i="15"/>
  <c r="G2175" i="15"/>
  <c r="E2176" i="15"/>
  <c r="F2176" i="15"/>
  <c r="G2176" i="15"/>
  <c r="E2177" i="15"/>
  <c r="F2177" i="15"/>
  <c r="G2177" i="15"/>
  <c r="E2178" i="15"/>
  <c r="F2178" i="15"/>
  <c r="G2178" i="15"/>
  <c r="E2179" i="15"/>
  <c r="F2179" i="15"/>
  <c r="G2179" i="15"/>
  <c r="E2180" i="15"/>
  <c r="F2180" i="15"/>
  <c r="G2180" i="15"/>
  <c r="E2181" i="15"/>
  <c r="F2181" i="15"/>
  <c r="G2181" i="15"/>
  <c r="E2182" i="15"/>
  <c r="F2182" i="15"/>
  <c r="G2182" i="15"/>
  <c r="E2183" i="15"/>
  <c r="F2183" i="15"/>
  <c r="G2183" i="15"/>
  <c r="E2184" i="15"/>
  <c r="F2184" i="15"/>
  <c r="G2184" i="15"/>
  <c r="E2185" i="15"/>
  <c r="F2185" i="15"/>
  <c r="G2185" i="15"/>
  <c r="E2186" i="15"/>
  <c r="F2186" i="15"/>
  <c r="G2186" i="15"/>
  <c r="E2187" i="15"/>
  <c r="F2187" i="15"/>
  <c r="G2187" i="15"/>
  <c r="E2188" i="15"/>
  <c r="F2188" i="15"/>
  <c r="G2188" i="15"/>
  <c r="E2189" i="15"/>
  <c r="F2189" i="15"/>
  <c r="G2189" i="15"/>
  <c r="E2190" i="15"/>
  <c r="F2190" i="15"/>
  <c r="G2190" i="15"/>
  <c r="E2191" i="15"/>
  <c r="F2191" i="15"/>
  <c r="G2191" i="15"/>
  <c r="E2192" i="15"/>
  <c r="F2192" i="15"/>
  <c r="G2192" i="15"/>
  <c r="E2193" i="15"/>
  <c r="F2193" i="15"/>
  <c r="G2193" i="15"/>
  <c r="E2194" i="15"/>
  <c r="F2194" i="15"/>
  <c r="G2194" i="15"/>
  <c r="E2195" i="15"/>
  <c r="F2195" i="15"/>
  <c r="G2195" i="15"/>
  <c r="E2196" i="15"/>
  <c r="F2196" i="15"/>
  <c r="G2196" i="15"/>
  <c r="E2197" i="15"/>
  <c r="F2197" i="15"/>
  <c r="G2197" i="15"/>
  <c r="E2198" i="15"/>
  <c r="F2198" i="15"/>
  <c r="G2198" i="15"/>
  <c r="E2199" i="15"/>
  <c r="F2199" i="15"/>
  <c r="G2199" i="15"/>
  <c r="E2200" i="15"/>
  <c r="F2200" i="15"/>
  <c r="G2200" i="15"/>
  <c r="E2201" i="15"/>
  <c r="F2201" i="15"/>
  <c r="G2201" i="15"/>
  <c r="E2202" i="15"/>
  <c r="F2202" i="15"/>
  <c r="G2202" i="15"/>
  <c r="E2203" i="15"/>
  <c r="F2203" i="15"/>
  <c r="G2203" i="15"/>
  <c r="E2204" i="15"/>
  <c r="F2204" i="15"/>
  <c r="G2204" i="15"/>
  <c r="E2205" i="15"/>
  <c r="F2205" i="15"/>
  <c r="G2205" i="15"/>
  <c r="E2206" i="15"/>
  <c r="F2206" i="15"/>
  <c r="G2206" i="15"/>
  <c r="E2207" i="15"/>
  <c r="F2207" i="15"/>
  <c r="G2207" i="15"/>
  <c r="E2208" i="15"/>
  <c r="F2208" i="15"/>
  <c r="G2208" i="15"/>
  <c r="E2209" i="15"/>
  <c r="F2209" i="15"/>
  <c r="G2209" i="15"/>
  <c r="E2210" i="15"/>
  <c r="F2210" i="15"/>
  <c r="G2210" i="15"/>
  <c r="E2211" i="15"/>
  <c r="F2211" i="15"/>
  <c r="G2211" i="15"/>
  <c r="E2212" i="15"/>
  <c r="F2212" i="15"/>
  <c r="G2212" i="15"/>
  <c r="E2213" i="15"/>
  <c r="F2213" i="15"/>
  <c r="G2213" i="15"/>
  <c r="E2214" i="15"/>
  <c r="F2214" i="15"/>
  <c r="G2214" i="15"/>
  <c r="E2215" i="15"/>
  <c r="F2215" i="15"/>
  <c r="G2215" i="15"/>
  <c r="E2216" i="15"/>
  <c r="F2216" i="15"/>
  <c r="G2216" i="15"/>
  <c r="E2217" i="15"/>
  <c r="F2217" i="15"/>
  <c r="G2217" i="15"/>
  <c r="E2218" i="15"/>
  <c r="F2218" i="15"/>
  <c r="G2218" i="15"/>
  <c r="E2219" i="15"/>
  <c r="F2219" i="15"/>
  <c r="G2219" i="15"/>
  <c r="E2220" i="15"/>
  <c r="F2220" i="15"/>
  <c r="G2220" i="15"/>
  <c r="E2221" i="15"/>
  <c r="F2221" i="15"/>
  <c r="G2221" i="15"/>
  <c r="E2222" i="15"/>
  <c r="F2222" i="15"/>
  <c r="G2222" i="15"/>
  <c r="E2223" i="15"/>
  <c r="F2223" i="15"/>
  <c r="G2223" i="15"/>
  <c r="E2224" i="15"/>
  <c r="F2224" i="15"/>
  <c r="G2224" i="15"/>
  <c r="E2225" i="15"/>
  <c r="F2225" i="15"/>
  <c r="G2225" i="15"/>
  <c r="E2226" i="15"/>
  <c r="F2226" i="15"/>
  <c r="G2226" i="15"/>
  <c r="E2227" i="15"/>
  <c r="F2227" i="15"/>
  <c r="G2227" i="15"/>
  <c r="E2228" i="15"/>
  <c r="F2228" i="15"/>
  <c r="G2228" i="15"/>
  <c r="E2229" i="15"/>
  <c r="F2229" i="15"/>
  <c r="G2229" i="15"/>
  <c r="E2230" i="15"/>
  <c r="F2230" i="15"/>
  <c r="G2230" i="15"/>
  <c r="E2231" i="15"/>
  <c r="F2231" i="15"/>
  <c r="G2231" i="15"/>
  <c r="E2232" i="15"/>
  <c r="F2232" i="15"/>
  <c r="G2232" i="15"/>
  <c r="E2233" i="15"/>
  <c r="F2233" i="15"/>
  <c r="G2233" i="15"/>
  <c r="E2234" i="15"/>
  <c r="F2234" i="15"/>
  <c r="G2234" i="15"/>
  <c r="E2235" i="15"/>
  <c r="F2235" i="15"/>
  <c r="G2235" i="15"/>
  <c r="E2236" i="15"/>
  <c r="F2236" i="15"/>
  <c r="G2236" i="15"/>
  <c r="E2237" i="15"/>
  <c r="F2237" i="15"/>
  <c r="G2237" i="15"/>
  <c r="E2238" i="15"/>
  <c r="F2238" i="15"/>
  <c r="G2238" i="15"/>
  <c r="E2239" i="15"/>
  <c r="F2239" i="15"/>
  <c r="G2239" i="15"/>
  <c r="E2240" i="15"/>
  <c r="F2240" i="15"/>
  <c r="G2240" i="15"/>
  <c r="E2241" i="15"/>
  <c r="F2241" i="15"/>
  <c r="G2241" i="15"/>
  <c r="E2242" i="15"/>
  <c r="F2242" i="15"/>
  <c r="G2242" i="15"/>
  <c r="E2243" i="15"/>
  <c r="F2243" i="15"/>
  <c r="G2243" i="15"/>
  <c r="E2244" i="15"/>
  <c r="F2244" i="15"/>
  <c r="G2244" i="15"/>
  <c r="E2245" i="15"/>
  <c r="F2245" i="15"/>
  <c r="G2245" i="15"/>
  <c r="E2246" i="15"/>
  <c r="F2246" i="15"/>
  <c r="G2246" i="15"/>
  <c r="E2247" i="15"/>
  <c r="F2247" i="15"/>
  <c r="G2247" i="15"/>
  <c r="E2248" i="15"/>
  <c r="F2248" i="15"/>
  <c r="G2248" i="15"/>
  <c r="E2249" i="15"/>
  <c r="F2249" i="15"/>
  <c r="G2249" i="15"/>
  <c r="E2250" i="15"/>
  <c r="F2250" i="15"/>
  <c r="G2250" i="15"/>
  <c r="E2251" i="15"/>
  <c r="F2251" i="15"/>
  <c r="G2251" i="15"/>
  <c r="E2252" i="15"/>
  <c r="F2252" i="15"/>
  <c r="G2252" i="15"/>
  <c r="E2253" i="15"/>
  <c r="F2253" i="15"/>
  <c r="G2253" i="15"/>
  <c r="E2254" i="15"/>
  <c r="F2254" i="15"/>
  <c r="G2254" i="15"/>
  <c r="E2255" i="15"/>
  <c r="F2255" i="15"/>
  <c r="G2255" i="15"/>
  <c r="E2256" i="15"/>
  <c r="F2256" i="15"/>
  <c r="G2256" i="15"/>
  <c r="E2257" i="15"/>
  <c r="F2257" i="15"/>
  <c r="G2257" i="15"/>
  <c r="E2258" i="15"/>
  <c r="F2258" i="15"/>
  <c r="G2258" i="15"/>
  <c r="E2259" i="15"/>
  <c r="F2259" i="15"/>
  <c r="G2259" i="15"/>
  <c r="E2260" i="15"/>
  <c r="F2260" i="15"/>
  <c r="G2260" i="15"/>
  <c r="E2261" i="15"/>
  <c r="F2261" i="15"/>
  <c r="G2261" i="15"/>
  <c r="E2262" i="15"/>
  <c r="F2262" i="15"/>
  <c r="G2262" i="15"/>
  <c r="E2263" i="15"/>
  <c r="F2263" i="15"/>
  <c r="G2263" i="15"/>
  <c r="E2264" i="15"/>
  <c r="F2264" i="15"/>
  <c r="G2264" i="15"/>
  <c r="E2265" i="15"/>
  <c r="F2265" i="15"/>
  <c r="G2265" i="15"/>
  <c r="E2266" i="15"/>
  <c r="F2266" i="15"/>
  <c r="G2266" i="15"/>
  <c r="E2267" i="15"/>
  <c r="F2267" i="15"/>
  <c r="G2267" i="15"/>
  <c r="E2268" i="15"/>
  <c r="F2268" i="15"/>
  <c r="G2268" i="15"/>
  <c r="E2269" i="15"/>
  <c r="F2269" i="15"/>
  <c r="G2269" i="15"/>
  <c r="E2270" i="15"/>
  <c r="F2270" i="15"/>
  <c r="G2270" i="15"/>
  <c r="E2271" i="15"/>
  <c r="F2271" i="15"/>
  <c r="G2271" i="15"/>
  <c r="E2272" i="15"/>
  <c r="F2272" i="15"/>
  <c r="G2272" i="15"/>
  <c r="E2273" i="15"/>
  <c r="F2273" i="15"/>
  <c r="G2273" i="15"/>
  <c r="E2274" i="15"/>
  <c r="F2274" i="15"/>
  <c r="G2274" i="15"/>
  <c r="E2275" i="15"/>
  <c r="F2275" i="15"/>
  <c r="G2275" i="15"/>
  <c r="E2276" i="15"/>
  <c r="F2276" i="15"/>
  <c r="G2276" i="15"/>
  <c r="E2277" i="15"/>
  <c r="F2277" i="15"/>
  <c r="G2277" i="15"/>
  <c r="E2278" i="15"/>
  <c r="F2278" i="15"/>
  <c r="G2278" i="15"/>
  <c r="E2279" i="15"/>
  <c r="F2279" i="15"/>
  <c r="G2279" i="15"/>
  <c r="E2280" i="15"/>
  <c r="F2280" i="15"/>
  <c r="G2280" i="15"/>
  <c r="E2281" i="15"/>
  <c r="F2281" i="15"/>
  <c r="G2281" i="15"/>
  <c r="E2282" i="15"/>
  <c r="F2282" i="15"/>
  <c r="G2282" i="15"/>
  <c r="E2283" i="15"/>
  <c r="F2283" i="15"/>
  <c r="G2283" i="15"/>
  <c r="E2284" i="15"/>
  <c r="F2284" i="15"/>
  <c r="G2284" i="15"/>
  <c r="E2285" i="15"/>
  <c r="F2285" i="15"/>
  <c r="G2285" i="15"/>
  <c r="E2286" i="15"/>
  <c r="F2286" i="15"/>
  <c r="G2286" i="15"/>
  <c r="E2287" i="15"/>
  <c r="F2287" i="15"/>
  <c r="G2287" i="15"/>
  <c r="E2288" i="15"/>
  <c r="F2288" i="15"/>
  <c r="G2288" i="15"/>
  <c r="E2289" i="15"/>
  <c r="F2289" i="15"/>
  <c r="G2289" i="15"/>
  <c r="E2290" i="15"/>
  <c r="F2290" i="15"/>
  <c r="G2290" i="15"/>
  <c r="E2291" i="15"/>
  <c r="F2291" i="15"/>
  <c r="G2291" i="15"/>
  <c r="E2292" i="15"/>
  <c r="F2292" i="15"/>
  <c r="G2292" i="15"/>
  <c r="E2293" i="15"/>
  <c r="F2293" i="15"/>
  <c r="G2293" i="15"/>
  <c r="E2294" i="15"/>
  <c r="F2294" i="15"/>
  <c r="G2294" i="15"/>
  <c r="E2295" i="15"/>
  <c r="F2295" i="15"/>
  <c r="G2295" i="15"/>
  <c r="E2296" i="15"/>
  <c r="F2296" i="15"/>
  <c r="G2296" i="15"/>
  <c r="E2297" i="15"/>
  <c r="F2297" i="15"/>
  <c r="G2297" i="15"/>
  <c r="E2298" i="15"/>
  <c r="F2298" i="15"/>
  <c r="G2298" i="15"/>
  <c r="E2299" i="15"/>
  <c r="F2299" i="15"/>
  <c r="G2299" i="15"/>
  <c r="E2300" i="15"/>
  <c r="F2300" i="15"/>
  <c r="G2300" i="15"/>
  <c r="E2301" i="15"/>
  <c r="F2301" i="15"/>
  <c r="G2301" i="15"/>
  <c r="E2302" i="15"/>
  <c r="F2302" i="15"/>
  <c r="G2302" i="15"/>
  <c r="E2303" i="15"/>
  <c r="F2303" i="15"/>
  <c r="G2303" i="15"/>
  <c r="E2304" i="15"/>
  <c r="F2304" i="15"/>
  <c r="G2304" i="15"/>
  <c r="E2305" i="15"/>
  <c r="F2305" i="15"/>
  <c r="G2305" i="15"/>
  <c r="E2306" i="15"/>
  <c r="F2306" i="15"/>
  <c r="G2306" i="15"/>
  <c r="E2307" i="15"/>
  <c r="F2307" i="15"/>
  <c r="G2307" i="15"/>
  <c r="E2308" i="15"/>
  <c r="F2308" i="15"/>
  <c r="G2308" i="15"/>
  <c r="E2309" i="15"/>
  <c r="F2309" i="15"/>
  <c r="G2309" i="15"/>
  <c r="E2310" i="15"/>
  <c r="F2310" i="15"/>
  <c r="G2310" i="15"/>
  <c r="E2311" i="15"/>
  <c r="F2311" i="15"/>
  <c r="G2311" i="15"/>
  <c r="E2312" i="15"/>
  <c r="F2312" i="15"/>
  <c r="G2312" i="15"/>
  <c r="E2313" i="15"/>
  <c r="F2313" i="15"/>
  <c r="G2313" i="15"/>
  <c r="E2314" i="15"/>
  <c r="F2314" i="15"/>
  <c r="G2314" i="15"/>
  <c r="E2315" i="15"/>
  <c r="F2315" i="15"/>
  <c r="G2315" i="15"/>
  <c r="E2316" i="15"/>
  <c r="F2316" i="15"/>
  <c r="G2316" i="15"/>
  <c r="E2317" i="15"/>
  <c r="F2317" i="15"/>
  <c r="G2317" i="15"/>
  <c r="E2318" i="15"/>
  <c r="F2318" i="15"/>
  <c r="G2318" i="15"/>
  <c r="E2319" i="15"/>
  <c r="F2319" i="15"/>
  <c r="G2319" i="15"/>
  <c r="E2320" i="15"/>
  <c r="F2320" i="15"/>
  <c r="G2320" i="15"/>
  <c r="E2321" i="15"/>
  <c r="F2321" i="15"/>
  <c r="G2321" i="15"/>
  <c r="E2322" i="15"/>
  <c r="F2322" i="15"/>
  <c r="G2322" i="15"/>
  <c r="E2323" i="15"/>
  <c r="F2323" i="15"/>
  <c r="G2323" i="15"/>
  <c r="E2324" i="15"/>
  <c r="F2324" i="15"/>
  <c r="G2324" i="15"/>
  <c r="E2325" i="15"/>
  <c r="F2325" i="15"/>
  <c r="G2325" i="15"/>
  <c r="E2326" i="15"/>
  <c r="F2326" i="15"/>
  <c r="G2326" i="15"/>
  <c r="E2327" i="15"/>
  <c r="F2327" i="15"/>
  <c r="G2327" i="15"/>
  <c r="E2328" i="15"/>
  <c r="F2328" i="15"/>
  <c r="G2328" i="15"/>
  <c r="E2329" i="15"/>
  <c r="F2329" i="15"/>
  <c r="G2329" i="15"/>
  <c r="E2330" i="15"/>
  <c r="F2330" i="15"/>
  <c r="G2330" i="15"/>
  <c r="E2331" i="15"/>
  <c r="F2331" i="15"/>
  <c r="G2331" i="15"/>
  <c r="E2332" i="15"/>
  <c r="F2332" i="15"/>
  <c r="G2332" i="15"/>
  <c r="E2333" i="15"/>
  <c r="F2333" i="15"/>
  <c r="G2333" i="15"/>
  <c r="E2334" i="15"/>
  <c r="F2334" i="15"/>
  <c r="G2334" i="15"/>
  <c r="E2335" i="15"/>
  <c r="F2335" i="15"/>
  <c r="G2335" i="15"/>
  <c r="E2336" i="15"/>
  <c r="F2336" i="15"/>
  <c r="G2336" i="15"/>
  <c r="E2337" i="15"/>
  <c r="F2337" i="15"/>
  <c r="G2337" i="15"/>
  <c r="E2338" i="15"/>
  <c r="F2338" i="15"/>
  <c r="G2338" i="15"/>
  <c r="E2339" i="15"/>
  <c r="F2339" i="15"/>
  <c r="G2339" i="15"/>
  <c r="E2340" i="15"/>
  <c r="F2340" i="15"/>
  <c r="G2340" i="15"/>
  <c r="E2341" i="15"/>
  <c r="F2341" i="15"/>
  <c r="G2341" i="15"/>
  <c r="E2342" i="15"/>
  <c r="F2342" i="15"/>
  <c r="G2342" i="15"/>
  <c r="E2343" i="15"/>
  <c r="F2343" i="15"/>
  <c r="G2343" i="15"/>
  <c r="E2344" i="15"/>
  <c r="F2344" i="15"/>
  <c r="G2344" i="15"/>
  <c r="E2345" i="15"/>
  <c r="F2345" i="15"/>
  <c r="G2345" i="15"/>
  <c r="E2346" i="15"/>
  <c r="F2346" i="15"/>
  <c r="G2346" i="15"/>
  <c r="E2347" i="15"/>
  <c r="F2347" i="15"/>
  <c r="G2347" i="15"/>
  <c r="E2348" i="15"/>
  <c r="F2348" i="15"/>
  <c r="G2348" i="15"/>
  <c r="E2349" i="15"/>
  <c r="F2349" i="15"/>
  <c r="G2349" i="15"/>
  <c r="E2350" i="15"/>
  <c r="F2350" i="15"/>
  <c r="G2350" i="15"/>
  <c r="E2351" i="15"/>
  <c r="F2351" i="15"/>
  <c r="G2351" i="15"/>
  <c r="E2352" i="15"/>
  <c r="F2352" i="15"/>
  <c r="G2352" i="15"/>
  <c r="E2353" i="15"/>
  <c r="F2353" i="15"/>
  <c r="G2353" i="15"/>
  <c r="E2354" i="15"/>
  <c r="F2354" i="15"/>
  <c r="G2354" i="15"/>
  <c r="E2355" i="15"/>
  <c r="F2355" i="15"/>
  <c r="G2355" i="15"/>
  <c r="E2356" i="15"/>
  <c r="F2356" i="15"/>
  <c r="G2356" i="15"/>
  <c r="E2357" i="15"/>
  <c r="F2357" i="15"/>
  <c r="G2357" i="15"/>
  <c r="E2358" i="15"/>
  <c r="F2358" i="15"/>
  <c r="G2358" i="15"/>
  <c r="E2359" i="15"/>
  <c r="F2359" i="15"/>
  <c r="G2359" i="15"/>
  <c r="E2360" i="15"/>
  <c r="F2360" i="15"/>
  <c r="G2360" i="15"/>
  <c r="E2361" i="15"/>
  <c r="F2361" i="15"/>
  <c r="G2361" i="15"/>
  <c r="E2362" i="15"/>
  <c r="F2362" i="15"/>
  <c r="G2362" i="15"/>
  <c r="E2363" i="15"/>
  <c r="F2363" i="15"/>
  <c r="G2363" i="15"/>
  <c r="E2364" i="15"/>
  <c r="F2364" i="15"/>
  <c r="G2364" i="15"/>
  <c r="E2365" i="15"/>
  <c r="F2365" i="15"/>
  <c r="G2365" i="15"/>
  <c r="E2366" i="15"/>
  <c r="F2366" i="15"/>
  <c r="G2366" i="15"/>
  <c r="E2367" i="15"/>
  <c r="F2367" i="15"/>
  <c r="G2367" i="15"/>
  <c r="E2368" i="15"/>
  <c r="F2368" i="15"/>
  <c r="G2368" i="15"/>
  <c r="E2369" i="15"/>
  <c r="F2369" i="15"/>
  <c r="G2369" i="15"/>
  <c r="E2370" i="15"/>
  <c r="F2370" i="15"/>
  <c r="G2370" i="15"/>
  <c r="E2371" i="15"/>
  <c r="F2371" i="15"/>
  <c r="G2371" i="15"/>
  <c r="E2372" i="15"/>
  <c r="F2372" i="15"/>
  <c r="G2372" i="15"/>
  <c r="E2373" i="15"/>
  <c r="F2373" i="15"/>
  <c r="G2373" i="15"/>
  <c r="E2374" i="15"/>
  <c r="F2374" i="15"/>
  <c r="G2374" i="15"/>
  <c r="E2375" i="15"/>
  <c r="F2375" i="15"/>
  <c r="G2375" i="15"/>
  <c r="E2376" i="15"/>
  <c r="F2376" i="15"/>
  <c r="G2376" i="15"/>
  <c r="E2377" i="15"/>
  <c r="F2377" i="15"/>
  <c r="G2377" i="15"/>
  <c r="E2378" i="15"/>
  <c r="F2378" i="15"/>
  <c r="G2378" i="15"/>
  <c r="E2379" i="15"/>
  <c r="F2379" i="15"/>
  <c r="G2379" i="15"/>
  <c r="E2380" i="15"/>
  <c r="F2380" i="15"/>
  <c r="G2380" i="15"/>
  <c r="E2381" i="15"/>
  <c r="F2381" i="15"/>
  <c r="G2381" i="15"/>
  <c r="E2382" i="15"/>
  <c r="F2382" i="15"/>
  <c r="G2382" i="15"/>
  <c r="E2383" i="15"/>
  <c r="F2383" i="15"/>
  <c r="G2383" i="15"/>
  <c r="E2384" i="15"/>
  <c r="F2384" i="15"/>
  <c r="G2384" i="15"/>
  <c r="E2385" i="15"/>
  <c r="F2385" i="15"/>
  <c r="G2385" i="15"/>
  <c r="E2386" i="15"/>
  <c r="F2386" i="15"/>
  <c r="G2386" i="15"/>
  <c r="E2387" i="15"/>
  <c r="F2387" i="15"/>
  <c r="G2387" i="15"/>
  <c r="E2388" i="15"/>
  <c r="F2388" i="15"/>
  <c r="G2388" i="15"/>
  <c r="E2389" i="15"/>
  <c r="F2389" i="15"/>
  <c r="G2389" i="15"/>
  <c r="E2390" i="15"/>
  <c r="F2390" i="15"/>
  <c r="G2390" i="15"/>
  <c r="E2391" i="15"/>
  <c r="F2391" i="15"/>
  <c r="G2391" i="15"/>
  <c r="E2392" i="15"/>
  <c r="F2392" i="15"/>
  <c r="G2392" i="15"/>
  <c r="E2393" i="15"/>
  <c r="F2393" i="15"/>
  <c r="G2393" i="15"/>
  <c r="E2394" i="15"/>
  <c r="F2394" i="15"/>
  <c r="G2394" i="15"/>
  <c r="E2395" i="15"/>
  <c r="F2395" i="15"/>
  <c r="G2395" i="15"/>
  <c r="E2396" i="15"/>
  <c r="F2396" i="15"/>
  <c r="G2396" i="15"/>
  <c r="E2397" i="15"/>
  <c r="F2397" i="15"/>
  <c r="G2397" i="15"/>
  <c r="E2398" i="15"/>
  <c r="F2398" i="15"/>
  <c r="G2398" i="15"/>
  <c r="E2399" i="15"/>
  <c r="F2399" i="15"/>
  <c r="G2399" i="15"/>
  <c r="E2400" i="15"/>
  <c r="F2400" i="15"/>
  <c r="G2400" i="15"/>
  <c r="E2401" i="15"/>
  <c r="F2401" i="15"/>
  <c r="G2401" i="15"/>
  <c r="E2402" i="15"/>
  <c r="F2402" i="15"/>
  <c r="G2402" i="15"/>
  <c r="E2403" i="15"/>
  <c r="F2403" i="15"/>
  <c r="G2403" i="15"/>
  <c r="E2404" i="15"/>
  <c r="F2404" i="15"/>
  <c r="G2404" i="15"/>
  <c r="E2405" i="15"/>
  <c r="F2405" i="15"/>
  <c r="G2405" i="15"/>
  <c r="E2406" i="15"/>
  <c r="F2406" i="15"/>
  <c r="G2406" i="15"/>
  <c r="E2407" i="15"/>
  <c r="F2407" i="15"/>
  <c r="G2407" i="15"/>
  <c r="E2408" i="15"/>
  <c r="F2408" i="15"/>
  <c r="G2408" i="15"/>
  <c r="E2409" i="15"/>
  <c r="F2409" i="15"/>
  <c r="G2409" i="15"/>
  <c r="E2410" i="15"/>
  <c r="F2410" i="15"/>
  <c r="G2410" i="15"/>
  <c r="E2411" i="15"/>
  <c r="F2411" i="15"/>
  <c r="G2411" i="15"/>
  <c r="E2412" i="15"/>
  <c r="F2412" i="15"/>
  <c r="G2412" i="15"/>
  <c r="E2413" i="15"/>
  <c r="F2413" i="15"/>
  <c r="G2413" i="15"/>
  <c r="E2414" i="15"/>
  <c r="F2414" i="15"/>
  <c r="G2414" i="15"/>
  <c r="E2415" i="15"/>
  <c r="F2415" i="15"/>
  <c r="G2415" i="15"/>
  <c r="E2416" i="15"/>
  <c r="F2416" i="15"/>
  <c r="G2416" i="15"/>
  <c r="E2417" i="15"/>
  <c r="F2417" i="15"/>
  <c r="G2417" i="15"/>
  <c r="E2418" i="15"/>
  <c r="F2418" i="15"/>
  <c r="G2418" i="15"/>
  <c r="E2419" i="15"/>
  <c r="F2419" i="15"/>
  <c r="G2419" i="15"/>
  <c r="E2420" i="15"/>
  <c r="F2420" i="15"/>
  <c r="G2420" i="15"/>
  <c r="E2421" i="15"/>
  <c r="F2421" i="15"/>
  <c r="G2421" i="15"/>
  <c r="E2422" i="15"/>
  <c r="F2422" i="15"/>
  <c r="G2422" i="15"/>
  <c r="E2423" i="15"/>
  <c r="F2423" i="15"/>
  <c r="G2423" i="15"/>
  <c r="E2424" i="15"/>
  <c r="F2424" i="15"/>
  <c r="G2424" i="15"/>
  <c r="E2425" i="15"/>
  <c r="F2425" i="15"/>
  <c r="G2425" i="15"/>
  <c r="E2426" i="15"/>
  <c r="F2426" i="15"/>
  <c r="G2426" i="15"/>
  <c r="E2427" i="15"/>
  <c r="F2427" i="15"/>
  <c r="G2427" i="15"/>
  <c r="E2428" i="15"/>
  <c r="F2428" i="15"/>
  <c r="G2428" i="15"/>
  <c r="E2429" i="15"/>
  <c r="F2429" i="15"/>
  <c r="G2429" i="15"/>
  <c r="E2430" i="15"/>
  <c r="F2430" i="15"/>
  <c r="G2430" i="15"/>
  <c r="E2431" i="15"/>
  <c r="F2431" i="15"/>
  <c r="G2431" i="15"/>
  <c r="E2432" i="15"/>
  <c r="F2432" i="15"/>
  <c r="G2432" i="15"/>
  <c r="E2433" i="15"/>
  <c r="F2433" i="15"/>
  <c r="G2433" i="15"/>
  <c r="E2434" i="15"/>
  <c r="F2434" i="15"/>
  <c r="G2434" i="15"/>
  <c r="E2435" i="15"/>
  <c r="F2435" i="15"/>
  <c r="G2435" i="15"/>
  <c r="E2436" i="15"/>
  <c r="F2436" i="15"/>
  <c r="G2436" i="15"/>
  <c r="E2437" i="15"/>
  <c r="F2437" i="15"/>
  <c r="G2437" i="15"/>
  <c r="E2438" i="15"/>
  <c r="F2438" i="15"/>
  <c r="G2438" i="15"/>
  <c r="E2439" i="15"/>
  <c r="F2439" i="15"/>
  <c r="G2439" i="15"/>
  <c r="E2440" i="15"/>
  <c r="F2440" i="15"/>
  <c r="G2440" i="15"/>
  <c r="E2441" i="15"/>
  <c r="F2441" i="15"/>
  <c r="G2441" i="15"/>
  <c r="E2442" i="15"/>
  <c r="F2442" i="15"/>
  <c r="G2442" i="15"/>
  <c r="E2443" i="15"/>
  <c r="F2443" i="15"/>
  <c r="G2443" i="15"/>
  <c r="E2444" i="15"/>
  <c r="F2444" i="15"/>
  <c r="G2444" i="15"/>
  <c r="E2445" i="15"/>
  <c r="F2445" i="15"/>
  <c r="G2445" i="15"/>
  <c r="E2446" i="15"/>
  <c r="F2446" i="15"/>
  <c r="G2446" i="15"/>
  <c r="E2447" i="15"/>
  <c r="F2447" i="15"/>
  <c r="G2447" i="15"/>
  <c r="E2448" i="15"/>
  <c r="F2448" i="15"/>
  <c r="G2448" i="15"/>
  <c r="E2449" i="15"/>
  <c r="F2449" i="15"/>
  <c r="G2449" i="15"/>
  <c r="E2450" i="15"/>
  <c r="F2450" i="15"/>
  <c r="G2450" i="15"/>
  <c r="E2451" i="15"/>
  <c r="F2451" i="15"/>
  <c r="G2451" i="15"/>
  <c r="E2452" i="15"/>
  <c r="F2452" i="15"/>
  <c r="G2452" i="15"/>
  <c r="E2453" i="15"/>
  <c r="F2453" i="15"/>
  <c r="G2453" i="15"/>
  <c r="E2454" i="15"/>
  <c r="F2454" i="15"/>
  <c r="G2454" i="15"/>
  <c r="E2455" i="15"/>
  <c r="F2455" i="15"/>
  <c r="G2455" i="15"/>
  <c r="E2456" i="15"/>
  <c r="F2456" i="15"/>
  <c r="G2456" i="15"/>
  <c r="E2457" i="15"/>
  <c r="F2457" i="15"/>
  <c r="G2457" i="15"/>
  <c r="E2458" i="15"/>
  <c r="F2458" i="15"/>
  <c r="G2458" i="15"/>
  <c r="E2459" i="15"/>
  <c r="F2459" i="15"/>
  <c r="G2459" i="15"/>
  <c r="E2460" i="15"/>
  <c r="F2460" i="15"/>
  <c r="G2460" i="15"/>
  <c r="E2461" i="15"/>
  <c r="F2461" i="15"/>
  <c r="G2461" i="15"/>
  <c r="E2462" i="15"/>
  <c r="F2462" i="15"/>
  <c r="G2462" i="15"/>
  <c r="E2463" i="15"/>
  <c r="F2463" i="15"/>
  <c r="G2463" i="15"/>
  <c r="E2464" i="15"/>
  <c r="F2464" i="15"/>
  <c r="G2464" i="15"/>
  <c r="E2465" i="15"/>
  <c r="F2465" i="15"/>
  <c r="G2465" i="15"/>
  <c r="E2466" i="15"/>
  <c r="F2466" i="15"/>
  <c r="G2466" i="15"/>
  <c r="E2467" i="15"/>
  <c r="F2467" i="15"/>
  <c r="G2467" i="15"/>
  <c r="E2468" i="15"/>
  <c r="F2468" i="15"/>
  <c r="G2468" i="15"/>
  <c r="E2469" i="15"/>
  <c r="F2469" i="15"/>
  <c r="G2469" i="15"/>
  <c r="E2470" i="15"/>
  <c r="F2470" i="15"/>
  <c r="G2470" i="15"/>
  <c r="E2471" i="15"/>
  <c r="F2471" i="15"/>
  <c r="G2471" i="15"/>
  <c r="E2472" i="15"/>
  <c r="F2472" i="15"/>
  <c r="G2472" i="15"/>
  <c r="E2473" i="15"/>
  <c r="F2473" i="15"/>
  <c r="G2473" i="15"/>
  <c r="E2474" i="15"/>
  <c r="F2474" i="15"/>
  <c r="G2474" i="15"/>
  <c r="E2475" i="15"/>
  <c r="F2475" i="15"/>
  <c r="G2475" i="15"/>
  <c r="E2476" i="15"/>
  <c r="F2476" i="15"/>
  <c r="G2476" i="15"/>
  <c r="E2477" i="15"/>
  <c r="F2477" i="15"/>
  <c r="G2477" i="15"/>
  <c r="E2478" i="15"/>
  <c r="F2478" i="15"/>
  <c r="G2478" i="15"/>
  <c r="E2479" i="15"/>
  <c r="F2479" i="15"/>
  <c r="G2479" i="15"/>
  <c r="E2480" i="15"/>
  <c r="F2480" i="15"/>
  <c r="G2480" i="15"/>
  <c r="E2481" i="15"/>
  <c r="F2481" i="15"/>
  <c r="G2481" i="15"/>
  <c r="E2482" i="15"/>
  <c r="F2482" i="15"/>
  <c r="G2482" i="15"/>
  <c r="E2483" i="15"/>
  <c r="F2483" i="15"/>
  <c r="G2483" i="15"/>
  <c r="E2484" i="15"/>
  <c r="F2484" i="15"/>
  <c r="G2484" i="15"/>
  <c r="E2485" i="15"/>
  <c r="F2485" i="15"/>
  <c r="G2485" i="15"/>
  <c r="E2486" i="15"/>
  <c r="F2486" i="15"/>
  <c r="G2486" i="15"/>
  <c r="E2487" i="15"/>
  <c r="F2487" i="15"/>
  <c r="G2487" i="15"/>
  <c r="E2488" i="15"/>
  <c r="F2488" i="15"/>
  <c r="G2488" i="15"/>
  <c r="E2489" i="15"/>
  <c r="F2489" i="15"/>
  <c r="G2489" i="15"/>
  <c r="E2490" i="15"/>
  <c r="F2490" i="15"/>
  <c r="G2490" i="15"/>
  <c r="E2491" i="15"/>
  <c r="F2491" i="15"/>
  <c r="G2491" i="15"/>
  <c r="E2492" i="15"/>
  <c r="F2492" i="15"/>
  <c r="G2492" i="15"/>
  <c r="E2493" i="15"/>
  <c r="F2493" i="15"/>
  <c r="G2493" i="15"/>
  <c r="E2494" i="15"/>
  <c r="F2494" i="15"/>
  <c r="G2494" i="15"/>
  <c r="E2495" i="15"/>
  <c r="F2495" i="15"/>
  <c r="G2495" i="15"/>
  <c r="E2496" i="15"/>
  <c r="F2496" i="15"/>
  <c r="G2496" i="15"/>
  <c r="E2497" i="15"/>
  <c r="F2497" i="15"/>
  <c r="G2497" i="15"/>
  <c r="E2498" i="15"/>
  <c r="F2498" i="15"/>
  <c r="G2498" i="15"/>
  <c r="E2499" i="15"/>
  <c r="F2499" i="15"/>
  <c r="G2499" i="15"/>
  <c r="E2500" i="15"/>
  <c r="F2500" i="15"/>
  <c r="G2500" i="15"/>
  <c r="E2501" i="15"/>
  <c r="F2501" i="15"/>
  <c r="G2501" i="15"/>
  <c r="E2502" i="15"/>
  <c r="F2502" i="15"/>
  <c r="G2502" i="15"/>
  <c r="E2503" i="15"/>
  <c r="F2503" i="15"/>
  <c r="G2503" i="15"/>
  <c r="E2504" i="15"/>
  <c r="F2504" i="15"/>
  <c r="G2504" i="15"/>
  <c r="E2505" i="15"/>
  <c r="F2505" i="15"/>
  <c r="G2505" i="15"/>
  <c r="E2506" i="15"/>
  <c r="F2506" i="15"/>
  <c r="G2506" i="15"/>
  <c r="E2507" i="15"/>
  <c r="F2507" i="15"/>
  <c r="G2507" i="15"/>
  <c r="E2508" i="15"/>
  <c r="F2508" i="15"/>
  <c r="G2508" i="15"/>
  <c r="E2509" i="15"/>
  <c r="F2509" i="15"/>
  <c r="G2509" i="15"/>
  <c r="E2510" i="15"/>
  <c r="F2510" i="15"/>
  <c r="G2510" i="15"/>
  <c r="E2511" i="15"/>
  <c r="F2511" i="15"/>
  <c r="G2511" i="15"/>
  <c r="E2512" i="15"/>
  <c r="F2512" i="15"/>
  <c r="G2512" i="15"/>
  <c r="E2513" i="15"/>
  <c r="F2513" i="15"/>
  <c r="G2513" i="15"/>
  <c r="E2514" i="15"/>
  <c r="F2514" i="15"/>
  <c r="G2514" i="15"/>
  <c r="E2515" i="15"/>
  <c r="F2515" i="15"/>
  <c r="G2515" i="15"/>
  <c r="E2516" i="15"/>
  <c r="F2516" i="15"/>
  <c r="G2516" i="15"/>
  <c r="E2517" i="15"/>
  <c r="F2517" i="15"/>
  <c r="G2517" i="15"/>
  <c r="E2518" i="15"/>
  <c r="F2518" i="15"/>
  <c r="G2518" i="15"/>
  <c r="E2519" i="15"/>
  <c r="F2519" i="15"/>
  <c r="G2519" i="15"/>
  <c r="E2520" i="15"/>
  <c r="F2520" i="15"/>
  <c r="G2520" i="15"/>
  <c r="E2521" i="15"/>
  <c r="F2521" i="15"/>
  <c r="G2521" i="15"/>
  <c r="E2522" i="15"/>
  <c r="F2522" i="15"/>
  <c r="G2522" i="15"/>
  <c r="E2523" i="15"/>
  <c r="F2523" i="15"/>
  <c r="G2523" i="15"/>
  <c r="E2524" i="15"/>
  <c r="F2524" i="15"/>
  <c r="G2524" i="15"/>
  <c r="E2525" i="15"/>
  <c r="F2525" i="15"/>
  <c r="G2525" i="15"/>
  <c r="E2526" i="15"/>
  <c r="F2526" i="15"/>
  <c r="G2526" i="15"/>
  <c r="E2527" i="15"/>
  <c r="F2527" i="15"/>
  <c r="G2527" i="15"/>
  <c r="E2528" i="15"/>
  <c r="F2528" i="15"/>
  <c r="G2528" i="15"/>
  <c r="E2529" i="15"/>
  <c r="F2529" i="15"/>
  <c r="G2529" i="15"/>
  <c r="E2530" i="15"/>
  <c r="F2530" i="15"/>
  <c r="G2530" i="15"/>
  <c r="E2531" i="15"/>
  <c r="F2531" i="15"/>
  <c r="G2531" i="15"/>
  <c r="E2532" i="15"/>
  <c r="F2532" i="15"/>
  <c r="G2532" i="15"/>
  <c r="E2533" i="15"/>
  <c r="F2533" i="15"/>
  <c r="G2533" i="15"/>
  <c r="E2534" i="15"/>
  <c r="F2534" i="15"/>
  <c r="G2534" i="15"/>
  <c r="E2535" i="15"/>
  <c r="F2535" i="15"/>
  <c r="G2535" i="15"/>
  <c r="E2536" i="15"/>
  <c r="F2536" i="15"/>
  <c r="G2536" i="15"/>
  <c r="E2537" i="15"/>
  <c r="F2537" i="15"/>
  <c r="G2537" i="15"/>
  <c r="E2538" i="15"/>
  <c r="F2538" i="15"/>
  <c r="G2538" i="15"/>
  <c r="E2539" i="15"/>
  <c r="F2539" i="15"/>
  <c r="G2539" i="15"/>
  <c r="E2540" i="15"/>
  <c r="F2540" i="15"/>
  <c r="G2540" i="15"/>
  <c r="E2541" i="15"/>
  <c r="F2541" i="15"/>
  <c r="G2541" i="15"/>
  <c r="E2542" i="15"/>
  <c r="F2542" i="15"/>
  <c r="G2542" i="15"/>
  <c r="E2543" i="15"/>
  <c r="F2543" i="15"/>
  <c r="G2543" i="15"/>
  <c r="E2544" i="15"/>
  <c r="F2544" i="15"/>
  <c r="G2544" i="15"/>
  <c r="E2545" i="15"/>
  <c r="F2545" i="15"/>
  <c r="G2545" i="15"/>
  <c r="E2546" i="15"/>
  <c r="F2546" i="15"/>
  <c r="G2546" i="15"/>
  <c r="E2547" i="15"/>
  <c r="F2547" i="15"/>
  <c r="G2547" i="15"/>
  <c r="E2548" i="15"/>
  <c r="F2548" i="15"/>
  <c r="G2548" i="15"/>
  <c r="E2549" i="15"/>
  <c r="F2549" i="15"/>
  <c r="G2549" i="15"/>
  <c r="E2550" i="15"/>
  <c r="F2550" i="15"/>
  <c r="G2550" i="15"/>
  <c r="E2551" i="15"/>
  <c r="F2551" i="15"/>
  <c r="G2551" i="15"/>
  <c r="E2552" i="15"/>
  <c r="F2552" i="15"/>
  <c r="G2552" i="15"/>
  <c r="E2553" i="15"/>
  <c r="F2553" i="15"/>
  <c r="G2553" i="15"/>
  <c r="E2554" i="15"/>
  <c r="F2554" i="15"/>
  <c r="G2554" i="15"/>
  <c r="E2555" i="15"/>
  <c r="F2555" i="15"/>
  <c r="G2555" i="15"/>
  <c r="E2556" i="15"/>
  <c r="F2556" i="15"/>
  <c r="G2556" i="15"/>
  <c r="E2557" i="15"/>
  <c r="F2557" i="15"/>
  <c r="G2557" i="15"/>
  <c r="E2558" i="15"/>
  <c r="F2558" i="15"/>
  <c r="G2558" i="15"/>
  <c r="E2559" i="15"/>
  <c r="F2559" i="15"/>
  <c r="G2559" i="15"/>
  <c r="E2560" i="15"/>
  <c r="F2560" i="15"/>
  <c r="G2560" i="15"/>
  <c r="E2561" i="15"/>
  <c r="F2561" i="15"/>
  <c r="G2561" i="15"/>
  <c r="E2562" i="15"/>
  <c r="F2562" i="15"/>
  <c r="G2562" i="15"/>
  <c r="E2563" i="15"/>
  <c r="F2563" i="15"/>
  <c r="G2563" i="15"/>
  <c r="E2564" i="15"/>
  <c r="F2564" i="15"/>
  <c r="G2564" i="15"/>
  <c r="E2565" i="15"/>
  <c r="F2565" i="15"/>
  <c r="G2565" i="15"/>
  <c r="E2566" i="15"/>
  <c r="F2566" i="15"/>
  <c r="G2566" i="15"/>
  <c r="E2567" i="15"/>
  <c r="F2567" i="15"/>
  <c r="G2567" i="15"/>
  <c r="E2568" i="15"/>
  <c r="F2568" i="15"/>
  <c r="G2568" i="15"/>
  <c r="E2569" i="15"/>
  <c r="F2569" i="15"/>
  <c r="G2569" i="15"/>
  <c r="E2570" i="15"/>
  <c r="F2570" i="15"/>
  <c r="G2570" i="15"/>
  <c r="E2571" i="15"/>
  <c r="F2571" i="15"/>
  <c r="G2571" i="15"/>
  <c r="E2572" i="15"/>
  <c r="F2572" i="15"/>
  <c r="G2572" i="15"/>
  <c r="E2573" i="15"/>
  <c r="F2573" i="15"/>
  <c r="G2573" i="15"/>
  <c r="E2574" i="15"/>
  <c r="F2574" i="15"/>
  <c r="G2574" i="15"/>
  <c r="E2575" i="15"/>
  <c r="F2575" i="15"/>
  <c r="G2575" i="15"/>
  <c r="E2576" i="15"/>
  <c r="F2576" i="15"/>
  <c r="G2576" i="15"/>
  <c r="E2577" i="15"/>
  <c r="F2577" i="15"/>
  <c r="G2577" i="15"/>
  <c r="E2578" i="15"/>
  <c r="F2578" i="15"/>
  <c r="G2578" i="15"/>
  <c r="E2579" i="15"/>
  <c r="F2579" i="15"/>
  <c r="G2579" i="15"/>
  <c r="E2580" i="15"/>
  <c r="F2580" i="15"/>
  <c r="G2580" i="15"/>
  <c r="E2581" i="15"/>
  <c r="F2581" i="15"/>
  <c r="G2581" i="15"/>
  <c r="E2582" i="15"/>
  <c r="F2582" i="15"/>
  <c r="G2582" i="15"/>
  <c r="E2583" i="15"/>
  <c r="F2583" i="15"/>
  <c r="G2583" i="15"/>
  <c r="E2584" i="15"/>
  <c r="F2584" i="15"/>
  <c r="G2584" i="15"/>
  <c r="E2585" i="15"/>
  <c r="F2585" i="15"/>
  <c r="G2585" i="15"/>
  <c r="E2586" i="15"/>
  <c r="F2586" i="15"/>
  <c r="G2586" i="15"/>
  <c r="E2587" i="15"/>
  <c r="F2587" i="15"/>
  <c r="G2587" i="15"/>
  <c r="E2588" i="15"/>
  <c r="F2588" i="15"/>
  <c r="G2588" i="15"/>
  <c r="E2589" i="15"/>
  <c r="F2589" i="15"/>
  <c r="G2589" i="15"/>
  <c r="E2590" i="15"/>
  <c r="F2590" i="15"/>
  <c r="G2590" i="15"/>
  <c r="E2591" i="15"/>
  <c r="F2591" i="15"/>
  <c r="G2591" i="15"/>
  <c r="E2592" i="15"/>
  <c r="F2592" i="15"/>
  <c r="G2592" i="15"/>
  <c r="E2593" i="15"/>
  <c r="F2593" i="15"/>
  <c r="G2593" i="15"/>
  <c r="E2594" i="15"/>
  <c r="F2594" i="15"/>
  <c r="G2594" i="15"/>
  <c r="E2595" i="15"/>
  <c r="F2595" i="15"/>
  <c r="G2595" i="15"/>
  <c r="E2596" i="15"/>
  <c r="F2596" i="15"/>
  <c r="G2596" i="15"/>
  <c r="E2597" i="15"/>
  <c r="F2597" i="15"/>
  <c r="G2597" i="15"/>
  <c r="E2598" i="15"/>
  <c r="F2598" i="15"/>
  <c r="G2598" i="15"/>
  <c r="E2599" i="15"/>
  <c r="F2599" i="15"/>
  <c r="G2599" i="15"/>
  <c r="E2600" i="15"/>
  <c r="F2600" i="15"/>
  <c r="G2600" i="15"/>
  <c r="E2601" i="15"/>
  <c r="F2601" i="15"/>
  <c r="G2601" i="15"/>
  <c r="E2602" i="15"/>
  <c r="F2602" i="15"/>
  <c r="G2602" i="15"/>
  <c r="E2603" i="15"/>
  <c r="F2603" i="15"/>
  <c r="G2603" i="15"/>
  <c r="E2604" i="15"/>
  <c r="F2604" i="15"/>
  <c r="G2604" i="15"/>
  <c r="E2605" i="15"/>
  <c r="F2605" i="15"/>
  <c r="G2605" i="15"/>
  <c r="E2606" i="15"/>
  <c r="F2606" i="15"/>
  <c r="G2606" i="15"/>
  <c r="E2607" i="15"/>
  <c r="F2607" i="15"/>
  <c r="G2607" i="15"/>
  <c r="E2608" i="15"/>
  <c r="F2608" i="15"/>
  <c r="G2608" i="15"/>
  <c r="E2609" i="15"/>
  <c r="F2609" i="15"/>
  <c r="G2609" i="15"/>
  <c r="E2610" i="15"/>
  <c r="F2610" i="15"/>
  <c r="G2610" i="15"/>
  <c r="E2611" i="15"/>
  <c r="F2611" i="15"/>
  <c r="G2611" i="15"/>
  <c r="E2612" i="15"/>
  <c r="F2612" i="15"/>
  <c r="G2612" i="15"/>
  <c r="E2613" i="15"/>
  <c r="F2613" i="15"/>
  <c r="G2613" i="15"/>
  <c r="E2614" i="15"/>
  <c r="F2614" i="15"/>
  <c r="G2614" i="15"/>
  <c r="E2615" i="15"/>
  <c r="F2615" i="15"/>
  <c r="G2615" i="15"/>
  <c r="E2616" i="15"/>
  <c r="F2616" i="15"/>
  <c r="G2616" i="15"/>
  <c r="E2617" i="15"/>
  <c r="F2617" i="15"/>
  <c r="G2617" i="15"/>
  <c r="E2618" i="15"/>
  <c r="F2618" i="15"/>
  <c r="G2618" i="15"/>
  <c r="E2619" i="15"/>
  <c r="F2619" i="15"/>
  <c r="G2619" i="15"/>
  <c r="E2620" i="15"/>
  <c r="F2620" i="15"/>
  <c r="G2620" i="15"/>
  <c r="E2621" i="15"/>
  <c r="F2621" i="15"/>
  <c r="G2621" i="15"/>
  <c r="E2622" i="15"/>
  <c r="F2622" i="15"/>
  <c r="G2622" i="15"/>
  <c r="E2623" i="15"/>
  <c r="F2623" i="15"/>
  <c r="G2623" i="15"/>
  <c r="E2624" i="15"/>
  <c r="F2624" i="15"/>
  <c r="G2624" i="15"/>
  <c r="E2625" i="15"/>
  <c r="F2625" i="15"/>
  <c r="G2625" i="15"/>
  <c r="E2626" i="15"/>
  <c r="F2626" i="15"/>
  <c r="G2626" i="15"/>
  <c r="E2627" i="15"/>
  <c r="F2627" i="15"/>
  <c r="G2627" i="15"/>
  <c r="E2628" i="15"/>
  <c r="F2628" i="15"/>
  <c r="G2628" i="15"/>
  <c r="E2629" i="15"/>
  <c r="F2629" i="15"/>
  <c r="G2629" i="15"/>
  <c r="E2630" i="15"/>
  <c r="F2630" i="15"/>
  <c r="G2630" i="15"/>
  <c r="E2631" i="15"/>
  <c r="F2631" i="15"/>
  <c r="G2631" i="15"/>
  <c r="E2632" i="15"/>
  <c r="F2632" i="15"/>
  <c r="G2632" i="15"/>
  <c r="E2633" i="15"/>
  <c r="F2633" i="15"/>
  <c r="G2633" i="15"/>
  <c r="E2634" i="15"/>
  <c r="F2634" i="15"/>
  <c r="G2634" i="15"/>
  <c r="E2635" i="15"/>
  <c r="F2635" i="15"/>
  <c r="G2635" i="15"/>
  <c r="E2636" i="15"/>
  <c r="F2636" i="15"/>
  <c r="G2636" i="15"/>
  <c r="E2637" i="15"/>
  <c r="F2637" i="15"/>
  <c r="G2637" i="15"/>
  <c r="E2638" i="15"/>
  <c r="F2638" i="15"/>
  <c r="G2638" i="15"/>
  <c r="E2639" i="15"/>
  <c r="F2639" i="15"/>
  <c r="G2639" i="15"/>
  <c r="E2640" i="15"/>
  <c r="F2640" i="15"/>
  <c r="G2640" i="15"/>
  <c r="E2641" i="15"/>
  <c r="F2641" i="15"/>
  <c r="G2641" i="15"/>
  <c r="E2642" i="15"/>
  <c r="F2642" i="15"/>
  <c r="G2642" i="15"/>
  <c r="E2643" i="15"/>
  <c r="F2643" i="15"/>
  <c r="G2643" i="15"/>
  <c r="E2644" i="15"/>
  <c r="F2644" i="15"/>
  <c r="G2644" i="15"/>
  <c r="E2645" i="15"/>
  <c r="F2645" i="15"/>
  <c r="G2645" i="15"/>
  <c r="E2646" i="15"/>
  <c r="F2646" i="15"/>
  <c r="G2646" i="15"/>
  <c r="E2647" i="15"/>
  <c r="F2647" i="15"/>
  <c r="G2647" i="15"/>
  <c r="E2648" i="15"/>
  <c r="F2648" i="15"/>
  <c r="G2648" i="15"/>
  <c r="E2649" i="15"/>
  <c r="F2649" i="15"/>
  <c r="G2649" i="15"/>
  <c r="E2650" i="15"/>
  <c r="F2650" i="15"/>
  <c r="G2650" i="15"/>
  <c r="E2651" i="15"/>
  <c r="F2651" i="15"/>
  <c r="G2651" i="15"/>
  <c r="E2652" i="15"/>
  <c r="F2652" i="15"/>
  <c r="G2652" i="15"/>
  <c r="E2653" i="15"/>
  <c r="F2653" i="15"/>
  <c r="G2653" i="15"/>
  <c r="E2654" i="15"/>
  <c r="F2654" i="15"/>
  <c r="G2654" i="15"/>
  <c r="E2655" i="15"/>
  <c r="F2655" i="15"/>
  <c r="G2655" i="15"/>
  <c r="E2656" i="15"/>
  <c r="F2656" i="15"/>
  <c r="G2656" i="15"/>
  <c r="E2657" i="15"/>
  <c r="F2657" i="15"/>
  <c r="G2657" i="15"/>
  <c r="E2658" i="15"/>
  <c r="F2658" i="15"/>
  <c r="G2658" i="15"/>
  <c r="E2659" i="15"/>
  <c r="F2659" i="15"/>
  <c r="G2659" i="15"/>
  <c r="E2660" i="15"/>
  <c r="F2660" i="15"/>
  <c r="G2660" i="15"/>
  <c r="E2661" i="15"/>
  <c r="F2661" i="15"/>
  <c r="G2661" i="15"/>
  <c r="E2662" i="15"/>
  <c r="F2662" i="15"/>
  <c r="G2662" i="15"/>
  <c r="E2663" i="15"/>
  <c r="F2663" i="15"/>
  <c r="G2663" i="15"/>
  <c r="E2664" i="15"/>
  <c r="F2664" i="15"/>
  <c r="G2664" i="15"/>
  <c r="E2665" i="15"/>
  <c r="F2665" i="15"/>
  <c r="G2665" i="15"/>
  <c r="E2666" i="15"/>
  <c r="F2666" i="15"/>
  <c r="G2666" i="15"/>
  <c r="E2667" i="15"/>
  <c r="F2667" i="15"/>
  <c r="G2667" i="15"/>
  <c r="E2668" i="15"/>
  <c r="F2668" i="15"/>
  <c r="G2668" i="15"/>
  <c r="E2669" i="15"/>
  <c r="F2669" i="15"/>
  <c r="G2669" i="15"/>
  <c r="E2670" i="15"/>
  <c r="F2670" i="15"/>
  <c r="G2670" i="15"/>
  <c r="E2671" i="15"/>
  <c r="F2671" i="15"/>
  <c r="G2671" i="15"/>
  <c r="E2672" i="15"/>
  <c r="F2672" i="15"/>
  <c r="G2672" i="15"/>
  <c r="E2673" i="15"/>
  <c r="F2673" i="15"/>
  <c r="G2673" i="15"/>
  <c r="E2674" i="15"/>
  <c r="F2674" i="15"/>
  <c r="G2674" i="15"/>
  <c r="E2675" i="15"/>
  <c r="F2675" i="15"/>
  <c r="G2675" i="15"/>
  <c r="E2676" i="15"/>
  <c r="F2676" i="15"/>
  <c r="G2676" i="15"/>
  <c r="E2677" i="15"/>
  <c r="F2677" i="15"/>
  <c r="G2677" i="15"/>
  <c r="E2678" i="15"/>
  <c r="F2678" i="15"/>
  <c r="G2678" i="15"/>
  <c r="E2679" i="15"/>
  <c r="F2679" i="15"/>
  <c r="G2679" i="15"/>
  <c r="E2680" i="15"/>
  <c r="F2680" i="15"/>
  <c r="G2680" i="15"/>
  <c r="E2681" i="15"/>
  <c r="F2681" i="15"/>
  <c r="G2681" i="15"/>
  <c r="E2682" i="15"/>
  <c r="F2682" i="15"/>
  <c r="G2682" i="15"/>
  <c r="E2683" i="15"/>
  <c r="F2683" i="15"/>
  <c r="G2683" i="15"/>
  <c r="E2684" i="15"/>
  <c r="F2684" i="15"/>
  <c r="G2684" i="15"/>
  <c r="E2685" i="15"/>
  <c r="F2685" i="15"/>
  <c r="G2685" i="15"/>
  <c r="E2686" i="15"/>
  <c r="F2686" i="15"/>
  <c r="G2686" i="15"/>
  <c r="E2687" i="15"/>
  <c r="F2687" i="15"/>
  <c r="G2687" i="15"/>
  <c r="E2688" i="15"/>
  <c r="F2688" i="15"/>
  <c r="G2688" i="15"/>
  <c r="E2689" i="15"/>
  <c r="F2689" i="15"/>
  <c r="G2689" i="15"/>
  <c r="E2690" i="15"/>
  <c r="F2690" i="15"/>
  <c r="G2690" i="15"/>
  <c r="E2691" i="15"/>
  <c r="F2691" i="15"/>
  <c r="G2691" i="15"/>
  <c r="E2692" i="15"/>
  <c r="F2692" i="15"/>
  <c r="G2692" i="15"/>
  <c r="E2693" i="15"/>
  <c r="F2693" i="15"/>
  <c r="G2693" i="15"/>
  <c r="E2694" i="15"/>
  <c r="F2694" i="15"/>
  <c r="G2694" i="15"/>
  <c r="E2695" i="15"/>
  <c r="F2695" i="15"/>
  <c r="G2695" i="15"/>
  <c r="E2696" i="15"/>
  <c r="F2696" i="15"/>
  <c r="G2696" i="15"/>
  <c r="E2697" i="15"/>
  <c r="F2697" i="15"/>
  <c r="G2697" i="15"/>
  <c r="E2698" i="15"/>
  <c r="F2698" i="15"/>
  <c r="G2698" i="15"/>
  <c r="E2699" i="15"/>
  <c r="F2699" i="15"/>
  <c r="G2699" i="15"/>
  <c r="E2700" i="15"/>
  <c r="F2700" i="15"/>
  <c r="G2700" i="15"/>
  <c r="E2701" i="15"/>
  <c r="F2701" i="15"/>
  <c r="G2701" i="15"/>
  <c r="E2702" i="15"/>
  <c r="F2702" i="15"/>
  <c r="G2702" i="15"/>
  <c r="E2703" i="15"/>
  <c r="F2703" i="15"/>
  <c r="G2703" i="15"/>
  <c r="E2704" i="15"/>
  <c r="F2704" i="15"/>
  <c r="G2704" i="15"/>
  <c r="E2705" i="15"/>
  <c r="F2705" i="15"/>
  <c r="G2705" i="15"/>
  <c r="E2706" i="15"/>
  <c r="F2706" i="15"/>
  <c r="G2706" i="15"/>
  <c r="E2707" i="15"/>
  <c r="F2707" i="15"/>
  <c r="G2707" i="15"/>
  <c r="E2708" i="15"/>
  <c r="F2708" i="15"/>
  <c r="G2708" i="15"/>
  <c r="E2709" i="15"/>
  <c r="F2709" i="15"/>
  <c r="G2709" i="15"/>
  <c r="E2710" i="15"/>
  <c r="F2710" i="15"/>
  <c r="G2710" i="15"/>
  <c r="E2711" i="15"/>
  <c r="F2711" i="15"/>
  <c r="G2711" i="15"/>
  <c r="E2712" i="15"/>
  <c r="F2712" i="15"/>
  <c r="G2712" i="15"/>
  <c r="E2713" i="15"/>
  <c r="F2713" i="15"/>
  <c r="G2713" i="15"/>
  <c r="E2714" i="15"/>
  <c r="F2714" i="15"/>
  <c r="G2714" i="15"/>
  <c r="E2715" i="15"/>
  <c r="F2715" i="15"/>
  <c r="G2715" i="15"/>
  <c r="E2716" i="15"/>
  <c r="F2716" i="15"/>
  <c r="G2716" i="15"/>
  <c r="E2717" i="15"/>
  <c r="F2717" i="15"/>
  <c r="G2717" i="15"/>
  <c r="E2718" i="15"/>
  <c r="F2718" i="15"/>
  <c r="G2718" i="15"/>
  <c r="E2719" i="15"/>
  <c r="F2719" i="15"/>
  <c r="G2719" i="15"/>
  <c r="E2720" i="15"/>
  <c r="F2720" i="15"/>
  <c r="G2720" i="15"/>
  <c r="E2721" i="15"/>
  <c r="F2721" i="15"/>
  <c r="G2721" i="15"/>
  <c r="E2722" i="15"/>
  <c r="F2722" i="15"/>
  <c r="G2722" i="15"/>
  <c r="E2723" i="15"/>
  <c r="F2723" i="15"/>
  <c r="G2723" i="15"/>
  <c r="E2724" i="15"/>
  <c r="F2724" i="15"/>
  <c r="G2724" i="15"/>
  <c r="E2725" i="15"/>
  <c r="F2725" i="15"/>
  <c r="G2725" i="15"/>
  <c r="E2726" i="15"/>
  <c r="F2726" i="15"/>
  <c r="G2726" i="15"/>
  <c r="E2727" i="15"/>
  <c r="F2727" i="15"/>
  <c r="G2727" i="15"/>
  <c r="E2728" i="15"/>
  <c r="F2728" i="15"/>
  <c r="G2728" i="15"/>
  <c r="E2729" i="15"/>
  <c r="F2729" i="15"/>
  <c r="G2729" i="15"/>
  <c r="E2730" i="15"/>
  <c r="F2730" i="15"/>
  <c r="G2730" i="15"/>
  <c r="E2731" i="15"/>
  <c r="F2731" i="15"/>
  <c r="G2731" i="15"/>
  <c r="E2732" i="15"/>
  <c r="F2732" i="15"/>
  <c r="G2732" i="15"/>
  <c r="E2733" i="15"/>
  <c r="F2733" i="15"/>
  <c r="G2733" i="15"/>
  <c r="E2734" i="15"/>
  <c r="F2734" i="15"/>
  <c r="G2734" i="15"/>
  <c r="E2735" i="15"/>
  <c r="F2735" i="15"/>
  <c r="G2735" i="15"/>
  <c r="E2736" i="15"/>
  <c r="F2736" i="15"/>
  <c r="G2736" i="15"/>
  <c r="E2737" i="15"/>
  <c r="F2737" i="15"/>
  <c r="G2737" i="15"/>
  <c r="E2738" i="15"/>
  <c r="F2738" i="15"/>
  <c r="G2738" i="15"/>
  <c r="E2739" i="15"/>
  <c r="F2739" i="15"/>
  <c r="G2739" i="15"/>
  <c r="E2740" i="15"/>
  <c r="F2740" i="15"/>
  <c r="G2740" i="15"/>
  <c r="E2741" i="15"/>
  <c r="F2741" i="15"/>
  <c r="G2741" i="15"/>
  <c r="E2742" i="15"/>
  <c r="F2742" i="15"/>
  <c r="G2742" i="15"/>
  <c r="E2743" i="15"/>
  <c r="F2743" i="15"/>
  <c r="G2743" i="15"/>
  <c r="E2744" i="15"/>
  <c r="F2744" i="15"/>
  <c r="G2744" i="15"/>
  <c r="E2745" i="15"/>
  <c r="F2745" i="15"/>
  <c r="G2745" i="15"/>
  <c r="E2746" i="15"/>
  <c r="F2746" i="15"/>
  <c r="G2746" i="15"/>
  <c r="E2747" i="15"/>
  <c r="F2747" i="15"/>
  <c r="G2747" i="15"/>
  <c r="E2748" i="15"/>
  <c r="F2748" i="15"/>
  <c r="G2748" i="15"/>
  <c r="E2749" i="15"/>
  <c r="F2749" i="15"/>
  <c r="G2749" i="15"/>
  <c r="E2750" i="15"/>
  <c r="F2750" i="15"/>
  <c r="G2750" i="15"/>
  <c r="E2751" i="15"/>
  <c r="F2751" i="15"/>
  <c r="G2751" i="15"/>
  <c r="E2752" i="15"/>
  <c r="F2752" i="15"/>
  <c r="G2752" i="15"/>
  <c r="E2753" i="15"/>
  <c r="F2753" i="15"/>
  <c r="G2753" i="15"/>
  <c r="E2754" i="15"/>
  <c r="F2754" i="15"/>
  <c r="G2754" i="15"/>
  <c r="E2755" i="15"/>
  <c r="F2755" i="15"/>
  <c r="G2755" i="15"/>
  <c r="E2756" i="15"/>
  <c r="F2756" i="15"/>
  <c r="G2756" i="15"/>
  <c r="E2757" i="15"/>
  <c r="F2757" i="15"/>
  <c r="G2757" i="15"/>
  <c r="E2758" i="15"/>
  <c r="F2758" i="15"/>
  <c r="G2758" i="15"/>
  <c r="E2759" i="15"/>
  <c r="F2759" i="15"/>
  <c r="G2759" i="15"/>
  <c r="E2760" i="15"/>
  <c r="F2760" i="15"/>
  <c r="G2760" i="15"/>
  <c r="E2761" i="15"/>
  <c r="F2761" i="15"/>
  <c r="G2761" i="15"/>
  <c r="E2762" i="15"/>
  <c r="F2762" i="15"/>
  <c r="G2762" i="15"/>
  <c r="E2763" i="15"/>
  <c r="F2763" i="15"/>
  <c r="G2763" i="15"/>
  <c r="E2764" i="15"/>
  <c r="F2764" i="15"/>
  <c r="G2764" i="15"/>
  <c r="E2765" i="15"/>
  <c r="F2765" i="15"/>
  <c r="G2765" i="15"/>
  <c r="E2766" i="15"/>
  <c r="F2766" i="15"/>
  <c r="G2766" i="15"/>
  <c r="E2767" i="15"/>
  <c r="F2767" i="15"/>
  <c r="G2767" i="15"/>
  <c r="E2768" i="15"/>
  <c r="F2768" i="15"/>
  <c r="G2768" i="15"/>
  <c r="E2769" i="15"/>
  <c r="F2769" i="15"/>
  <c r="G2769" i="15"/>
  <c r="E2770" i="15"/>
  <c r="F2770" i="15"/>
  <c r="G2770" i="15"/>
  <c r="E2771" i="15"/>
  <c r="F2771" i="15"/>
  <c r="G2771" i="15"/>
  <c r="E2772" i="15"/>
  <c r="F2772" i="15"/>
  <c r="G2772" i="15"/>
  <c r="E2773" i="15"/>
  <c r="F2773" i="15"/>
  <c r="G2773" i="15"/>
  <c r="E2774" i="15"/>
  <c r="F2774" i="15"/>
  <c r="G2774" i="15"/>
  <c r="E2775" i="15"/>
  <c r="F2775" i="15"/>
  <c r="G2775" i="15"/>
  <c r="E2776" i="15"/>
  <c r="F2776" i="15"/>
  <c r="G2776" i="15"/>
  <c r="E2777" i="15"/>
  <c r="F2777" i="15"/>
  <c r="G2777" i="15"/>
  <c r="E2778" i="15"/>
  <c r="F2778" i="15"/>
  <c r="G2778" i="15"/>
  <c r="E2779" i="15"/>
  <c r="F2779" i="15"/>
  <c r="G2779" i="15"/>
  <c r="E2780" i="15"/>
  <c r="F2780" i="15"/>
  <c r="G2780" i="15"/>
  <c r="E2781" i="15"/>
  <c r="F2781" i="15"/>
  <c r="G2781" i="15"/>
  <c r="E2782" i="15"/>
  <c r="F2782" i="15"/>
  <c r="G2782" i="15"/>
  <c r="E2783" i="15"/>
  <c r="F2783" i="15"/>
  <c r="G2783" i="15"/>
  <c r="E2784" i="15"/>
  <c r="F2784" i="15"/>
  <c r="G2784" i="15"/>
  <c r="E2785" i="15"/>
  <c r="F2785" i="15"/>
  <c r="G2785" i="15"/>
  <c r="E2786" i="15"/>
  <c r="F2786" i="15"/>
  <c r="G2786" i="15"/>
  <c r="E2787" i="15"/>
  <c r="F2787" i="15"/>
  <c r="G2787" i="15"/>
  <c r="E2788" i="15"/>
  <c r="F2788" i="15"/>
  <c r="G2788" i="15"/>
  <c r="E2789" i="15"/>
  <c r="F2789" i="15"/>
  <c r="G2789" i="15"/>
  <c r="E2790" i="15"/>
  <c r="F2790" i="15"/>
  <c r="G2790" i="15"/>
  <c r="E2791" i="15"/>
  <c r="F2791" i="15"/>
  <c r="G2791" i="15"/>
  <c r="E2792" i="15"/>
  <c r="F2792" i="15"/>
  <c r="G2792" i="15"/>
  <c r="E2793" i="15"/>
  <c r="F2793" i="15"/>
  <c r="G2793" i="15"/>
  <c r="E2794" i="15"/>
  <c r="F2794" i="15"/>
  <c r="G2794" i="15"/>
  <c r="E2795" i="15"/>
  <c r="F2795" i="15"/>
  <c r="G2795" i="15"/>
  <c r="E2796" i="15"/>
  <c r="F2796" i="15"/>
  <c r="G2796" i="15"/>
  <c r="E2797" i="15"/>
  <c r="F2797" i="15"/>
  <c r="G2797" i="15"/>
  <c r="E2798" i="15"/>
  <c r="F2798" i="15"/>
  <c r="G2798" i="15"/>
  <c r="E2799" i="15"/>
  <c r="F2799" i="15"/>
  <c r="G2799" i="15"/>
  <c r="E2800" i="15"/>
  <c r="F2800" i="15"/>
  <c r="G2800" i="15"/>
  <c r="E2801" i="15"/>
  <c r="F2801" i="15"/>
  <c r="G2801" i="15"/>
  <c r="E2802" i="15"/>
  <c r="F2802" i="15"/>
  <c r="G2802" i="15"/>
  <c r="E2803" i="15"/>
  <c r="F2803" i="15"/>
  <c r="G2803" i="15"/>
  <c r="E2804" i="15"/>
  <c r="F2804" i="15"/>
  <c r="G2804" i="15"/>
  <c r="E2805" i="15"/>
  <c r="F2805" i="15"/>
  <c r="G2805" i="15"/>
  <c r="E2806" i="15"/>
  <c r="F2806" i="15"/>
  <c r="G2806" i="15"/>
  <c r="E2807" i="15"/>
  <c r="F2807" i="15"/>
  <c r="G2807" i="15"/>
  <c r="E2808" i="15"/>
  <c r="F2808" i="15"/>
  <c r="G2808" i="15"/>
  <c r="E2809" i="15"/>
  <c r="F2809" i="15"/>
  <c r="G2809" i="15"/>
  <c r="E2810" i="15"/>
  <c r="F2810" i="15"/>
  <c r="G2810" i="15"/>
  <c r="E2811" i="15"/>
  <c r="F2811" i="15"/>
  <c r="G2811" i="15"/>
  <c r="E2812" i="15"/>
  <c r="F2812" i="15"/>
  <c r="G2812" i="15"/>
  <c r="E2813" i="15"/>
  <c r="F2813" i="15"/>
  <c r="G2813" i="15"/>
  <c r="E2814" i="15"/>
  <c r="F2814" i="15"/>
  <c r="G2814" i="15"/>
  <c r="E2815" i="15"/>
  <c r="F2815" i="15"/>
  <c r="G2815" i="15"/>
  <c r="E2816" i="15"/>
  <c r="F2816" i="15"/>
  <c r="G2816" i="15"/>
  <c r="E2817" i="15"/>
  <c r="F2817" i="15"/>
  <c r="G2817" i="15"/>
  <c r="E2818" i="15"/>
  <c r="F2818" i="15"/>
  <c r="G2818" i="15"/>
  <c r="E2819" i="15"/>
  <c r="F2819" i="15"/>
  <c r="G2819" i="15"/>
  <c r="E2820" i="15"/>
  <c r="F2820" i="15"/>
  <c r="G2820" i="15"/>
  <c r="E2821" i="15"/>
  <c r="F2821" i="15"/>
  <c r="G2821" i="15"/>
  <c r="E2822" i="15"/>
  <c r="F2822" i="15"/>
  <c r="G2822" i="15"/>
  <c r="E2823" i="15"/>
  <c r="F2823" i="15"/>
  <c r="G2823" i="15"/>
  <c r="E2824" i="15"/>
  <c r="F2824" i="15"/>
  <c r="G2824" i="15"/>
  <c r="E2825" i="15"/>
  <c r="F2825" i="15"/>
  <c r="G2825" i="15"/>
  <c r="E2826" i="15"/>
  <c r="F2826" i="15"/>
  <c r="G2826" i="15"/>
  <c r="E2827" i="15"/>
  <c r="F2827" i="15"/>
  <c r="G2827" i="15"/>
  <c r="E2828" i="15"/>
  <c r="F2828" i="15"/>
  <c r="G2828" i="15"/>
  <c r="E2829" i="15"/>
  <c r="F2829" i="15"/>
  <c r="G2829" i="15"/>
  <c r="E2830" i="15"/>
  <c r="F2830" i="15"/>
  <c r="G2830" i="15"/>
  <c r="E2831" i="15"/>
  <c r="F2831" i="15"/>
  <c r="G2831" i="15"/>
  <c r="E2832" i="15"/>
  <c r="F2832" i="15"/>
  <c r="G2832" i="15"/>
  <c r="E2833" i="15"/>
  <c r="F2833" i="15"/>
  <c r="G2833" i="15"/>
  <c r="E2834" i="15"/>
  <c r="F2834" i="15"/>
  <c r="G2834" i="15"/>
  <c r="E2835" i="15"/>
  <c r="F2835" i="15"/>
  <c r="G2835" i="15"/>
  <c r="E2836" i="15"/>
  <c r="F2836" i="15"/>
  <c r="G2836" i="15"/>
  <c r="E2837" i="15"/>
  <c r="F2837" i="15"/>
  <c r="G2837" i="15"/>
  <c r="E2838" i="15"/>
  <c r="F2838" i="15"/>
  <c r="G2838" i="15"/>
  <c r="E2839" i="15"/>
  <c r="F2839" i="15"/>
  <c r="G2839" i="15"/>
  <c r="E2840" i="15"/>
  <c r="F2840" i="15"/>
  <c r="G2840" i="15"/>
  <c r="E2841" i="15"/>
  <c r="F2841" i="15"/>
  <c r="G2841" i="15"/>
  <c r="E2842" i="15"/>
  <c r="F2842" i="15"/>
  <c r="G2842" i="15"/>
  <c r="E2843" i="15"/>
  <c r="F2843" i="15"/>
  <c r="G2843" i="15"/>
  <c r="E2844" i="15"/>
  <c r="F2844" i="15"/>
  <c r="G2844" i="15"/>
  <c r="E2845" i="15"/>
  <c r="F2845" i="15"/>
  <c r="G2845" i="15"/>
  <c r="E2846" i="15"/>
  <c r="F2846" i="15"/>
  <c r="G2846" i="15"/>
  <c r="E2847" i="15"/>
  <c r="F2847" i="15"/>
  <c r="G2847" i="15"/>
  <c r="E2848" i="15"/>
  <c r="F2848" i="15"/>
  <c r="G2848" i="15"/>
  <c r="E2849" i="15"/>
  <c r="F2849" i="15"/>
  <c r="G2849" i="15"/>
  <c r="E2850" i="15"/>
  <c r="F2850" i="15"/>
  <c r="G2850" i="15"/>
  <c r="E2851" i="15"/>
  <c r="F2851" i="15"/>
  <c r="G2851" i="15"/>
  <c r="E2852" i="15"/>
  <c r="F2852" i="15"/>
  <c r="G2852" i="15"/>
  <c r="E2853" i="15"/>
  <c r="F2853" i="15"/>
  <c r="G2853" i="15"/>
  <c r="E2854" i="15"/>
  <c r="F2854" i="15"/>
  <c r="G2854" i="15"/>
  <c r="E2855" i="15"/>
  <c r="F2855" i="15"/>
  <c r="G2855" i="15"/>
  <c r="E2856" i="15"/>
  <c r="F2856" i="15"/>
  <c r="G2856" i="15"/>
  <c r="E2857" i="15"/>
  <c r="F2857" i="15"/>
  <c r="G2857" i="15"/>
  <c r="E2858" i="15"/>
  <c r="F2858" i="15"/>
  <c r="G2858" i="15"/>
  <c r="E2859" i="15"/>
  <c r="F2859" i="15"/>
  <c r="G2859" i="15"/>
  <c r="E2860" i="15"/>
  <c r="F2860" i="15"/>
  <c r="G2860" i="15"/>
  <c r="E2861" i="15"/>
  <c r="F2861" i="15"/>
  <c r="G2861" i="15"/>
  <c r="E2862" i="15"/>
  <c r="F2862" i="15"/>
  <c r="G2862" i="15"/>
  <c r="E2863" i="15"/>
  <c r="F2863" i="15"/>
  <c r="G2863" i="15"/>
  <c r="E2864" i="15"/>
  <c r="F2864" i="15"/>
  <c r="G2864" i="15"/>
  <c r="E2865" i="15"/>
  <c r="F2865" i="15"/>
  <c r="G2865" i="15"/>
  <c r="E2866" i="15"/>
  <c r="F2866" i="15"/>
  <c r="G2866" i="15"/>
  <c r="E2867" i="15"/>
  <c r="F2867" i="15"/>
  <c r="G2867" i="15"/>
  <c r="E2868" i="15"/>
  <c r="F2868" i="15"/>
  <c r="G2868" i="15"/>
  <c r="E2869" i="15"/>
  <c r="F2869" i="15"/>
  <c r="G2869" i="15"/>
  <c r="E2870" i="15"/>
  <c r="F2870" i="15"/>
  <c r="G2870" i="15"/>
  <c r="E2871" i="15"/>
  <c r="F2871" i="15"/>
  <c r="G2871" i="15"/>
  <c r="E2872" i="15"/>
  <c r="F2872" i="15"/>
  <c r="G2872" i="15"/>
  <c r="E2873" i="15"/>
  <c r="F2873" i="15"/>
  <c r="G2873" i="15"/>
  <c r="E2874" i="15"/>
  <c r="F2874" i="15"/>
  <c r="G2874" i="15"/>
  <c r="E2875" i="15"/>
  <c r="F2875" i="15"/>
  <c r="G2875" i="15"/>
  <c r="E2876" i="15"/>
  <c r="F2876" i="15"/>
  <c r="G2876" i="15"/>
  <c r="E2877" i="15"/>
  <c r="F2877" i="15"/>
  <c r="G2877" i="15"/>
  <c r="E2878" i="15"/>
  <c r="F2878" i="15"/>
  <c r="G2878" i="15"/>
  <c r="E2879" i="15"/>
  <c r="F2879" i="15"/>
  <c r="G2879" i="15"/>
  <c r="E2880" i="15"/>
  <c r="F2880" i="15"/>
  <c r="G2880" i="15"/>
  <c r="E2881" i="15"/>
  <c r="F2881" i="15"/>
  <c r="G2881" i="15"/>
  <c r="E2882" i="15"/>
  <c r="F2882" i="15"/>
  <c r="G2882" i="15"/>
  <c r="E2883" i="15"/>
  <c r="F2883" i="15"/>
  <c r="G2883" i="15"/>
  <c r="E2884" i="15"/>
  <c r="F2884" i="15"/>
  <c r="G2884" i="15"/>
  <c r="E2885" i="15"/>
  <c r="F2885" i="15"/>
  <c r="G2885" i="15"/>
  <c r="E2886" i="15"/>
  <c r="F2886" i="15"/>
  <c r="G2886" i="15"/>
  <c r="E2887" i="15"/>
  <c r="F2887" i="15"/>
  <c r="G2887" i="15"/>
  <c r="E2888" i="15"/>
  <c r="F2888" i="15"/>
  <c r="G2888" i="15"/>
  <c r="E2889" i="15"/>
  <c r="F2889" i="15"/>
  <c r="G2889" i="15"/>
  <c r="E2890" i="15"/>
  <c r="F2890" i="15"/>
  <c r="G2890" i="15"/>
  <c r="E2891" i="15"/>
  <c r="F2891" i="15"/>
  <c r="G2891" i="15"/>
  <c r="E2892" i="15"/>
  <c r="F2892" i="15"/>
  <c r="G2892" i="15"/>
  <c r="E2893" i="15"/>
  <c r="F2893" i="15"/>
  <c r="G2893" i="15"/>
  <c r="E2894" i="15"/>
  <c r="F2894" i="15"/>
  <c r="G2894" i="15"/>
  <c r="E2895" i="15"/>
  <c r="F2895" i="15"/>
  <c r="G2895" i="15"/>
  <c r="E2896" i="15"/>
  <c r="F2896" i="15"/>
  <c r="G2896" i="15"/>
  <c r="E2897" i="15"/>
  <c r="F2897" i="15"/>
  <c r="G2897" i="15"/>
  <c r="E2898" i="15"/>
  <c r="F2898" i="15"/>
  <c r="G2898" i="15"/>
  <c r="E2899" i="15"/>
  <c r="F2899" i="15"/>
  <c r="G2899" i="15"/>
  <c r="E2900" i="15"/>
  <c r="F2900" i="15"/>
  <c r="G2900" i="15"/>
  <c r="E2901" i="15"/>
  <c r="F2901" i="15"/>
  <c r="G2901" i="15"/>
  <c r="E2902" i="15"/>
  <c r="F2902" i="15"/>
  <c r="G2902" i="15"/>
  <c r="E2903" i="15"/>
  <c r="F2903" i="15"/>
  <c r="G2903" i="15"/>
  <c r="E2904" i="15"/>
  <c r="F2904" i="15"/>
  <c r="G2904" i="15"/>
  <c r="E2905" i="15"/>
  <c r="F2905" i="15"/>
  <c r="G2905" i="15"/>
  <c r="E2906" i="15"/>
  <c r="F2906" i="15"/>
  <c r="G2906" i="15"/>
  <c r="E2907" i="15"/>
  <c r="F2907" i="15"/>
  <c r="G2907" i="15"/>
  <c r="E2908" i="15"/>
  <c r="F2908" i="15"/>
  <c r="G2908" i="15"/>
  <c r="E2909" i="15"/>
  <c r="F2909" i="15"/>
  <c r="G2909" i="15"/>
  <c r="E2910" i="15"/>
  <c r="F2910" i="15"/>
  <c r="G2910" i="15"/>
  <c r="E2911" i="15"/>
  <c r="F2911" i="15"/>
  <c r="G2911" i="15"/>
  <c r="E2912" i="15"/>
  <c r="F2912" i="15"/>
  <c r="G2912" i="15"/>
  <c r="E2913" i="15"/>
  <c r="F2913" i="15"/>
  <c r="G2913" i="15"/>
  <c r="E2914" i="15"/>
  <c r="F2914" i="15"/>
  <c r="G2914" i="15"/>
  <c r="E2915" i="15"/>
  <c r="F2915" i="15"/>
  <c r="G2915" i="15"/>
  <c r="E2916" i="15"/>
  <c r="F2916" i="15"/>
  <c r="G2916" i="15"/>
  <c r="E2917" i="15"/>
  <c r="F2917" i="15"/>
  <c r="G2917" i="15"/>
  <c r="E2918" i="15"/>
  <c r="F2918" i="15"/>
  <c r="G2918" i="15"/>
  <c r="E2919" i="15"/>
  <c r="F2919" i="15"/>
  <c r="G2919" i="15"/>
  <c r="E2920" i="15"/>
  <c r="F2920" i="15"/>
  <c r="G2920" i="15"/>
  <c r="E2921" i="15"/>
  <c r="F2921" i="15"/>
  <c r="G2921" i="15"/>
  <c r="E2922" i="15"/>
  <c r="F2922" i="15"/>
  <c r="G2922" i="15"/>
  <c r="E2923" i="15"/>
  <c r="F2923" i="15"/>
  <c r="G2923" i="15"/>
  <c r="E2924" i="15"/>
  <c r="F2924" i="15"/>
  <c r="G2924" i="15"/>
  <c r="E2925" i="15"/>
  <c r="F2925" i="15"/>
  <c r="G2925" i="15"/>
  <c r="E2926" i="15"/>
  <c r="F2926" i="15"/>
  <c r="G2926" i="15"/>
  <c r="E2927" i="15"/>
  <c r="F2927" i="15"/>
  <c r="G2927" i="15"/>
  <c r="E2928" i="15"/>
  <c r="F2928" i="15"/>
  <c r="G2928" i="15"/>
  <c r="E2929" i="15"/>
  <c r="F2929" i="15"/>
  <c r="G2929" i="15"/>
  <c r="E2930" i="15"/>
  <c r="F2930" i="15"/>
  <c r="G2930" i="15"/>
  <c r="E2931" i="15"/>
  <c r="F2931" i="15"/>
  <c r="G2931" i="15"/>
  <c r="E2932" i="15"/>
  <c r="F2932" i="15"/>
  <c r="G2932" i="15"/>
  <c r="E2933" i="15"/>
  <c r="F2933" i="15"/>
  <c r="G2933" i="15"/>
  <c r="E2934" i="15"/>
  <c r="F2934" i="15"/>
  <c r="G2934" i="15"/>
  <c r="E2935" i="15"/>
  <c r="F2935" i="15"/>
  <c r="G2935" i="15"/>
  <c r="E2936" i="15"/>
  <c r="F2936" i="15"/>
  <c r="G2936" i="15"/>
  <c r="E2937" i="15"/>
  <c r="F2937" i="15"/>
  <c r="G2937" i="15"/>
  <c r="E2938" i="15"/>
  <c r="F2938" i="15"/>
  <c r="G2938" i="15"/>
  <c r="E2939" i="15"/>
  <c r="F2939" i="15"/>
  <c r="G2939" i="15"/>
  <c r="E2940" i="15"/>
  <c r="F2940" i="15"/>
  <c r="G2940" i="15"/>
  <c r="E2941" i="15"/>
  <c r="F2941" i="15"/>
  <c r="G2941" i="15"/>
  <c r="E2942" i="15"/>
  <c r="F2942" i="15"/>
  <c r="G2942" i="15"/>
  <c r="E2943" i="15"/>
  <c r="F2943" i="15"/>
  <c r="G2943" i="15"/>
  <c r="E2944" i="15"/>
  <c r="F2944" i="15"/>
  <c r="G2944" i="15"/>
  <c r="E2945" i="15"/>
  <c r="F2945" i="15"/>
  <c r="G2945" i="15"/>
  <c r="E2946" i="15"/>
  <c r="F2946" i="15"/>
  <c r="G2946" i="15"/>
  <c r="E2947" i="15"/>
  <c r="F2947" i="15"/>
  <c r="G2947" i="15"/>
  <c r="E2948" i="15"/>
  <c r="F2948" i="15"/>
  <c r="G2948" i="15"/>
  <c r="E2949" i="15"/>
  <c r="F2949" i="15"/>
  <c r="G2949" i="15"/>
  <c r="E2950" i="15"/>
  <c r="F2950" i="15"/>
  <c r="G2950" i="15"/>
  <c r="E2951" i="15"/>
  <c r="F2951" i="15"/>
  <c r="G2951" i="15"/>
  <c r="E2952" i="15"/>
  <c r="F2952" i="15"/>
  <c r="G2952" i="15"/>
  <c r="E2953" i="15"/>
  <c r="F2953" i="15"/>
  <c r="G2953" i="15"/>
  <c r="E2954" i="15"/>
  <c r="F2954" i="15"/>
  <c r="G2954" i="15"/>
  <c r="E2955" i="15"/>
  <c r="F2955" i="15"/>
  <c r="G2955" i="15"/>
  <c r="E2956" i="15"/>
  <c r="F2956" i="15"/>
  <c r="G2956" i="15"/>
  <c r="E2957" i="15"/>
  <c r="F2957" i="15"/>
  <c r="G2957" i="15"/>
  <c r="E2958" i="15"/>
  <c r="F2958" i="15"/>
  <c r="G2958" i="15"/>
  <c r="E2959" i="15"/>
  <c r="F2959" i="15"/>
  <c r="G2959" i="15"/>
  <c r="E2960" i="15"/>
  <c r="F2960" i="15"/>
  <c r="G2960" i="15"/>
  <c r="E2961" i="15"/>
  <c r="F2961" i="15"/>
  <c r="G2961" i="15"/>
  <c r="E2962" i="15"/>
  <c r="F2962" i="15"/>
  <c r="G2962" i="15"/>
  <c r="E2963" i="15"/>
  <c r="F2963" i="15"/>
  <c r="G2963" i="15"/>
  <c r="E2964" i="15"/>
  <c r="F2964" i="15"/>
  <c r="G2964" i="15"/>
  <c r="E2965" i="15"/>
  <c r="F2965" i="15"/>
  <c r="G2965" i="15"/>
  <c r="E2966" i="15"/>
  <c r="F2966" i="15"/>
  <c r="G2966" i="15"/>
  <c r="E2967" i="15"/>
  <c r="F2967" i="15"/>
  <c r="G2967" i="15"/>
  <c r="E2968" i="15"/>
  <c r="F2968" i="15"/>
  <c r="G2968" i="15"/>
  <c r="E2969" i="15"/>
  <c r="F2969" i="15"/>
  <c r="G2969" i="15"/>
  <c r="E2970" i="15"/>
  <c r="F2970" i="15"/>
  <c r="G2970" i="15"/>
  <c r="E2971" i="15"/>
  <c r="F2971" i="15"/>
  <c r="G2971" i="15"/>
  <c r="E2972" i="15"/>
  <c r="F2972" i="15"/>
  <c r="G2972" i="15"/>
  <c r="E2973" i="15"/>
  <c r="F2973" i="15"/>
  <c r="G2973" i="15"/>
  <c r="E2974" i="15"/>
  <c r="F2974" i="15"/>
  <c r="G2974" i="15"/>
  <c r="E2975" i="15"/>
  <c r="F2975" i="15"/>
  <c r="G2975" i="15"/>
  <c r="E2976" i="15"/>
  <c r="F2976" i="15"/>
  <c r="G2976" i="15"/>
  <c r="E2977" i="15"/>
  <c r="F2977" i="15"/>
  <c r="G2977" i="15"/>
  <c r="E2978" i="15"/>
  <c r="F2978" i="15"/>
  <c r="G2978" i="15"/>
  <c r="E2979" i="15"/>
  <c r="F2979" i="15"/>
  <c r="G2979" i="15"/>
  <c r="E2980" i="15"/>
  <c r="F2980" i="15"/>
  <c r="G2980" i="15"/>
  <c r="E2981" i="15"/>
  <c r="F2981" i="15"/>
  <c r="G2981" i="15"/>
  <c r="E2982" i="15"/>
  <c r="F2982" i="15"/>
  <c r="G2982" i="15"/>
  <c r="E2983" i="15"/>
  <c r="F2983" i="15"/>
  <c r="G2983" i="15"/>
  <c r="E2984" i="15"/>
  <c r="F2984" i="15"/>
  <c r="G2984" i="15"/>
  <c r="E2985" i="15"/>
  <c r="F2985" i="15"/>
  <c r="G2985" i="15"/>
  <c r="E2986" i="15"/>
  <c r="F2986" i="15"/>
  <c r="G2986" i="15"/>
  <c r="E2987" i="15"/>
  <c r="F2987" i="15"/>
  <c r="G2987" i="15"/>
  <c r="E2988" i="15"/>
  <c r="F2988" i="15"/>
  <c r="G2988" i="15"/>
  <c r="E2989" i="15"/>
  <c r="F2989" i="15"/>
  <c r="G2989" i="15"/>
  <c r="E2990" i="15"/>
  <c r="F2990" i="15"/>
  <c r="G2990" i="15"/>
  <c r="E2991" i="15"/>
  <c r="F2991" i="15"/>
  <c r="G2991" i="15"/>
  <c r="E2992" i="15"/>
  <c r="F2992" i="15"/>
  <c r="G2992" i="15"/>
  <c r="E2993" i="15"/>
  <c r="F2993" i="15"/>
  <c r="G2993" i="15"/>
  <c r="E2994" i="15"/>
  <c r="F2994" i="15"/>
  <c r="G2994" i="15"/>
  <c r="E2995" i="15"/>
  <c r="F2995" i="15"/>
  <c r="G2995" i="15"/>
  <c r="E2996" i="15"/>
  <c r="F2996" i="15"/>
  <c r="G2996" i="15"/>
  <c r="E2997" i="15"/>
  <c r="F2997" i="15"/>
  <c r="G2997" i="15"/>
  <c r="E2998" i="15"/>
  <c r="F2998" i="15"/>
  <c r="G2998" i="15"/>
  <c r="E2999" i="15"/>
  <c r="F2999" i="15"/>
  <c r="G2999" i="15"/>
  <c r="E3000" i="15"/>
  <c r="F3000" i="15"/>
  <c r="G3000" i="15"/>
  <c r="E3001" i="15"/>
  <c r="F3001" i="15"/>
  <c r="G3001" i="15"/>
  <c r="E3002" i="15"/>
  <c r="F3002" i="15"/>
  <c r="G3002" i="15"/>
  <c r="E3003" i="15"/>
  <c r="F3003" i="15"/>
  <c r="G3003" i="15"/>
  <c r="E3004" i="15"/>
  <c r="F3004" i="15"/>
  <c r="G3004" i="15"/>
  <c r="E3005" i="15"/>
  <c r="F3005" i="15"/>
  <c r="G3005" i="15"/>
  <c r="E3006" i="15"/>
  <c r="F3006" i="15"/>
  <c r="G3006" i="15"/>
  <c r="E3007" i="15"/>
  <c r="F3007" i="15"/>
  <c r="G3007" i="15"/>
  <c r="E3008" i="15"/>
  <c r="F3008" i="15"/>
  <c r="G3008" i="15"/>
  <c r="E3009" i="15"/>
  <c r="F3009" i="15"/>
  <c r="G3009" i="15"/>
  <c r="E3010" i="15"/>
  <c r="F3010" i="15"/>
  <c r="G3010" i="15"/>
  <c r="E3011" i="15"/>
  <c r="F3011" i="15"/>
  <c r="G3011" i="15"/>
  <c r="E3012" i="15"/>
  <c r="F3012" i="15"/>
  <c r="G3012" i="15"/>
  <c r="E3013" i="15"/>
  <c r="F3013" i="15"/>
  <c r="G3013" i="15"/>
  <c r="E3014" i="15"/>
  <c r="F3014" i="15"/>
  <c r="G3014" i="15"/>
  <c r="E3015" i="15"/>
  <c r="F3015" i="15"/>
  <c r="G3015" i="15"/>
  <c r="E3016" i="15"/>
  <c r="F3016" i="15"/>
  <c r="G3016" i="15"/>
  <c r="E3017" i="15"/>
  <c r="F3017" i="15"/>
  <c r="G3017" i="15"/>
  <c r="E3018" i="15"/>
  <c r="F3018" i="15"/>
  <c r="G3018" i="15"/>
  <c r="E3019" i="15"/>
  <c r="F3019" i="15"/>
  <c r="G3019" i="15"/>
  <c r="E3020" i="15"/>
  <c r="F3020" i="15"/>
  <c r="G3020" i="15"/>
  <c r="E3021" i="15"/>
  <c r="F3021" i="15"/>
  <c r="G3021" i="15"/>
  <c r="E3022" i="15"/>
  <c r="F3022" i="15"/>
  <c r="G3022" i="15"/>
  <c r="E3023" i="15"/>
  <c r="F3023" i="15"/>
  <c r="G3023" i="15"/>
  <c r="E3024" i="15"/>
  <c r="F3024" i="15"/>
  <c r="G3024" i="15"/>
  <c r="E3025" i="15"/>
  <c r="F3025" i="15"/>
  <c r="G3025" i="15"/>
  <c r="E3026" i="15"/>
  <c r="F3026" i="15"/>
  <c r="G3026" i="15"/>
  <c r="E3027" i="15"/>
  <c r="F3027" i="15"/>
  <c r="G3027" i="15"/>
  <c r="E3028" i="15"/>
  <c r="F3028" i="15"/>
  <c r="G3028" i="15"/>
  <c r="E3029" i="15"/>
  <c r="F3029" i="15"/>
  <c r="G3029" i="15"/>
  <c r="E3030" i="15"/>
  <c r="F3030" i="15"/>
  <c r="G3030" i="15"/>
  <c r="E3031" i="15"/>
  <c r="F3031" i="15"/>
  <c r="G3031" i="15"/>
  <c r="E3032" i="15"/>
  <c r="F3032" i="15"/>
  <c r="G3032" i="15"/>
  <c r="E3033" i="15"/>
  <c r="F3033" i="15"/>
  <c r="G3033" i="15"/>
  <c r="E3034" i="15"/>
  <c r="F3034" i="15"/>
  <c r="G3034" i="15"/>
  <c r="E3035" i="15"/>
  <c r="F3035" i="15"/>
  <c r="G3035" i="15"/>
  <c r="E3036" i="15"/>
  <c r="F3036" i="15"/>
  <c r="G3036" i="15"/>
  <c r="E3037" i="15"/>
  <c r="F3037" i="15"/>
  <c r="G3037" i="15"/>
  <c r="E3038" i="15"/>
  <c r="F3038" i="15"/>
  <c r="G3038" i="15"/>
  <c r="E3039" i="15"/>
  <c r="F3039" i="15"/>
  <c r="G3039" i="15"/>
  <c r="E3040" i="15"/>
  <c r="F3040" i="15"/>
  <c r="G3040" i="15"/>
  <c r="E3041" i="15"/>
  <c r="F3041" i="15"/>
  <c r="G3041" i="15"/>
  <c r="E3042" i="15"/>
  <c r="F3042" i="15"/>
  <c r="G3042" i="15"/>
  <c r="E3043" i="15"/>
  <c r="F3043" i="15"/>
  <c r="G3043" i="15"/>
  <c r="E3044" i="15"/>
  <c r="F3044" i="15"/>
  <c r="G3044" i="15"/>
  <c r="E3045" i="15"/>
  <c r="F3045" i="15"/>
  <c r="G3045" i="15"/>
  <c r="E3046" i="15"/>
  <c r="F3046" i="15"/>
  <c r="G3046" i="15"/>
  <c r="E3047" i="15"/>
  <c r="F3047" i="15"/>
  <c r="G3047" i="15"/>
  <c r="E3048" i="15"/>
  <c r="F3048" i="15"/>
  <c r="G3048" i="15"/>
  <c r="E3049" i="15"/>
  <c r="F3049" i="15"/>
  <c r="G3049" i="15"/>
  <c r="E3050" i="15"/>
  <c r="F3050" i="15"/>
  <c r="G3050" i="15"/>
  <c r="E3051" i="15"/>
  <c r="F3051" i="15"/>
  <c r="G3051" i="15"/>
  <c r="E3052" i="15"/>
  <c r="F3052" i="15"/>
  <c r="G3052" i="15"/>
  <c r="E3053" i="15"/>
  <c r="F3053" i="15"/>
  <c r="G3053" i="15"/>
  <c r="E3054" i="15"/>
  <c r="F3054" i="15"/>
  <c r="G3054" i="15"/>
  <c r="E3055" i="15"/>
  <c r="F3055" i="15"/>
  <c r="G3055" i="15"/>
  <c r="E3056" i="15"/>
  <c r="F3056" i="15"/>
  <c r="G3056" i="15"/>
  <c r="E3057" i="15"/>
  <c r="F3057" i="15"/>
  <c r="G3057" i="15"/>
  <c r="E3058" i="15"/>
  <c r="F3058" i="15"/>
  <c r="G3058" i="15"/>
  <c r="E3059" i="15"/>
  <c r="F3059" i="15"/>
  <c r="G3059" i="15"/>
  <c r="E3060" i="15"/>
  <c r="F3060" i="15"/>
  <c r="G3060" i="15"/>
  <c r="E3061" i="15"/>
  <c r="F3061" i="15"/>
  <c r="G3061" i="15"/>
  <c r="E3062" i="15"/>
  <c r="F3062" i="15"/>
  <c r="G3062" i="15"/>
  <c r="E3063" i="15"/>
  <c r="F3063" i="15"/>
  <c r="G3063" i="15"/>
  <c r="E3064" i="15"/>
  <c r="F3064" i="15"/>
  <c r="G3064" i="15"/>
  <c r="E3065" i="15"/>
  <c r="F3065" i="15"/>
  <c r="G3065" i="15"/>
  <c r="E3066" i="15"/>
  <c r="F3066" i="15"/>
  <c r="G3066" i="15"/>
  <c r="E3067" i="15"/>
  <c r="F3067" i="15"/>
  <c r="G3067" i="15"/>
  <c r="E3068" i="15"/>
  <c r="F3068" i="15"/>
  <c r="G3068" i="15"/>
  <c r="E3069" i="15"/>
  <c r="F3069" i="15"/>
  <c r="G3069" i="15"/>
  <c r="E3070" i="15"/>
  <c r="F3070" i="15"/>
  <c r="G3070" i="15"/>
  <c r="E3071" i="15"/>
  <c r="F3071" i="15"/>
  <c r="G3071" i="15"/>
  <c r="E3072" i="15"/>
  <c r="F3072" i="15"/>
  <c r="G3072" i="15"/>
  <c r="E3073" i="15"/>
  <c r="F3073" i="15"/>
  <c r="G3073" i="15"/>
  <c r="E3074" i="15"/>
  <c r="F3074" i="15"/>
  <c r="G3074" i="15"/>
  <c r="E3075" i="15"/>
  <c r="F3075" i="15"/>
  <c r="G3075" i="15"/>
  <c r="E3076" i="15"/>
  <c r="F3076" i="15"/>
  <c r="G3076" i="15"/>
  <c r="E3077" i="15"/>
  <c r="F3077" i="15"/>
  <c r="G3077" i="15"/>
  <c r="E3078" i="15"/>
  <c r="F3078" i="15"/>
  <c r="G3078" i="15"/>
  <c r="E3079" i="15"/>
  <c r="F3079" i="15"/>
  <c r="G3079" i="15"/>
  <c r="E3080" i="15"/>
  <c r="F3080" i="15"/>
  <c r="G3080" i="15"/>
  <c r="E3081" i="15"/>
  <c r="F3081" i="15"/>
  <c r="G3081" i="15"/>
  <c r="E3082" i="15"/>
  <c r="F3082" i="15"/>
  <c r="G3082" i="15"/>
  <c r="E3083" i="15"/>
  <c r="F3083" i="15"/>
  <c r="G3083" i="15"/>
  <c r="E3084" i="15"/>
  <c r="F3084" i="15"/>
  <c r="G3084" i="15"/>
  <c r="E3085" i="15"/>
  <c r="F3085" i="15"/>
  <c r="G3085" i="15"/>
  <c r="E3086" i="15"/>
  <c r="F3086" i="15"/>
  <c r="G3086" i="15"/>
  <c r="E3087" i="15"/>
  <c r="F3087" i="15"/>
  <c r="G3087" i="15"/>
  <c r="E3088" i="15"/>
  <c r="F3088" i="15"/>
  <c r="G3088" i="15"/>
  <c r="E3089" i="15"/>
  <c r="F3089" i="15"/>
  <c r="G3089" i="15"/>
  <c r="E3090" i="15"/>
  <c r="F3090" i="15"/>
  <c r="G3090" i="15"/>
  <c r="E3091" i="15"/>
  <c r="F3091" i="15"/>
  <c r="G3091" i="15"/>
  <c r="E3092" i="15"/>
  <c r="F3092" i="15"/>
  <c r="G3092" i="15"/>
  <c r="E3093" i="15"/>
  <c r="F3093" i="15"/>
  <c r="G3093" i="15"/>
  <c r="E3094" i="15"/>
  <c r="F3094" i="15"/>
  <c r="G3094" i="15"/>
  <c r="E3095" i="15"/>
  <c r="F3095" i="15"/>
  <c r="G3095" i="15"/>
  <c r="E3096" i="15"/>
  <c r="F3096" i="15"/>
  <c r="G3096" i="15"/>
  <c r="E3097" i="15"/>
  <c r="F3097" i="15"/>
  <c r="G3097" i="15"/>
  <c r="E3098" i="15"/>
  <c r="F3098" i="15"/>
  <c r="G3098" i="15"/>
  <c r="E3099" i="15"/>
  <c r="F3099" i="15"/>
  <c r="G3099" i="15"/>
  <c r="E3100" i="15"/>
  <c r="F3100" i="15"/>
  <c r="G3100" i="15"/>
  <c r="E3101" i="15"/>
  <c r="F3101" i="15"/>
  <c r="G3101" i="15"/>
  <c r="E3102" i="15"/>
  <c r="F3102" i="15"/>
  <c r="G3102" i="15"/>
  <c r="E3103" i="15"/>
  <c r="F3103" i="15"/>
  <c r="G3103" i="15"/>
  <c r="E3104" i="15"/>
  <c r="F3104" i="15"/>
  <c r="G3104" i="15"/>
  <c r="E3105" i="15"/>
  <c r="F3105" i="15"/>
  <c r="G3105" i="15"/>
  <c r="E3106" i="15"/>
  <c r="F3106" i="15"/>
  <c r="G3106" i="15"/>
  <c r="E3107" i="15"/>
  <c r="F3107" i="15"/>
  <c r="G3107" i="15"/>
  <c r="E3108" i="15"/>
  <c r="F3108" i="15"/>
  <c r="G3108" i="15"/>
  <c r="E3109" i="15"/>
  <c r="F3109" i="15"/>
  <c r="G3109" i="15"/>
  <c r="E3110" i="15"/>
  <c r="F3110" i="15"/>
  <c r="G3110" i="15"/>
  <c r="E3111" i="15"/>
  <c r="F3111" i="15"/>
  <c r="G3111" i="15"/>
  <c r="E3112" i="15"/>
  <c r="F3112" i="15"/>
  <c r="G3112" i="15"/>
  <c r="E3113" i="15"/>
  <c r="F3113" i="15"/>
  <c r="G3113" i="15"/>
  <c r="E3114" i="15"/>
  <c r="F3114" i="15"/>
  <c r="G3114" i="15"/>
  <c r="E3115" i="15"/>
  <c r="F3115" i="15"/>
  <c r="G3115" i="15"/>
  <c r="E3116" i="15"/>
  <c r="F3116" i="15"/>
  <c r="G3116" i="15"/>
  <c r="E3117" i="15"/>
  <c r="F3117" i="15"/>
  <c r="G3117" i="15"/>
  <c r="E3118" i="15"/>
  <c r="F3118" i="15"/>
  <c r="G3118" i="15"/>
  <c r="E3119" i="15"/>
  <c r="F3119" i="15"/>
  <c r="G3119" i="15"/>
  <c r="E3120" i="15"/>
  <c r="F3120" i="15"/>
  <c r="G3120" i="15"/>
  <c r="E3121" i="15"/>
  <c r="F3121" i="15"/>
  <c r="G3121" i="15"/>
  <c r="E3122" i="15"/>
  <c r="F3122" i="15"/>
  <c r="G3122" i="15"/>
  <c r="E3123" i="15"/>
  <c r="F3123" i="15"/>
  <c r="G3123" i="15"/>
  <c r="E3124" i="15"/>
  <c r="F3124" i="15"/>
  <c r="G3124" i="15"/>
  <c r="E3125" i="15"/>
  <c r="F3125" i="15"/>
  <c r="G3125" i="15"/>
  <c r="E3126" i="15"/>
  <c r="F3126" i="15"/>
  <c r="G3126" i="15"/>
  <c r="E3127" i="15"/>
  <c r="F3127" i="15"/>
  <c r="G3127" i="15"/>
  <c r="E3128" i="15"/>
  <c r="F3128" i="15"/>
  <c r="G3128" i="15"/>
  <c r="E3129" i="15"/>
  <c r="F3129" i="15"/>
  <c r="G3129" i="15"/>
  <c r="E3130" i="15"/>
  <c r="F3130" i="15"/>
  <c r="G3130" i="15"/>
  <c r="E3131" i="15"/>
  <c r="F3131" i="15"/>
  <c r="G3131" i="15"/>
  <c r="E3132" i="15"/>
  <c r="F3132" i="15"/>
  <c r="G3132" i="15"/>
  <c r="E3133" i="15"/>
  <c r="F3133" i="15"/>
  <c r="G3133" i="15"/>
  <c r="E3134" i="15"/>
  <c r="F3134" i="15"/>
  <c r="G3134" i="15"/>
  <c r="E3135" i="15"/>
  <c r="F3135" i="15"/>
  <c r="G3135" i="15"/>
  <c r="E3136" i="15"/>
  <c r="F3136" i="15"/>
  <c r="G3136" i="15"/>
  <c r="E3137" i="15"/>
  <c r="F3137" i="15"/>
  <c r="G3137" i="15"/>
  <c r="E3138" i="15"/>
  <c r="F3138" i="15"/>
  <c r="G3138" i="15"/>
  <c r="E3139" i="15"/>
  <c r="F3139" i="15"/>
  <c r="G3139" i="15"/>
  <c r="E3140" i="15"/>
  <c r="F3140" i="15"/>
  <c r="G3140" i="15"/>
  <c r="E3141" i="15"/>
  <c r="F3141" i="15"/>
  <c r="G3141" i="15"/>
  <c r="E3142" i="15"/>
  <c r="F3142" i="15"/>
  <c r="G3142" i="15"/>
  <c r="E3143" i="15"/>
  <c r="F3143" i="15"/>
  <c r="G3143" i="15"/>
  <c r="E3144" i="15"/>
  <c r="F3144" i="15"/>
  <c r="G3144" i="15"/>
  <c r="E3145" i="15"/>
  <c r="F3145" i="15"/>
  <c r="G3145" i="15"/>
  <c r="E3146" i="15"/>
  <c r="F3146" i="15"/>
  <c r="G3146" i="15"/>
  <c r="E3147" i="15"/>
  <c r="F3147" i="15"/>
  <c r="G3147" i="15"/>
  <c r="E3148" i="15"/>
  <c r="F3148" i="15"/>
  <c r="G3148" i="15"/>
  <c r="E3149" i="15"/>
  <c r="F3149" i="15"/>
  <c r="G3149" i="15"/>
  <c r="E3150" i="15"/>
  <c r="F3150" i="15"/>
  <c r="G3150" i="15"/>
  <c r="E3151" i="15"/>
  <c r="F3151" i="15"/>
  <c r="G3151" i="15"/>
  <c r="E3152" i="15"/>
  <c r="F3152" i="15"/>
  <c r="G3152" i="15"/>
  <c r="E3153" i="15"/>
  <c r="F3153" i="15"/>
  <c r="G3153" i="15"/>
  <c r="E3154" i="15"/>
  <c r="F3154" i="15"/>
  <c r="G3154" i="15"/>
  <c r="E3155" i="15"/>
  <c r="F3155" i="15"/>
  <c r="G3155" i="15"/>
  <c r="E3156" i="15"/>
  <c r="F3156" i="15"/>
  <c r="G3156" i="15"/>
  <c r="E3157" i="15"/>
  <c r="F3157" i="15"/>
  <c r="G3157" i="15"/>
  <c r="E3158" i="15"/>
  <c r="F3158" i="15"/>
  <c r="G3158" i="15"/>
  <c r="E3159" i="15"/>
  <c r="F3159" i="15"/>
  <c r="G3159" i="15"/>
  <c r="E3160" i="15"/>
  <c r="F3160" i="15"/>
  <c r="G3160" i="15"/>
  <c r="E3161" i="15"/>
  <c r="F3161" i="15"/>
  <c r="G3161" i="15"/>
  <c r="E3162" i="15"/>
  <c r="F3162" i="15"/>
  <c r="G3162" i="15"/>
  <c r="E3163" i="15"/>
  <c r="F3163" i="15"/>
  <c r="G3163" i="15"/>
  <c r="E3164" i="15"/>
  <c r="F3164" i="15"/>
  <c r="G3164" i="15"/>
  <c r="E3165" i="15"/>
  <c r="F3165" i="15"/>
  <c r="G3165" i="15"/>
  <c r="E3166" i="15"/>
  <c r="F3166" i="15"/>
  <c r="G3166" i="15"/>
  <c r="E3167" i="15"/>
  <c r="F3167" i="15"/>
  <c r="G3167" i="15"/>
  <c r="E3168" i="15"/>
  <c r="F3168" i="15"/>
  <c r="G3168" i="15"/>
  <c r="E3169" i="15"/>
  <c r="F3169" i="15"/>
  <c r="G3169" i="15"/>
  <c r="E3170" i="15"/>
  <c r="F3170" i="15"/>
  <c r="G3170" i="15"/>
  <c r="E3171" i="15"/>
  <c r="F3171" i="15"/>
  <c r="G3171" i="15"/>
  <c r="E3172" i="15"/>
  <c r="F3172" i="15"/>
  <c r="G3172" i="15"/>
  <c r="E3173" i="15"/>
  <c r="F3173" i="15"/>
  <c r="G3173" i="15"/>
  <c r="E3174" i="15"/>
  <c r="F3174" i="15"/>
  <c r="G3174" i="15"/>
  <c r="E3175" i="15"/>
  <c r="F3175" i="15"/>
  <c r="G3175" i="15"/>
  <c r="E3176" i="15"/>
  <c r="F3176" i="15"/>
  <c r="G3176" i="15"/>
  <c r="E3177" i="15"/>
  <c r="F3177" i="15"/>
  <c r="G3177" i="15"/>
  <c r="E3178" i="15"/>
  <c r="F3178" i="15"/>
  <c r="G3178" i="15"/>
  <c r="E3179" i="15"/>
  <c r="F3179" i="15"/>
  <c r="G3179" i="15"/>
  <c r="E3180" i="15"/>
  <c r="F3180" i="15"/>
  <c r="G3180" i="15"/>
  <c r="E3181" i="15"/>
  <c r="F3181" i="15"/>
  <c r="G3181" i="15"/>
  <c r="E3182" i="15"/>
  <c r="F3182" i="15"/>
  <c r="G3182" i="15"/>
  <c r="E3183" i="15"/>
  <c r="F3183" i="15"/>
  <c r="G3183" i="15"/>
  <c r="E3184" i="15"/>
  <c r="F3184" i="15"/>
  <c r="G3184" i="15"/>
  <c r="E3185" i="15"/>
  <c r="F3185" i="15"/>
  <c r="G3185" i="15"/>
  <c r="E3186" i="15"/>
  <c r="F3186" i="15"/>
  <c r="G3186" i="15"/>
  <c r="E3187" i="15"/>
  <c r="F3187" i="15"/>
  <c r="G3187" i="15"/>
  <c r="E3188" i="15"/>
  <c r="F3188" i="15"/>
  <c r="G3188" i="15"/>
  <c r="E3189" i="15"/>
  <c r="F3189" i="15"/>
  <c r="G3189" i="15"/>
  <c r="E3190" i="15"/>
  <c r="F3190" i="15"/>
  <c r="G3190" i="15"/>
  <c r="E3191" i="15"/>
  <c r="F3191" i="15"/>
  <c r="G3191" i="15"/>
  <c r="E3192" i="15"/>
  <c r="F3192" i="15"/>
  <c r="G3192" i="15"/>
  <c r="E3193" i="15"/>
  <c r="F3193" i="15"/>
  <c r="G3193" i="15"/>
  <c r="E3194" i="15"/>
  <c r="F3194" i="15"/>
  <c r="G3194" i="15"/>
  <c r="E3195" i="15"/>
  <c r="F3195" i="15"/>
  <c r="G3195" i="15"/>
  <c r="E3196" i="15"/>
  <c r="F3196" i="15"/>
  <c r="G3196" i="15"/>
  <c r="E3197" i="15"/>
  <c r="F3197" i="15"/>
  <c r="G3197" i="15"/>
  <c r="E3198" i="15"/>
  <c r="F3198" i="15"/>
  <c r="G3198" i="15"/>
  <c r="E3199" i="15"/>
  <c r="F3199" i="15"/>
  <c r="G3199" i="15"/>
  <c r="E3200" i="15"/>
  <c r="F3200" i="15"/>
  <c r="G3200" i="15"/>
  <c r="E3201" i="15"/>
  <c r="F3201" i="15"/>
  <c r="G3201" i="15"/>
  <c r="E3202" i="15"/>
  <c r="F3202" i="15"/>
  <c r="G3202" i="15"/>
  <c r="E3203" i="15"/>
  <c r="F3203" i="15"/>
  <c r="G3203" i="15"/>
  <c r="E3204" i="15"/>
  <c r="F3204" i="15"/>
  <c r="G3204" i="15"/>
  <c r="E3205" i="15"/>
  <c r="F3205" i="15"/>
  <c r="G3205" i="15"/>
  <c r="E3206" i="15"/>
  <c r="F3206" i="15"/>
  <c r="G3206" i="15"/>
  <c r="E3207" i="15"/>
  <c r="F3207" i="15"/>
  <c r="G3207" i="15"/>
  <c r="E3208" i="15"/>
  <c r="F3208" i="15"/>
  <c r="G3208" i="15"/>
  <c r="E3209" i="15"/>
  <c r="F3209" i="15"/>
  <c r="G3209" i="15"/>
  <c r="E3210" i="15"/>
  <c r="F3210" i="15"/>
  <c r="G3210" i="15"/>
  <c r="E3211" i="15"/>
  <c r="F3211" i="15"/>
  <c r="G3211" i="15"/>
  <c r="E3212" i="15"/>
  <c r="F3212" i="15"/>
  <c r="G3212" i="15"/>
  <c r="E3213" i="15"/>
  <c r="F3213" i="15"/>
  <c r="G3213" i="15"/>
  <c r="E3214" i="15"/>
  <c r="F3214" i="15"/>
  <c r="G3214" i="15"/>
  <c r="E3215" i="15"/>
  <c r="F3215" i="15"/>
  <c r="G3215" i="15"/>
  <c r="E3216" i="15"/>
  <c r="F3216" i="15"/>
  <c r="G3216" i="15"/>
  <c r="E3217" i="15"/>
  <c r="F3217" i="15"/>
  <c r="G3217" i="15"/>
  <c r="E3218" i="15"/>
  <c r="F3218" i="15"/>
  <c r="G3218" i="15"/>
  <c r="E3219" i="15"/>
  <c r="F3219" i="15"/>
  <c r="G3219" i="15"/>
  <c r="E3220" i="15"/>
  <c r="F3220" i="15"/>
  <c r="G3220" i="15"/>
  <c r="E3221" i="15"/>
  <c r="F3221" i="15"/>
  <c r="G3221" i="15"/>
  <c r="E3222" i="15"/>
  <c r="F3222" i="15"/>
  <c r="G3222" i="15"/>
  <c r="E3223" i="15"/>
  <c r="F3223" i="15"/>
  <c r="G3223" i="15"/>
  <c r="E3224" i="15"/>
  <c r="F3224" i="15"/>
  <c r="G3224" i="15"/>
  <c r="E3225" i="15"/>
  <c r="F3225" i="15"/>
  <c r="G3225" i="15"/>
  <c r="E3226" i="15"/>
  <c r="F3226" i="15"/>
  <c r="G3226" i="15"/>
  <c r="E3227" i="15"/>
  <c r="F3227" i="15"/>
  <c r="G3227" i="15"/>
  <c r="E3228" i="15"/>
  <c r="F3228" i="15"/>
  <c r="G3228" i="15"/>
  <c r="E3229" i="15"/>
  <c r="F3229" i="15"/>
  <c r="G3229" i="15"/>
  <c r="E3230" i="15"/>
  <c r="F3230" i="15"/>
  <c r="G3230" i="15"/>
  <c r="E3231" i="15"/>
  <c r="F3231" i="15"/>
  <c r="G3231" i="15"/>
  <c r="E3232" i="15"/>
  <c r="F3232" i="15"/>
  <c r="G3232" i="15"/>
  <c r="E3233" i="15"/>
  <c r="F3233" i="15"/>
  <c r="G3233" i="15"/>
  <c r="E3234" i="15"/>
  <c r="F3234" i="15"/>
  <c r="G3234" i="15"/>
  <c r="E3235" i="15"/>
  <c r="F3235" i="15"/>
  <c r="G3235" i="15"/>
  <c r="E3236" i="15"/>
  <c r="F3236" i="15"/>
  <c r="G3236" i="15"/>
  <c r="E3237" i="15"/>
  <c r="F3237" i="15"/>
  <c r="G3237" i="15"/>
  <c r="E3238" i="15"/>
  <c r="F3238" i="15"/>
  <c r="G3238" i="15"/>
  <c r="E3239" i="15"/>
  <c r="F3239" i="15"/>
  <c r="G3239" i="15"/>
  <c r="E3240" i="15"/>
  <c r="F3240" i="15"/>
  <c r="G3240" i="15"/>
  <c r="E3241" i="15"/>
  <c r="F3241" i="15"/>
  <c r="G3241" i="15"/>
  <c r="E3242" i="15"/>
  <c r="F3242" i="15"/>
  <c r="G3242" i="15"/>
  <c r="E3243" i="15"/>
  <c r="F3243" i="15"/>
  <c r="G3243" i="15"/>
  <c r="E3244" i="15"/>
  <c r="F3244" i="15"/>
  <c r="G3244" i="15"/>
  <c r="E3245" i="15"/>
  <c r="F3245" i="15"/>
  <c r="G3245" i="15"/>
  <c r="E3246" i="15"/>
  <c r="F3246" i="15"/>
  <c r="G3246" i="15"/>
  <c r="E3247" i="15"/>
  <c r="F3247" i="15"/>
  <c r="G3247" i="15"/>
  <c r="E3248" i="15"/>
  <c r="F3248" i="15"/>
  <c r="G3248" i="15"/>
  <c r="E3249" i="15"/>
  <c r="F3249" i="15"/>
  <c r="G3249" i="15"/>
  <c r="E3250" i="15"/>
  <c r="F3250" i="15"/>
  <c r="G3250" i="15"/>
  <c r="E3251" i="15"/>
  <c r="F3251" i="15"/>
  <c r="G3251" i="15"/>
  <c r="E3252" i="15"/>
  <c r="F3252" i="15"/>
  <c r="G3252" i="15"/>
  <c r="E3253" i="15"/>
  <c r="F3253" i="15"/>
  <c r="G3253" i="15"/>
  <c r="E3254" i="15"/>
  <c r="F3254" i="15"/>
  <c r="G3254" i="15"/>
  <c r="E3255" i="15"/>
  <c r="F3255" i="15"/>
  <c r="G3255" i="15"/>
  <c r="E3256" i="15"/>
  <c r="F3256" i="15"/>
  <c r="G3256" i="15"/>
  <c r="E3257" i="15"/>
  <c r="F3257" i="15"/>
  <c r="G3257" i="15"/>
  <c r="E3258" i="15"/>
  <c r="F3258" i="15"/>
  <c r="G3258" i="15"/>
  <c r="E3259" i="15"/>
  <c r="F3259" i="15"/>
  <c r="G3259" i="15"/>
  <c r="E3260" i="15"/>
  <c r="F3260" i="15"/>
  <c r="G3260" i="15"/>
  <c r="E3261" i="15"/>
  <c r="F3261" i="15"/>
  <c r="G3261" i="15"/>
  <c r="E3262" i="15"/>
  <c r="F3262" i="15"/>
  <c r="G3262" i="15"/>
  <c r="E3263" i="15"/>
  <c r="F3263" i="15"/>
  <c r="G3263" i="15"/>
  <c r="E3264" i="15"/>
  <c r="F3264" i="15"/>
  <c r="G3264" i="15"/>
  <c r="E3265" i="15"/>
  <c r="F3265" i="15"/>
  <c r="G3265" i="15"/>
  <c r="E3266" i="15"/>
  <c r="F3266" i="15"/>
  <c r="G3266" i="15"/>
  <c r="E3267" i="15"/>
  <c r="F3267" i="15"/>
  <c r="G3267" i="15"/>
  <c r="E3268" i="15"/>
  <c r="F3268" i="15"/>
  <c r="G3268" i="15"/>
  <c r="E3269" i="15"/>
  <c r="F3269" i="15"/>
  <c r="G3269" i="15"/>
  <c r="E3270" i="15"/>
  <c r="F3270" i="15"/>
  <c r="G3270" i="15"/>
  <c r="E3271" i="15"/>
  <c r="F3271" i="15"/>
  <c r="G3271" i="15"/>
  <c r="E3272" i="15"/>
  <c r="F3272" i="15"/>
  <c r="G3272" i="15"/>
  <c r="E3273" i="15"/>
  <c r="F3273" i="15"/>
  <c r="G3273" i="15"/>
  <c r="E3274" i="15"/>
  <c r="F3274" i="15"/>
  <c r="G3274" i="15"/>
  <c r="E3275" i="15"/>
  <c r="F3275" i="15"/>
  <c r="G3275" i="15"/>
  <c r="E3276" i="15"/>
  <c r="F3276" i="15"/>
  <c r="G3276" i="15"/>
  <c r="E3277" i="15"/>
  <c r="F3277" i="15"/>
  <c r="G3277" i="15"/>
  <c r="E3278" i="15"/>
  <c r="F3278" i="15"/>
  <c r="G3278" i="15"/>
  <c r="E3279" i="15"/>
  <c r="F3279" i="15"/>
  <c r="G3279" i="15"/>
  <c r="E3280" i="15"/>
  <c r="F3280" i="15"/>
  <c r="G3280" i="15"/>
  <c r="E3281" i="15"/>
  <c r="F3281" i="15"/>
  <c r="G3281" i="15"/>
  <c r="E3282" i="15"/>
  <c r="F3282" i="15"/>
  <c r="G3282" i="15"/>
  <c r="E3283" i="15"/>
  <c r="F3283" i="15"/>
  <c r="G3283" i="15"/>
  <c r="E3284" i="15"/>
  <c r="F3284" i="15"/>
  <c r="G3284" i="15"/>
  <c r="E3285" i="15"/>
  <c r="F3285" i="15"/>
  <c r="G3285" i="15"/>
  <c r="E3286" i="15"/>
  <c r="F3286" i="15"/>
  <c r="G3286" i="15"/>
  <c r="E3287" i="15"/>
  <c r="F3287" i="15"/>
  <c r="G3287" i="15"/>
  <c r="E3288" i="15"/>
  <c r="F3288" i="15"/>
  <c r="G3288" i="15"/>
  <c r="E3289" i="15"/>
  <c r="F3289" i="15"/>
  <c r="G3289" i="15"/>
  <c r="E3290" i="15"/>
  <c r="F3290" i="15"/>
  <c r="G3290" i="15"/>
  <c r="E3291" i="15"/>
  <c r="F3291" i="15"/>
  <c r="G3291" i="15"/>
  <c r="E3292" i="15"/>
  <c r="F3292" i="15"/>
  <c r="G3292" i="15"/>
  <c r="E3293" i="15"/>
  <c r="F3293" i="15"/>
  <c r="G3293" i="15"/>
  <c r="E3294" i="15"/>
  <c r="F3294" i="15"/>
  <c r="G3294" i="15"/>
  <c r="E3295" i="15"/>
  <c r="F3295" i="15"/>
  <c r="G3295" i="15"/>
  <c r="E3296" i="15"/>
  <c r="F3296" i="15"/>
  <c r="G3296" i="15"/>
  <c r="E3297" i="15"/>
  <c r="F3297" i="15"/>
  <c r="G3297" i="15"/>
  <c r="E3298" i="15"/>
  <c r="F3298" i="15"/>
  <c r="G3298" i="15"/>
  <c r="E3299" i="15"/>
  <c r="F3299" i="15"/>
  <c r="G3299" i="15"/>
  <c r="E3300" i="15"/>
  <c r="F3300" i="15"/>
  <c r="G3300" i="15"/>
  <c r="E3301" i="15"/>
  <c r="F3301" i="15"/>
  <c r="G3301" i="15"/>
  <c r="E3302" i="15"/>
  <c r="F3302" i="15"/>
  <c r="G3302" i="15"/>
  <c r="E3303" i="15"/>
  <c r="F3303" i="15"/>
  <c r="G3303" i="15"/>
  <c r="E3304" i="15"/>
  <c r="F3304" i="15"/>
  <c r="G3304" i="15"/>
  <c r="E3305" i="15"/>
  <c r="F3305" i="15"/>
  <c r="G3305" i="15"/>
  <c r="E3306" i="15"/>
  <c r="F3306" i="15"/>
  <c r="G3306" i="15"/>
  <c r="E3307" i="15"/>
  <c r="F3307" i="15"/>
  <c r="G3307" i="15"/>
  <c r="E3308" i="15"/>
  <c r="F3308" i="15"/>
  <c r="G3308" i="15"/>
  <c r="E3309" i="15"/>
  <c r="F3309" i="15"/>
  <c r="G3309" i="15"/>
  <c r="E3310" i="15"/>
  <c r="F3310" i="15"/>
  <c r="G3310" i="15"/>
  <c r="E3311" i="15"/>
  <c r="F3311" i="15"/>
  <c r="G3311" i="15"/>
  <c r="E3312" i="15"/>
  <c r="F3312" i="15"/>
  <c r="G3312" i="15"/>
  <c r="E3313" i="15"/>
  <c r="F3313" i="15"/>
  <c r="G3313" i="15"/>
  <c r="E3314" i="15"/>
  <c r="F3314" i="15"/>
  <c r="G3314" i="15"/>
  <c r="E3315" i="15"/>
  <c r="F3315" i="15"/>
  <c r="G3315" i="15"/>
  <c r="E3316" i="15"/>
  <c r="F3316" i="15"/>
  <c r="G3316" i="15"/>
  <c r="E3317" i="15"/>
  <c r="F3317" i="15"/>
  <c r="G3317" i="15"/>
  <c r="E3318" i="15"/>
  <c r="F3318" i="15"/>
  <c r="G3318" i="15"/>
  <c r="E3319" i="15"/>
  <c r="F3319" i="15"/>
  <c r="G3319" i="15"/>
  <c r="E3320" i="15"/>
  <c r="F3320" i="15"/>
  <c r="G3320" i="15"/>
  <c r="E3321" i="15"/>
  <c r="F3321" i="15"/>
  <c r="G3321" i="15"/>
  <c r="E3322" i="15"/>
  <c r="F3322" i="15"/>
  <c r="G3322" i="15"/>
  <c r="E3323" i="15"/>
  <c r="F3323" i="15"/>
  <c r="G3323" i="15"/>
  <c r="E3324" i="15"/>
  <c r="F3324" i="15"/>
  <c r="G3324" i="15"/>
  <c r="E3325" i="15"/>
  <c r="F3325" i="15"/>
  <c r="G3325" i="15"/>
  <c r="E3326" i="15"/>
  <c r="F3326" i="15"/>
  <c r="G3326" i="15"/>
  <c r="E3327" i="15"/>
  <c r="F3327" i="15"/>
  <c r="G3327" i="15"/>
  <c r="E3328" i="15"/>
  <c r="F3328" i="15"/>
  <c r="G3328" i="15"/>
  <c r="E3329" i="15"/>
  <c r="F3329" i="15"/>
  <c r="G3329" i="15"/>
  <c r="E3330" i="15"/>
  <c r="F3330" i="15"/>
  <c r="G3330" i="15"/>
  <c r="E3331" i="15"/>
  <c r="F3331" i="15"/>
  <c r="G3331" i="15"/>
  <c r="E3332" i="15"/>
  <c r="F3332" i="15"/>
  <c r="G3332" i="15"/>
  <c r="E3333" i="15"/>
  <c r="F3333" i="15"/>
  <c r="G3333" i="15"/>
  <c r="E3334" i="15"/>
  <c r="F3334" i="15"/>
  <c r="G3334" i="15"/>
  <c r="E3335" i="15"/>
  <c r="F3335" i="15"/>
  <c r="G3335" i="15"/>
  <c r="E3336" i="15"/>
  <c r="F3336" i="15"/>
  <c r="G3336" i="15"/>
  <c r="E3337" i="15"/>
  <c r="F3337" i="15"/>
  <c r="G3337" i="15"/>
  <c r="E3338" i="15"/>
  <c r="F3338" i="15"/>
  <c r="G3338" i="15"/>
  <c r="E3339" i="15"/>
  <c r="F3339" i="15"/>
  <c r="G3339" i="15"/>
  <c r="E3340" i="15"/>
  <c r="F3340" i="15"/>
  <c r="G3340" i="15"/>
  <c r="E3341" i="15"/>
  <c r="F3341" i="15"/>
  <c r="G3341" i="15"/>
  <c r="E3342" i="15"/>
  <c r="F3342" i="15"/>
  <c r="G3342" i="15"/>
  <c r="E3343" i="15"/>
  <c r="F3343" i="15"/>
  <c r="G3343" i="15"/>
  <c r="E3344" i="15"/>
  <c r="F3344" i="15"/>
  <c r="G3344" i="15"/>
  <c r="E3345" i="15"/>
  <c r="F3345" i="15"/>
  <c r="G3345" i="15"/>
  <c r="E3346" i="15"/>
  <c r="F3346" i="15"/>
  <c r="G3346" i="15"/>
  <c r="E3347" i="15"/>
  <c r="F3347" i="15"/>
  <c r="G3347" i="15"/>
  <c r="E3348" i="15"/>
  <c r="F3348" i="15"/>
  <c r="G3348" i="15"/>
  <c r="E3349" i="15"/>
  <c r="F3349" i="15"/>
  <c r="G3349" i="15"/>
  <c r="E3350" i="15"/>
  <c r="F3350" i="15"/>
  <c r="G3350" i="15"/>
  <c r="E3351" i="15"/>
  <c r="F3351" i="15"/>
  <c r="G3351" i="15"/>
  <c r="E3352" i="15"/>
  <c r="F3352" i="15"/>
  <c r="G3352" i="15"/>
  <c r="E3353" i="15"/>
  <c r="F3353" i="15"/>
  <c r="G3353" i="15"/>
  <c r="E3354" i="15"/>
  <c r="F3354" i="15"/>
  <c r="G3354" i="15"/>
  <c r="E3355" i="15"/>
  <c r="F3355" i="15"/>
  <c r="G3355" i="15"/>
  <c r="E3356" i="15"/>
  <c r="F3356" i="15"/>
  <c r="G3356" i="15"/>
  <c r="E3357" i="15"/>
  <c r="F3357" i="15"/>
  <c r="G3357" i="15"/>
  <c r="E3358" i="15"/>
  <c r="F3358" i="15"/>
  <c r="G3358" i="15"/>
  <c r="E3359" i="15"/>
  <c r="F3359" i="15"/>
  <c r="G3359" i="15"/>
  <c r="E3360" i="15"/>
  <c r="F3360" i="15"/>
  <c r="G3360" i="15"/>
  <c r="E3361" i="15"/>
  <c r="F3361" i="15"/>
  <c r="G3361" i="15"/>
  <c r="E3362" i="15"/>
  <c r="F3362" i="15"/>
  <c r="G3362" i="15"/>
  <c r="E3363" i="15"/>
  <c r="F3363" i="15"/>
  <c r="G3363" i="15"/>
  <c r="E3364" i="15"/>
  <c r="F3364" i="15"/>
  <c r="G3364" i="15"/>
  <c r="E3365" i="15"/>
  <c r="F3365" i="15"/>
  <c r="G3365" i="15"/>
  <c r="E3366" i="15"/>
  <c r="F3366" i="15"/>
  <c r="G3366" i="15"/>
  <c r="E3367" i="15"/>
  <c r="F3367" i="15"/>
  <c r="G3367" i="15"/>
  <c r="E3368" i="15"/>
  <c r="F3368" i="15"/>
  <c r="G3368" i="15"/>
  <c r="E3369" i="15"/>
  <c r="F3369" i="15"/>
  <c r="G3369" i="15"/>
  <c r="E3370" i="15"/>
  <c r="F3370" i="15"/>
  <c r="G3370" i="15"/>
  <c r="E3371" i="15"/>
  <c r="F3371" i="15"/>
  <c r="G3371" i="15"/>
  <c r="E3372" i="15"/>
  <c r="F3372" i="15"/>
  <c r="G3372" i="15"/>
  <c r="E3373" i="15"/>
  <c r="F3373" i="15"/>
  <c r="G3373" i="15"/>
  <c r="E3374" i="15"/>
  <c r="F3374" i="15"/>
  <c r="G3374" i="15"/>
  <c r="E3375" i="15"/>
  <c r="F3375" i="15"/>
  <c r="G3375" i="15"/>
  <c r="E3376" i="15"/>
  <c r="F3376" i="15"/>
  <c r="G3376" i="15"/>
  <c r="E3377" i="15"/>
  <c r="F3377" i="15"/>
  <c r="G3377" i="15"/>
  <c r="E3378" i="15"/>
  <c r="F3378" i="15"/>
  <c r="G3378" i="15"/>
  <c r="E3379" i="15"/>
  <c r="F3379" i="15"/>
  <c r="G3379" i="15"/>
  <c r="E3380" i="15"/>
  <c r="F3380" i="15"/>
  <c r="G3380" i="15"/>
  <c r="E3381" i="15"/>
  <c r="F3381" i="15"/>
  <c r="G3381" i="15"/>
  <c r="E3382" i="15"/>
  <c r="F3382" i="15"/>
  <c r="G3382" i="15"/>
  <c r="E3383" i="15"/>
  <c r="F3383" i="15"/>
  <c r="G3383" i="15"/>
  <c r="E3384" i="15"/>
  <c r="F3384" i="15"/>
  <c r="G3384" i="15"/>
  <c r="E3385" i="15"/>
  <c r="F3385" i="15"/>
  <c r="G3385" i="15"/>
  <c r="E3386" i="15"/>
  <c r="F3386" i="15"/>
  <c r="G3386" i="15"/>
  <c r="E3387" i="15"/>
  <c r="F3387" i="15"/>
  <c r="G3387" i="15"/>
  <c r="E3388" i="15"/>
  <c r="F3388" i="15"/>
  <c r="G3388" i="15"/>
  <c r="E3389" i="15"/>
  <c r="F3389" i="15"/>
  <c r="G3389" i="15"/>
  <c r="E3390" i="15"/>
  <c r="F3390" i="15"/>
  <c r="G3390" i="15"/>
  <c r="E3391" i="15"/>
  <c r="F3391" i="15"/>
  <c r="G3391" i="15"/>
  <c r="E3392" i="15"/>
  <c r="F3392" i="15"/>
  <c r="G3392" i="15"/>
  <c r="E3393" i="15"/>
  <c r="F3393" i="15"/>
  <c r="G3393" i="15"/>
  <c r="E3394" i="15"/>
  <c r="F3394" i="15"/>
  <c r="G3394" i="15"/>
  <c r="E3395" i="15"/>
  <c r="F3395" i="15"/>
  <c r="G3395" i="15"/>
  <c r="E3396" i="15"/>
  <c r="F3396" i="15"/>
  <c r="G3396" i="15"/>
  <c r="E3397" i="15"/>
  <c r="F3397" i="15"/>
  <c r="G3397" i="15"/>
  <c r="E3398" i="15"/>
  <c r="F3398" i="15"/>
  <c r="G3398" i="15"/>
  <c r="E3399" i="15"/>
  <c r="F3399" i="15"/>
  <c r="G3399" i="15"/>
  <c r="E3400" i="15"/>
  <c r="F3400" i="15"/>
  <c r="G3400" i="15"/>
  <c r="E3401" i="15"/>
  <c r="F3401" i="15"/>
  <c r="G3401" i="15"/>
  <c r="E3402" i="15"/>
  <c r="F3402" i="15"/>
  <c r="G3402" i="15"/>
  <c r="E3403" i="15"/>
  <c r="F3403" i="15"/>
  <c r="G3403" i="15"/>
  <c r="E3404" i="15"/>
  <c r="F3404" i="15"/>
  <c r="G3404" i="15"/>
  <c r="E3405" i="15"/>
  <c r="F3405" i="15"/>
  <c r="G3405" i="15"/>
  <c r="E3406" i="15"/>
  <c r="F3406" i="15"/>
  <c r="G3406" i="15"/>
  <c r="E3407" i="15"/>
  <c r="F3407" i="15"/>
  <c r="G3407" i="15"/>
  <c r="E3408" i="15"/>
  <c r="F3408" i="15"/>
  <c r="G3408" i="15"/>
  <c r="E3409" i="15"/>
  <c r="F3409" i="15"/>
  <c r="G3409" i="15"/>
  <c r="E3410" i="15"/>
  <c r="F3410" i="15"/>
  <c r="G3410" i="15"/>
  <c r="E3411" i="15"/>
  <c r="F3411" i="15"/>
  <c r="G3411" i="15"/>
  <c r="E3412" i="15"/>
  <c r="F3412" i="15"/>
  <c r="G3412" i="15"/>
  <c r="E3413" i="15"/>
  <c r="F3413" i="15"/>
  <c r="G3413" i="15"/>
  <c r="E3414" i="15"/>
  <c r="F3414" i="15"/>
  <c r="G3414" i="15"/>
  <c r="E3415" i="15"/>
  <c r="F3415" i="15"/>
  <c r="G3415" i="15"/>
  <c r="E3416" i="15"/>
  <c r="F3416" i="15"/>
  <c r="G3416" i="15"/>
  <c r="E3417" i="15"/>
  <c r="F3417" i="15"/>
  <c r="G3417" i="15"/>
  <c r="E3418" i="15"/>
  <c r="F3418" i="15"/>
  <c r="G3418" i="15"/>
  <c r="E3419" i="15"/>
  <c r="F3419" i="15"/>
  <c r="G3419" i="15"/>
  <c r="E3420" i="15"/>
  <c r="F3420" i="15"/>
  <c r="G3420" i="15"/>
  <c r="E3421" i="15"/>
  <c r="F3421" i="15"/>
  <c r="G3421" i="15"/>
  <c r="E3422" i="15"/>
  <c r="F3422" i="15"/>
  <c r="G3422" i="15"/>
  <c r="E3423" i="15"/>
  <c r="F3423" i="15"/>
  <c r="G3423" i="15"/>
  <c r="E3424" i="15"/>
  <c r="F3424" i="15"/>
  <c r="G3424" i="15"/>
  <c r="E3425" i="15"/>
  <c r="F3425" i="15"/>
  <c r="G3425" i="15"/>
  <c r="E3426" i="15"/>
  <c r="F3426" i="15"/>
  <c r="G3426" i="15"/>
  <c r="E3427" i="15"/>
  <c r="F3427" i="15"/>
  <c r="G3427" i="15"/>
  <c r="E3428" i="15"/>
  <c r="F3428" i="15"/>
  <c r="G3428" i="15"/>
  <c r="E3429" i="15"/>
  <c r="F3429" i="15"/>
  <c r="G3429" i="15"/>
  <c r="E3430" i="15"/>
  <c r="F3430" i="15"/>
  <c r="G3430" i="15"/>
  <c r="E3431" i="15"/>
  <c r="F3431" i="15"/>
  <c r="G3431" i="15"/>
  <c r="E3432" i="15"/>
  <c r="F3432" i="15"/>
  <c r="G3432" i="15"/>
  <c r="E3433" i="15"/>
  <c r="F3433" i="15"/>
  <c r="G3433" i="15"/>
  <c r="E3434" i="15"/>
  <c r="F3434" i="15"/>
  <c r="G3434" i="15"/>
  <c r="E3435" i="15"/>
  <c r="F3435" i="15"/>
  <c r="G3435" i="15"/>
  <c r="E3436" i="15"/>
  <c r="F3436" i="15"/>
  <c r="G3436" i="15"/>
  <c r="E3437" i="15"/>
  <c r="F3437" i="15"/>
  <c r="G3437" i="15"/>
  <c r="E3438" i="15"/>
  <c r="F3438" i="15"/>
  <c r="G3438" i="15"/>
  <c r="E3439" i="15"/>
  <c r="F3439" i="15"/>
  <c r="G3439" i="15"/>
  <c r="E3440" i="15"/>
  <c r="F3440" i="15"/>
  <c r="G3440" i="15"/>
  <c r="E3441" i="15"/>
  <c r="F3441" i="15"/>
  <c r="G3441" i="15"/>
  <c r="E3442" i="15"/>
  <c r="F3442" i="15"/>
  <c r="G3442" i="15"/>
  <c r="E3443" i="15"/>
  <c r="F3443" i="15"/>
  <c r="G3443" i="15"/>
  <c r="E3444" i="15"/>
  <c r="F3444" i="15"/>
  <c r="G3444" i="15"/>
  <c r="E3445" i="15"/>
  <c r="F3445" i="15"/>
  <c r="G3445" i="15"/>
  <c r="E3446" i="15"/>
  <c r="F3446" i="15"/>
  <c r="G3446" i="15"/>
  <c r="E3447" i="15"/>
  <c r="F3447" i="15"/>
  <c r="G3447" i="15"/>
  <c r="E3448" i="15"/>
  <c r="F3448" i="15"/>
  <c r="G3448" i="15"/>
  <c r="E3449" i="15"/>
  <c r="F3449" i="15"/>
  <c r="G3449" i="15"/>
  <c r="E3450" i="15"/>
  <c r="F3450" i="15"/>
  <c r="G3450" i="15"/>
  <c r="E3451" i="15"/>
  <c r="F3451" i="15"/>
  <c r="G3451" i="15"/>
  <c r="E3452" i="15"/>
  <c r="F3452" i="15"/>
  <c r="G3452" i="15"/>
  <c r="E3453" i="15"/>
  <c r="F3453" i="15"/>
  <c r="G3453" i="15"/>
  <c r="E3454" i="15"/>
  <c r="F3454" i="15"/>
  <c r="G3454" i="15"/>
  <c r="E3455" i="15"/>
  <c r="F3455" i="15"/>
  <c r="G3455" i="15"/>
  <c r="E3456" i="15"/>
  <c r="F3456" i="15"/>
  <c r="G3456" i="15"/>
  <c r="E3457" i="15"/>
  <c r="F3457" i="15"/>
  <c r="G3457" i="15"/>
  <c r="E3458" i="15"/>
  <c r="F3458" i="15"/>
  <c r="G3458" i="15"/>
  <c r="E3459" i="15"/>
  <c r="F3459" i="15"/>
  <c r="G3459" i="15"/>
  <c r="E3460" i="15"/>
  <c r="F3460" i="15"/>
  <c r="G3460" i="15"/>
  <c r="E3461" i="15"/>
  <c r="F3461" i="15"/>
  <c r="G3461" i="15"/>
  <c r="E3462" i="15"/>
  <c r="F3462" i="15"/>
  <c r="G3462" i="15"/>
  <c r="E3463" i="15"/>
  <c r="F3463" i="15"/>
  <c r="G3463" i="15"/>
  <c r="E3464" i="15"/>
  <c r="F3464" i="15"/>
  <c r="G3464" i="15"/>
  <c r="E3465" i="15"/>
  <c r="F3465" i="15"/>
  <c r="G3465" i="15"/>
  <c r="E3466" i="15"/>
  <c r="F3466" i="15"/>
  <c r="G3466" i="15"/>
  <c r="E3467" i="15"/>
  <c r="F3467" i="15"/>
  <c r="G3467" i="15"/>
  <c r="E3468" i="15"/>
  <c r="F3468" i="15"/>
  <c r="G3468" i="15"/>
  <c r="E3469" i="15"/>
  <c r="F3469" i="15"/>
  <c r="G3469" i="15"/>
  <c r="E3470" i="15"/>
  <c r="F3470" i="15"/>
  <c r="G3470" i="15"/>
  <c r="E3471" i="15"/>
  <c r="F3471" i="15"/>
  <c r="G3471" i="15"/>
  <c r="E3472" i="15"/>
  <c r="F3472" i="15"/>
  <c r="G3472" i="15"/>
  <c r="E3473" i="15"/>
  <c r="F3473" i="15"/>
  <c r="G3473" i="15"/>
  <c r="E3474" i="15"/>
  <c r="F3474" i="15"/>
  <c r="G3474" i="15"/>
  <c r="E3475" i="15"/>
  <c r="F3475" i="15"/>
  <c r="G3475" i="15"/>
  <c r="E3476" i="15"/>
  <c r="F3476" i="15"/>
  <c r="G3476" i="15"/>
  <c r="E3477" i="15"/>
  <c r="F3477" i="15"/>
  <c r="G3477" i="15"/>
  <c r="E3478" i="15"/>
  <c r="F3478" i="15"/>
  <c r="G3478" i="15"/>
  <c r="E3479" i="15"/>
  <c r="F3479" i="15"/>
  <c r="G3479" i="15"/>
  <c r="E3480" i="15"/>
  <c r="F3480" i="15"/>
  <c r="G3480" i="15"/>
  <c r="E3481" i="15"/>
  <c r="F3481" i="15"/>
  <c r="G3481" i="15"/>
  <c r="E3482" i="15"/>
  <c r="F3482" i="15"/>
  <c r="G3482" i="15"/>
  <c r="E3483" i="15"/>
  <c r="F3483" i="15"/>
  <c r="G3483" i="15"/>
  <c r="E3484" i="15"/>
  <c r="F3484" i="15"/>
  <c r="G3484" i="15"/>
  <c r="E3485" i="15"/>
  <c r="F3485" i="15"/>
  <c r="G3485" i="15"/>
  <c r="E3486" i="15"/>
  <c r="F3486" i="15"/>
  <c r="G3486" i="15"/>
  <c r="E3487" i="15"/>
  <c r="F3487" i="15"/>
  <c r="G3487" i="15"/>
  <c r="E3488" i="15"/>
  <c r="F3488" i="15"/>
  <c r="G3488" i="15"/>
  <c r="E3489" i="15"/>
  <c r="F3489" i="15"/>
  <c r="G3489" i="15"/>
  <c r="E3490" i="15"/>
  <c r="F3490" i="15"/>
  <c r="G3490" i="15"/>
  <c r="E3491" i="15"/>
  <c r="F3491" i="15"/>
  <c r="G3491" i="15"/>
  <c r="E3492" i="15"/>
  <c r="F3492" i="15"/>
  <c r="G3492" i="15"/>
  <c r="E3493" i="15"/>
  <c r="F3493" i="15"/>
  <c r="G3493" i="15"/>
  <c r="E3494" i="15"/>
  <c r="F3494" i="15"/>
  <c r="G3494" i="15"/>
  <c r="E3495" i="15"/>
  <c r="F3495" i="15"/>
  <c r="G3495" i="15"/>
  <c r="E3496" i="15"/>
  <c r="F3496" i="15"/>
  <c r="G3496" i="15"/>
  <c r="E3497" i="15"/>
  <c r="F3497" i="15"/>
  <c r="G3497" i="15"/>
  <c r="E3498" i="15"/>
  <c r="F3498" i="15"/>
  <c r="G3498" i="15"/>
  <c r="E3499" i="15"/>
  <c r="F3499" i="15"/>
  <c r="G3499" i="15"/>
  <c r="E3500" i="15"/>
  <c r="F3500" i="15"/>
  <c r="G3500" i="15"/>
  <c r="E3501" i="15"/>
  <c r="F3501" i="15"/>
  <c r="G3501" i="15"/>
  <c r="E3502" i="15"/>
  <c r="F3502" i="15"/>
  <c r="G3502" i="15"/>
  <c r="E3503" i="15"/>
  <c r="F3503" i="15"/>
  <c r="G3503" i="15"/>
  <c r="E3504" i="15"/>
  <c r="F3504" i="15"/>
  <c r="G3504" i="15"/>
  <c r="E3505" i="15"/>
  <c r="F3505" i="15"/>
  <c r="G3505" i="15"/>
  <c r="E3506" i="15"/>
  <c r="F3506" i="15"/>
  <c r="G3506" i="15"/>
  <c r="E3507" i="15"/>
  <c r="F3507" i="15"/>
  <c r="G3507" i="15"/>
  <c r="E3508" i="15"/>
  <c r="F3508" i="15"/>
  <c r="G3508" i="15"/>
  <c r="E3509" i="15"/>
  <c r="F3509" i="15"/>
  <c r="G3509" i="15"/>
  <c r="E3510" i="15"/>
  <c r="F3510" i="15"/>
  <c r="G3510" i="15"/>
  <c r="E3511" i="15"/>
  <c r="F3511" i="15"/>
  <c r="G3511" i="15"/>
  <c r="E3512" i="15"/>
  <c r="F3512" i="15"/>
  <c r="G3512" i="15"/>
  <c r="E3513" i="15"/>
  <c r="F3513" i="15"/>
  <c r="G3513" i="15"/>
  <c r="E3514" i="15"/>
  <c r="F3514" i="15"/>
  <c r="G3514" i="15"/>
  <c r="E3515" i="15"/>
  <c r="F3515" i="15"/>
  <c r="G3515" i="15"/>
  <c r="E3516" i="15"/>
  <c r="F3516" i="15"/>
  <c r="G3516" i="15"/>
  <c r="E3517" i="15"/>
  <c r="F3517" i="15"/>
  <c r="G3517" i="15"/>
  <c r="E3518" i="15"/>
  <c r="F3518" i="15"/>
  <c r="G3518" i="15"/>
  <c r="E3519" i="15"/>
  <c r="F3519" i="15"/>
  <c r="G3519" i="15"/>
  <c r="E3520" i="15"/>
  <c r="F3520" i="15"/>
  <c r="G3520" i="15"/>
  <c r="E3521" i="15"/>
  <c r="F3521" i="15"/>
  <c r="G3521" i="15"/>
  <c r="E3522" i="15"/>
  <c r="F3522" i="15"/>
  <c r="G3522" i="15"/>
  <c r="E3523" i="15"/>
  <c r="F3523" i="15"/>
  <c r="G3523" i="15"/>
  <c r="E3524" i="15"/>
  <c r="F3524" i="15"/>
  <c r="G3524" i="15"/>
  <c r="E3525" i="15"/>
  <c r="F3525" i="15"/>
  <c r="G3525" i="15"/>
  <c r="E3526" i="15"/>
  <c r="F3526" i="15"/>
  <c r="G3526" i="15"/>
  <c r="E3527" i="15"/>
  <c r="F3527" i="15"/>
  <c r="G3527" i="15"/>
  <c r="E3528" i="15"/>
  <c r="F3528" i="15"/>
  <c r="G3528" i="15"/>
  <c r="E3529" i="15"/>
  <c r="F3529" i="15"/>
  <c r="G3529" i="15"/>
  <c r="E3530" i="15"/>
  <c r="F3530" i="15"/>
  <c r="G3530" i="15"/>
  <c r="E3531" i="15"/>
  <c r="F3531" i="15"/>
  <c r="G3531" i="15"/>
  <c r="E3532" i="15"/>
  <c r="F3532" i="15"/>
  <c r="G3532" i="15"/>
  <c r="E3533" i="15"/>
  <c r="F3533" i="15"/>
  <c r="G3533" i="15"/>
  <c r="E3534" i="15"/>
  <c r="F3534" i="15"/>
  <c r="G3534" i="15"/>
  <c r="E3535" i="15"/>
  <c r="F3535" i="15"/>
  <c r="G3535" i="15"/>
  <c r="E3536" i="15"/>
  <c r="F3536" i="15"/>
  <c r="G3536" i="15"/>
  <c r="E3537" i="15"/>
  <c r="F3537" i="15"/>
  <c r="G3537" i="15"/>
  <c r="E3538" i="15"/>
  <c r="F3538" i="15"/>
  <c r="G3538" i="15"/>
  <c r="E3539" i="15"/>
  <c r="F3539" i="15"/>
  <c r="G3539" i="15"/>
  <c r="E3540" i="15"/>
  <c r="F3540" i="15"/>
  <c r="G3540" i="15"/>
  <c r="E3541" i="15"/>
  <c r="F3541" i="15"/>
  <c r="G3541" i="15"/>
  <c r="E3542" i="15"/>
  <c r="F3542" i="15"/>
  <c r="G3542" i="15"/>
  <c r="E3543" i="15"/>
  <c r="F3543" i="15"/>
  <c r="G3543" i="15"/>
  <c r="E3544" i="15"/>
  <c r="F3544" i="15"/>
  <c r="G3544" i="15"/>
  <c r="E3545" i="15"/>
  <c r="F3545" i="15"/>
  <c r="G3545" i="15"/>
  <c r="E3546" i="15"/>
  <c r="F3546" i="15"/>
  <c r="G3546" i="15"/>
  <c r="E3547" i="15"/>
  <c r="F3547" i="15"/>
  <c r="G3547" i="15"/>
  <c r="E3548" i="15"/>
  <c r="F3548" i="15"/>
  <c r="G3548" i="15"/>
  <c r="E3549" i="15"/>
  <c r="F3549" i="15"/>
  <c r="G3549" i="15"/>
  <c r="E3550" i="15"/>
  <c r="F3550" i="15"/>
  <c r="G3550" i="15"/>
  <c r="E3551" i="15"/>
  <c r="F3551" i="15"/>
  <c r="G3551" i="15"/>
  <c r="E3552" i="15"/>
  <c r="F3552" i="15"/>
  <c r="G3552" i="15"/>
  <c r="E3553" i="15"/>
  <c r="F3553" i="15"/>
  <c r="G3553" i="15"/>
  <c r="E3554" i="15"/>
  <c r="F3554" i="15"/>
  <c r="G3554" i="15"/>
  <c r="E3555" i="15"/>
  <c r="F3555" i="15"/>
  <c r="G3555" i="15"/>
  <c r="E3556" i="15"/>
  <c r="F3556" i="15"/>
  <c r="G3556" i="15"/>
  <c r="E3557" i="15"/>
  <c r="F3557" i="15"/>
  <c r="G3557" i="15"/>
  <c r="E3558" i="15"/>
  <c r="F3558" i="15"/>
  <c r="G3558" i="15"/>
  <c r="E3559" i="15"/>
  <c r="F3559" i="15"/>
  <c r="G3559" i="15"/>
  <c r="E3560" i="15"/>
  <c r="F3560" i="15"/>
  <c r="G3560" i="15"/>
  <c r="E3561" i="15"/>
  <c r="F3561" i="15"/>
  <c r="G3561" i="15"/>
  <c r="E3562" i="15"/>
  <c r="F3562" i="15"/>
  <c r="G3562" i="15"/>
  <c r="E3563" i="15"/>
  <c r="F3563" i="15"/>
  <c r="G3563" i="15"/>
  <c r="E3564" i="15"/>
  <c r="F3564" i="15"/>
  <c r="G3564" i="15"/>
  <c r="E3565" i="15"/>
  <c r="F3565" i="15"/>
  <c r="G3565" i="15"/>
  <c r="E3566" i="15"/>
  <c r="F3566" i="15"/>
  <c r="G3566" i="15"/>
  <c r="E3567" i="15"/>
  <c r="F3567" i="15"/>
  <c r="G3567" i="15"/>
  <c r="E3568" i="15"/>
  <c r="F3568" i="15"/>
  <c r="G3568" i="15"/>
  <c r="E3569" i="15"/>
  <c r="F3569" i="15"/>
  <c r="G3569" i="15"/>
  <c r="E3570" i="15"/>
  <c r="F3570" i="15"/>
  <c r="G3570" i="15"/>
  <c r="E3571" i="15"/>
  <c r="F3571" i="15"/>
  <c r="G3571" i="15"/>
  <c r="E3572" i="15"/>
  <c r="F3572" i="15"/>
  <c r="G3572" i="15"/>
  <c r="E3573" i="15"/>
  <c r="F3573" i="15"/>
  <c r="G3573" i="15"/>
  <c r="E3574" i="15"/>
  <c r="F3574" i="15"/>
  <c r="G3574" i="15"/>
  <c r="E3575" i="15"/>
  <c r="F3575" i="15"/>
  <c r="G3575" i="15"/>
  <c r="E3576" i="15"/>
  <c r="F3576" i="15"/>
  <c r="G3576" i="15"/>
  <c r="E3577" i="15"/>
  <c r="F3577" i="15"/>
  <c r="G3577" i="15"/>
  <c r="E3578" i="15"/>
  <c r="F3578" i="15"/>
  <c r="G3578" i="15"/>
  <c r="E3579" i="15"/>
  <c r="F3579" i="15"/>
  <c r="G3579" i="15"/>
  <c r="E3580" i="15"/>
  <c r="F3580" i="15"/>
  <c r="G3580" i="15"/>
  <c r="E3581" i="15"/>
  <c r="F3581" i="15"/>
  <c r="G3581" i="15"/>
  <c r="E3582" i="15"/>
  <c r="F3582" i="15"/>
  <c r="G3582" i="15"/>
  <c r="E3583" i="15"/>
  <c r="F3583" i="15"/>
  <c r="G3583" i="15"/>
  <c r="E3584" i="15"/>
  <c r="F3584" i="15"/>
  <c r="G3584" i="15"/>
  <c r="E3585" i="15"/>
  <c r="F3585" i="15"/>
  <c r="G3585" i="15"/>
  <c r="E3586" i="15"/>
  <c r="F3586" i="15"/>
  <c r="G3586" i="15"/>
  <c r="E3587" i="15"/>
  <c r="F3587" i="15"/>
  <c r="G3587" i="15"/>
  <c r="E3588" i="15"/>
  <c r="F3588" i="15"/>
  <c r="G3588" i="15"/>
  <c r="E3589" i="15"/>
  <c r="F3589" i="15"/>
  <c r="G3589" i="15"/>
  <c r="E3590" i="15"/>
  <c r="F3590" i="15"/>
  <c r="G3590" i="15"/>
  <c r="E3591" i="15"/>
  <c r="F3591" i="15"/>
  <c r="G3591" i="15"/>
  <c r="E3592" i="15"/>
  <c r="F3592" i="15"/>
  <c r="G3592" i="15"/>
  <c r="E3593" i="15"/>
  <c r="F3593" i="15"/>
  <c r="G3593" i="15"/>
  <c r="E3594" i="15"/>
  <c r="F3594" i="15"/>
  <c r="G3594" i="15"/>
  <c r="E3595" i="15"/>
  <c r="F3595" i="15"/>
  <c r="G3595" i="15"/>
  <c r="E3596" i="15"/>
  <c r="F3596" i="15"/>
  <c r="G3596" i="15"/>
  <c r="E3597" i="15"/>
  <c r="F3597" i="15"/>
  <c r="G3597" i="15"/>
  <c r="E3598" i="15"/>
  <c r="F3598" i="15"/>
  <c r="G3598" i="15"/>
  <c r="E3599" i="15"/>
  <c r="F3599" i="15"/>
  <c r="G3599" i="15"/>
  <c r="E3600" i="15"/>
  <c r="F3600" i="15"/>
  <c r="G3600" i="15"/>
  <c r="E3601" i="15"/>
  <c r="F3601" i="15"/>
  <c r="G3601" i="15"/>
  <c r="E3602" i="15"/>
  <c r="F3602" i="15"/>
  <c r="G3602" i="15"/>
  <c r="E3603" i="15"/>
  <c r="F3603" i="15"/>
  <c r="G3603" i="15"/>
  <c r="E3604" i="15"/>
  <c r="F3604" i="15"/>
  <c r="G3604" i="15"/>
  <c r="E3605" i="15"/>
  <c r="F3605" i="15"/>
  <c r="G3605" i="15"/>
  <c r="E3606" i="15"/>
  <c r="F3606" i="15"/>
  <c r="G3606" i="15"/>
  <c r="E3607" i="15"/>
  <c r="F3607" i="15"/>
  <c r="G3607" i="15"/>
  <c r="E3608" i="15"/>
  <c r="F3608" i="15"/>
  <c r="G3608" i="15"/>
  <c r="E3609" i="15"/>
  <c r="F3609" i="15"/>
  <c r="G3609" i="15"/>
  <c r="E3610" i="15"/>
  <c r="F3610" i="15"/>
  <c r="G3610" i="15"/>
  <c r="E3611" i="15"/>
  <c r="F3611" i="15"/>
  <c r="G3611" i="15"/>
  <c r="E3612" i="15"/>
  <c r="F3612" i="15"/>
  <c r="G3612" i="15"/>
  <c r="E3613" i="15"/>
  <c r="F3613" i="15"/>
  <c r="G3613" i="15"/>
  <c r="E3614" i="15"/>
  <c r="F3614" i="15"/>
  <c r="G3614" i="15"/>
  <c r="E3615" i="15"/>
  <c r="F3615" i="15"/>
  <c r="G3615" i="15"/>
  <c r="E3616" i="15"/>
  <c r="F3616" i="15"/>
  <c r="G3616" i="15"/>
  <c r="E3617" i="15"/>
  <c r="F3617" i="15"/>
  <c r="G3617" i="15"/>
  <c r="E3618" i="15"/>
  <c r="F3618" i="15"/>
  <c r="G3618" i="15"/>
  <c r="E3619" i="15"/>
  <c r="F3619" i="15"/>
  <c r="G3619" i="15"/>
  <c r="E3620" i="15"/>
  <c r="F3620" i="15"/>
  <c r="G3620" i="15"/>
  <c r="E3621" i="15"/>
  <c r="F3621" i="15"/>
  <c r="G3621" i="15"/>
  <c r="E3622" i="15"/>
  <c r="F3622" i="15"/>
  <c r="G3622" i="15"/>
  <c r="E3623" i="15"/>
  <c r="F3623" i="15"/>
  <c r="G3623" i="15"/>
  <c r="E3624" i="15"/>
  <c r="F3624" i="15"/>
  <c r="G3624" i="15"/>
  <c r="E3625" i="15"/>
  <c r="F3625" i="15"/>
  <c r="G3625" i="15"/>
  <c r="E3626" i="15"/>
  <c r="F3626" i="15"/>
  <c r="G3626" i="15"/>
  <c r="E3627" i="15"/>
  <c r="F3627" i="15"/>
  <c r="G3627" i="15"/>
  <c r="E3628" i="15"/>
  <c r="F3628" i="15"/>
  <c r="G3628" i="15"/>
  <c r="E3629" i="15"/>
  <c r="F3629" i="15"/>
  <c r="G3629" i="15"/>
  <c r="E3630" i="15"/>
  <c r="F3630" i="15"/>
  <c r="G3630" i="15"/>
  <c r="E3631" i="15"/>
  <c r="F3631" i="15"/>
  <c r="G3631" i="15"/>
  <c r="E3632" i="15"/>
  <c r="F3632" i="15"/>
  <c r="G3632" i="15"/>
  <c r="E3633" i="15"/>
  <c r="F3633" i="15"/>
  <c r="G3633" i="15"/>
  <c r="E3634" i="15"/>
  <c r="F3634" i="15"/>
  <c r="G3634" i="15"/>
  <c r="E3635" i="15"/>
  <c r="F3635" i="15"/>
  <c r="G3635" i="15"/>
  <c r="E3636" i="15"/>
  <c r="F3636" i="15"/>
  <c r="G3636" i="15"/>
  <c r="E3637" i="15"/>
  <c r="F3637" i="15"/>
  <c r="G3637" i="15"/>
  <c r="E3638" i="15"/>
  <c r="F3638" i="15"/>
  <c r="G3638" i="15"/>
  <c r="E3639" i="15"/>
  <c r="F3639" i="15"/>
  <c r="G3639" i="15"/>
  <c r="E3640" i="15"/>
  <c r="F3640" i="15"/>
  <c r="G3640" i="15"/>
  <c r="E3641" i="15"/>
  <c r="F3641" i="15"/>
  <c r="G3641" i="15"/>
  <c r="E3642" i="15"/>
  <c r="F3642" i="15"/>
  <c r="G3642" i="15"/>
  <c r="E3643" i="15"/>
  <c r="F3643" i="15"/>
  <c r="G3643" i="15"/>
  <c r="E3644" i="15"/>
  <c r="F3644" i="15"/>
  <c r="G3644" i="15"/>
  <c r="E3645" i="15"/>
  <c r="F3645" i="15"/>
  <c r="G3645" i="15"/>
  <c r="E3646" i="15"/>
  <c r="F3646" i="15"/>
  <c r="G3646" i="15"/>
  <c r="E3647" i="15"/>
  <c r="F3647" i="15"/>
  <c r="G3647" i="15"/>
  <c r="E3648" i="15"/>
  <c r="F3648" i="15"/>
  <c r="G3648" i="15"/>
  <c r="E3649" i="15"/>
  <c r="F3649" i="15"/>
  <c r="G3649" i="15"/>
  <c r="E3650" i="15"/>
  <c r="F3650" i="15"/>
  <c r="G3650" i="15"/>
  <c r="E3651" i="15"/>
  <c r="F3651" i="15"/>
  <c r="G3651" i="15"/>
  <c r="E3652" i="15"/>
  <c r="F3652" i="15"/>
  <c r="G3652" i="15"/>
  <c r="E3653" i="15"/>
  <c r="F3653" i="15"/>
  <c r="G3653" i="15"/>
  <c r="E3654" i="15"/>
  <c r="F3654" i="15"/>
  <c r="G3654" i="15"/>
  <c r="E3655" i="15"/>
  <c r="F3655" i="15"/>
  <c r="G3655" i="15"/>
  <c r="E3656" i="15"/>
  <c r="F3656" i="15"/>
  <c r="G3656" i="15"/>
  <c r="E3657" i="15"/>
  <c r="F3657" i="15"/>
  <c r="G3657" i="15"/>
  <c r="E3658" i="15"/>
  <c r="F3658" i="15"/>
  <c r="G3658" i="15"/>
  <c r="E3659" i="15"/>
  <c r="F3659" i="15"/>
  <c r="G3659" i="15"/>
  <c r="E3660" i="15"/>
  <c r="F3660" i="15"/>
  <c r="G3660" i="15"/>
  <c r="E3661" i="15"/>
  <c r="F3661" i="15"/>
  <c r="G3661" i="15"/>
  <c r="E3662" i="15"/>
  <c r="F3662" i="15"/>
  <c r="G3662" i="15"/>
  <c r="E3663" i="15"/>
  <c r="F3663" i="15"/>
  <c r="G3663" i="15"/>
  <c r="E3664" i="15"/>
  <c r="F3664" i="15"/>
  <c r="G3664" i="15"/>
  <c r="E3665" i="15"/>
  <c r="F3665" i="15"/>
  <c r="G3665" i="15"/>
  <c r="E3666" i="15"/>
  <c r="F3666" i="15"/>
  <c r="G3666" i="15"/>
  <c r="E3667" i="15"/>
  <c r="F3667" i="15"/>
  <c r="G3667" i="15"/>
  <c r="E3668" i="15"/>
  <c r="F3668" i="15"/>
  <c r="G3668" i="15"/>
  <c r="E3669" i="15"/>
  <c r="F3669" i="15"/>
  <c r="G3669" i="15"/>
  <c r="E3670" i="15"/>
  <c r="F3670" i="15"/>
  <c r="G3670" i="15"/>
  <c r="E3671" i="15"/>
  <c r="F3671" i="15"/>
  <c r="G3671" i="15"/>
  <c r="E3672" i="15"/>
  <c r="F3672" i="15"/>
  <c r="G3672" i="15"/>
  <c r="E3673" i="15"/>
  <c r="F3673" i="15"/>
  <c r="G3673" i="15"/>
  <c r="E3674" i="15"/>
  <c r="F3674" i="15"/>
  <c r="G3674" i="15"/>
  <c r="E3675" i="15"/>
  <c r="F3675" i="15"/>
  <c r="G3675" i="15"/>
  <c r="E3676" i="15"/>
  <c r="F3676" i="15"/>
  <c r="G3676" i="15"/>
  <c r="E3677" i="15"/>
  <c r="F3677" i="15"/>
  <c r="G3677" i="15"/>
  <c r="E3678" i="15"/>
  <c r="F3678" i="15"/>
  <c r="G3678" i="15"/>
  <c r="E3679" i="15"/>
  <c r="F3679" i="15"/>
  <c r="G3679" i="15"/>
  <c r="E3680" i="15"/>
  <c r="F3680" i="15"/>
  <c r="G3680" i="15"/>
  <c r="E3681" i="15"/>
  <c r="F3681" i="15"/>
  <c r="G3681" i="15"/>
  <c r="E3682" i="15"/>
  <c r="F3682" i="15"/>
  <c r="G3682" i="15"/>
  <c r="E3683" i="15"/>
  <c r="F3683" i="15"/>
  <c r="G3683" i="15"/>
  <c r="E3684" i="15"/>
  <c r="F3684" i="15"/>
  <c r="G3684" i="15"/>
  <c r="E3685" i="15"/>
  <c r="F3685" i="15"/>
  <c r="G3685" i="15"/>
  <c r="E3686" i="15"/>
  <c r="F3686" i="15"/>
  <c r="G3686" i="15"/>
  <c r="E3687" i="15"/>
  <c r="F3687" i="15"/>
  <c r="G3687" i="15"/>
  <c r="E3688" i="15"/>
  <c r="F3688" i="15"/>
  <c r="G3688" i="15"/>
  <c r="E3689" i="15"/>
  <c r="F3689" i="15"/>
  <c r="G3689" i="15"/>
  <c r="E3690" i="15"/>
  <c r="F3690" i="15"/>
  <c r="G3690" i="15"/>
  <c r="E3691" i="15"/>
  <c r="F3691" i="15"/>
  <c r="G3691" i="15"/>
  <c r="E3692" i="15"/>
  <c r="F3692" i="15"/>
  <c r="G3692" i="15"/>
  <c r="E3693" i="15"/>
  <c r="F3693" i="15"/>
  <c r="G3693" i="15"/>
  <c r="E3694" i="15"/>
  <c r="F3694" i="15"/>
  <c r="G3694" i="15"/>
  <c r="E3695" i="15"/>
  <c r="F3695" i="15"/>
  <c r="G3695" i="15"/>
  <c r="E3696" i="15"/>
  <c r="F3696" i="15"/>
  <c r="G3696" i="15"/>
  <c r="E3697" i="15"/>
  <c r="F3697" i="15"/>
  <c r="G3697" i="15"/>
  <c r="E3698" i="15"/>
  <c r="F3698" i="15"/>
  <c r="G3698" i="15"/>
  <c r="E3699" i="15"/>
  <c r="F3699" i="15"/>
  <c r="G3699" i="15"/>
  <c r="E3700" i="15"/>
  <c r="F3700" i="15"/>
  <c r="G3700" i="15"/>
  <c r="E3701" i="15"/>
  <c r="F3701" i="15"/>
  <c r="G3701" i="15"/>
  <c r="E3702" i="15"/>
  <c r="F3702" i="15"/>
  <c r="G3702" i="15"/>
  <c r="E3703" i="15"/>
  <c r="F3703" i="15"/>
  <c r="G3703" i="15"/>
  <c r="E3704" i="15"/>
  <c r="F3704" i="15"/>
  <c r="G3704" i="15"/>
  <c r="E3705" i="15"/>
  <c r="F3705" i="15"/>
  <c r="G3705" i="15"/>
  <c r="E3706" i="15"/>
  <c r="F3706" i="15"/>
  <c r="G3706" i="15"/>
  <c r="E3707" i="15"/>
  <c r="F3707" i="15"/>
  <c r="G3707" i="15"/>
  <c r="E3708" i="15"/>
  <c r="F3708" i="15"/>
  <c r="G3708" i="15"/>
  <c r="E3709" i="15"/>
  <c r="F3709" i="15"/>
  <c r="G3709" i="15"/>
  <c r="E3710" i="15"/>
  <c r="F3710" i="15"/>
  <c r="G3710" i="15"/>
  <c r="E3711" i="15"/>
  <c r="F3711" i="15"/>
  <c r="G3711" i="15"/>
  <c r="E3712" i="15"/>
  <c r="F3712" i="15"/>
  <c r="G3712" i="15"/>
  <c r="E3713" i="15"/>
  <c r="F3713" i="15"/>
  <c r="G3713" i="15"/>
  <c r="E3714" i="15"/>
  <c r="F3714" i="15"/>
  <c r="G3714" i="15"/>
  <c r="E3715" i="15"/>
  <c r="F3715" i="15"/>
  <c r="G3715" i="15"/>
  <c r="E3716" i="15"/>
  <c r="F3716" i="15"/>
  <c r="G3716" i="15"/>
  <c r="E3717" i="15"/>
  <c r="F3717" i="15"/>
  <c r="G3717" i="15"/>
  <c r="E3718" i="15"/>
  <c r="F3718" i="15"/>
  <c r="G3718" i="15"/>
  <c r="E3719" i="15"/>
  <c r="F3719" i="15"/>
  <c r="G3719" i="15"/>
  <c r="E3720" i="15"/>
  <c r="F3720" i="15"/>
  <c r="G3720" i="15"/>
  <c r="E3721" i="15"/>
  <c r="F3721" i="15"/>
  <c r="G3721" i="15"/>
  <c r="E3722" i="15"/>
  <c r="F3722" i="15"/>
  <c r="G3722" i="15"/>
  <c r="E3723" i="15"/>
  <c r="F3723" i="15"/>
  <c r="G3723" i="15"/>
  <c r="E3724" i="15"/>
  <c r="F3724" i="15"/>
  <c r="G3724" i="15"/>
  <c r="E3725" i="15"/>
  <c r="F3725" i="15"/>
  <c r="G3725" i="15"/>
  <c r="E3726" i="15"/>
  <c r="F3726" i="15"/>
  <c r="G3726" i="15"/>
  <c r="E3727" i="15"/>
  <c r="F3727" i="15"/>
  <c r="G3727" i="15"/>
  <c r="E3728" i="15"/>
  <c r="F3728" i="15"/>
  <c r="G3728" i="15"/>
  <c r="E3729" i="15"/>
  <c r="F3729" i="15"/>
  <c r="G3729" i="15"/>
  <c r="E3730" i="15"/>
  <c r="F3730" i="15"/>
  <c r="G3730" i="15"/>
  <c r="E3731" i="15"/>
  <c r="F3731" i="15"/>
  <c r="G3731" i="15"/>
  <c r="E3732" i="15"/>
  <c r="F3732" i="15"/>
  <c r="G3732" i="15"/>
  <c r="E3733" i="15"/>
  <c r="F3733" i="15"/>
  <c r="G3733" i="15"/>
  <c r="E3734" i="15"/>
  <c r="F3734" i="15"/>
  <c r="G3734" i="15"/>
  <c r="E3735" i="15"/>
  <c r="F3735" i="15"/>
  <c r="G3735" i="15"/>
  <c r="E3736" i="15"/>
  <c r="F3736" i="15"/>
  <c r="G3736" i="15"/>
  <c r="E3737" i="15"/>
  <c r="F3737" i="15"/>
  <c r="G3737" i="15"/>
  <c r="E3738" i="15"/>
  <c r="F3738" i="15"/>
  <c r="G3738" i="15"/>
  <c r="E3739" i="15"/>
  <c r="F3739" i="15"/>
  <c r="G3739" i="15"/>
  <c r="E3740" i="15"/>
  <c r="F3740" i="15"/>
  <c r="G3740" i="15"/>
  <c r="E3741" i="15"/>
  <c r="F3741" i="15"/>
  <c r="G3741" i="15"/>
  <c r="E3742" i="15"/>
  <c r="F3742" i="15"/>
  <c r="G3742" i="15"/>
  <c r="E3743" i="15"/>
  <c r="F3743" i="15"/>
  <c r="G3743" i="15"/>
  <c r="E3744" i="15"/>
  <c r="F3744" i="15"/>
  <c r="G3744" i="15"/>
  <c r="E3745" i="15"/>
  <c r="F3745" i="15"/>
  <c r="G3745" i="15"/>
  <c r="E3746" i="15"/>
  <c r="F3746" i="15"/>
  <c r="G3746" i="15"/>
  <c r="E3747" i="15"/>
  <c r="F3747" i="15"/>
  <c r="G3747" i="15"/>
  <c r="E3748" i="15"/>
  <c r="F3748" i="15"/>
  <c r="G3748" i="15"/>
  <c r="E3749" i="15"/>
  <c r="F3749" i="15"/>
  <c r="G3749" i="15"/>
  <c r="E3750" i="15"/>
  <c r="F3750" i="15"/>
  <c r="G3750" i="15"/>
  <c r="E3751" i="15"/>
  <c r="F3751" i="15"/>
  <c r="G3751" i="15"/>
  <c r="E3752" i="15"/>
  <c r="F3752" i="15"/>
  <c r="G3752" i="15"/>
  <c r="E3753" i="15"/>
  <c r="F3753" i="15"/>
  <c r="G3753" i="15"/>
  <c r="E3754" i="15"/>
  <c r="F3754" i="15"/>
  <c r="G3754" i="15"/>
  <c r="E3755" i="15"/>
  <c r="F3755" i="15"/>
  <c r="G3755" i="15"/>
  <c r="E3756" i="15"/>
  <c r="F3756" i="15"/>
  <c r="G3756" i="15"/>
  <c r="E3757" i="15"/>
  <c r="F3757" i="15"/>
  <c r="G3757" i="15"/>
  <c r="E3758" i="15"/>
  <c r="F3758" i="15"/>
  <c r="G3758" i="15"/>
  <c r="E3759" i="15"/>
  <c r="F3759" i="15"/>
  <c r="G3759" i="15"/>
  <c r="E3760" i="15"/>
  <c r="F3760" i="15"/>
  <c r="G3760" i="15"/>
  <c r="E3761" i="15"/>
  <c r="F3761" i="15"/>
  <c r="G3761" i="15"/>
  <c r="E3762" i="15"/>
  <c r="F3762" i="15"/>
  <c r="G3762" i="15"/>
  <c r="E3763" i="15"/>
  <c r="F3763" i="15"/>
  <c r="G3763" i="15"/>
  <c r="E3764" i="15"/>
  <c r="F3764" i="15"/>
  <c r="G3764" i="15"/>
  <c r="E3765" i="15"/>
  <c r="F3765" i="15"/>
  <c r="G3765" i="15"/>
  <c r="E3766" i="15"/>
  <c r="F3766" i="15"/>
  <c r="G3766" i="15"/>
  <c r="E3767" i="15"/>
  <c r="F3767" i="15"/>
  <c r="G3767" i="15"/>
  <c r="E3768" i="15"/>
  <c r="F3768" i="15"/>
  <c r="G3768" i="15"/>
  <c r="E3769" i="15"/>
  <c r="F3769" i="15"/>
  <c r="G3769" i="15"/>
  <c r="E3770" i="15"/>
  <c r="F3770" i="15"/>
  <c r="G3770" i="15"/>
  <c r="E3771" i="15"/>
  <c r="F3771" i="15"/>
  <c r="G3771" i="15"/>
  <c r="E3772" i="15"/>
  <c r="F3772" i="15"/>
  <c r="G3772" i="15"/>
  <c r="E3773" i="15"/>
  <c r="F3773" i="15"/>
  <c r="G3773" i="15"/>
  <c r="E3774" i="15"/>
  <c r="F3774" i="15"/>
  <c r="G3774" i="15"/>
  <c r="E3775" i="15"/>
  <c r="F3775" i="15"/>
  <c r="G3775" i="15"/>
  <c r="E3776" i="15"/>
  <c r="F3776" i="15"/>
  <c r="G3776" i="15"/>
  <c r="E3777" i="15"/>
  <c r="F3777" i="15"/>
  <c r="G3777" i="15"/>
  <c r="E3778" i="15"/>
  <c r="F3778" i="15"/>
  <c r="G3778" i="15"/>
  <c r="E3779" i="15"/>
  <c r="F3779" i="15"/>
  <c r="G3779" i="15"/>
  <c r="E3780" i="15"/>
  <c r="F3780" i="15"/>
  <c r="G3780" i="15"/>
  <c r="E3781" i="15"/>
  <c r="F3781" i="15"/>
  <c r="G3781" i="15"/>
  <c r="E3782" i="15"/>
  <c r="F3782" i="15"/>
  <c r="G3782" i="15"/>
  <c r="E3783" i="15"/>
  <c r="F3783" i="15"/>
  <c r="G3783" i="15"/>
  <c r="E3784" i="15"/>
  <c r="F3784" i="15"/>
  <c r="G3784" i="15"/>
  <c r="E3785" i="15"/>
  <c r="F3785" i="15"/>
  <c r="G3785" i="15"/>
  <c r="E3786" i="15"/>
  <c r="F3786" i="15"/>
  <c r="G3786" i="15"/>
  <c r="E3787" i="15"/>
  <c r="F3787" i="15"/>
  <c r="G3787" i="15"/>
  <c r="E3788" i="15"/>
  <c r="F3788" i="15"/>
  <c r="G3788" i="15"/>
  <c r="E3789" i="15"/>
  <c r="F3789" i="15"/>
  <c r="G3789" i="15"/>
  <c r="E3790" i="15"/>
  <c r="F3790" i="15"/>
  <c r="G3790" i="15"/>
  <c r="E3791" i="15"/>
  <c r="F3791" i="15"/>
  <c r="G3791" i="15"/>
  <c r="E3792" i="15"/>
  <c r="F3792" i="15"/>
  <c r="G3792" i="15"/>
  <c r="E3793" i="15"/>
  <c r="F3793" i="15"/>
  <c r="G3793" i="15"/>
  <c r="E3794" i="15"/>
  <c r="F3794" i="15"/>
  <c r="G3794" i="15"/>
  <c r="E3795" i="15"/>
  <c r="F3795" i="15"/>
  <c r="G3795" i="15"/>
  <c r="E3796" i="15"/>
  <c r="F3796" i="15"/>
  <c r="G3796" i="15"/>
  <c r="E3797" i="15"/>
  <c r="F3797" i="15"/>
  <c r="G3797" i="15"/>
  <c r="E3798" i="15"/>
  <c r="F3798" i="15"/>
  <c r="G3798" i="15"/>
  <c r="E3799" i="15"/>
  <c r="F3799" i="15"/>
  <c r="G3799" i="15"/>
  <c r="E3800" i="15"/>
  <c r="F3800" i="15"/>
  <c r="G3800" i="15"/>
  <c r="E3801" i="15"/>
  <c r="F3801" i="15"/>
  <c r="G3801" i="15"/>
  <c r="E3802" i="15"/>
  <c r="F3802" i="15"/>
  <c r="G3802" i="15"/>
  <c r="E3803" i="15"/>
  <c r="F3803" i="15"/>
  <c r="G3803" i="15"/>
  <c r="E3804" i="15"/>
  <c r="F3804" i="15"/>
  <c r="G3804" i="15"/>
  <c r="E3805" i="15"/>
  <c r="F3805" i="15"/>
  <c r="G3805" i="15"/>
  <c r="E3806" i="15"/>
  <c r="F3806" i="15"/>
  <c r="G3806" i="15"/>
  <c r="E3807" i="15"/>
  <c r="F3807" i="15"/>
  <c r="G3807" i="15"/>
  <c r="E3808" i="15"/>
  <c r="F3808" i="15"/>
  <c r="G3808" i="15"/>
  <c r="E3809" i="15"/>
  <c r="F3809" i="15"/>
  <c r="G3809" i="15"/>
  <c r="E3810" i="15"/>
  <c r="F3810" i="15"/>
  <c r="G3810" i="15"/>
  <c r="E3811" i="15"/>
  <c r="F3811" i="15"/>
  <c r="G3811" i="15"/>
  <c r="E3812" i="15"/>
  <c r="F3812" i="15"/>
  <c r="G3812" i="15"/>
  <c r="E3813" i="15"/>
  <c r="F3813" i="15"/>
  <c r="G3813" i="15"/>
  <c r="E3814" i="15"/>
  <c r="F3814" i="15"/>
  <c r="G3814" i="15"/>
  <c r="E3815" i="15"/>
  <c r="F3815" i="15"/>
  <c r="G3815" i="15"/>
  <c r="E3816" i="15"/>
  <c r="F3816" i="15"/>
  <c r="G3816" i="15"/>
  <c r="E3817" i="15"/>
  <c r="F3817" i="15"/>
  <c r="G3817" i="15"/>
  <c r="E3818" i="15"/>
  <c r="F3818" i="15"/>
  <c r="G3818" i="15"/>
  <c r="E3819" i="15"/>
  <c r="F3819" i="15"/>
  <c r="G3819" i="15"/>
  <c r="E3820" i="15"/>
  <c r="F3820" i="15"/>
  <c r="G3820" i="15"/>
  <c r="E3821" i="15"/>
  <c r="F3821" i="15"/>
  <c r="G3821" i="15"/>
  <c r="E3822" i="15"/>
  <c r="F3822" i="15"/>
  <c r="G3822" i="15"/>
  <c r="E3823" i="15"/>
  <c r="F3823" i="15"/>
  <c r="G3823" i="15"/>
  <c r="E3824" i="15"/>
  <c r="F3824" i="15"/>
  <c r="G3824" i="15"/>
  <c r="E3825" i="15"/>
  <c r="F3825" i="15"/>
  <c r="G3825" i="15"/>
  <c r="E3826" i="15"/>
  <c r="F3826" i="15"/>
  <c r="G3826" i="15"/>
  <c r="E3827" i="15"/>
  <c r="F3827" i="15"/>
  <c r="G3827" i="15"/>
  <c r="E3828" i="15"/>
  <c r="F3828" i="15"/>
  <c r="G3828" i="15"/>
  <c r="E3829" i="15"/>
  <c r="F3829" i="15"/>
  <c r="G3829" i="15"/>
  <c r="E3830" i="15"/>
  <c r="F3830" i="15"/>
  <c r="G3830" i="15"/>
  <c r="E3831" i="15"/>
  <c r="F3831" i="15"/>
  <c r="G3831" i="15"/>
  <c r="E3832" i="15"/>
  <c r="F3832" i="15"/>
  <c r="G3832" i="15"/>
  <c r="E3833" i="15"/>
  <c r="F3833" i="15"/>
  <c r="G3833" i="15"/>
  <c r="E3834" i="15"/>
  <c r="F3834" i="15"/>
  <c r="G3834" i="15"/>
  <c r="E3835" i="15"/>
  <c r="F3835" i="15"/>
  <c r="G3835" i="15"/>
  <c r="E3836" i="15"/>
  <c r="F3836" i="15"/>
  <c r="G3836" i="15"/>
  <c r="E3837" i="15"/>
  <c r="F3837" i="15"/>
  <c r="G3837" i="15"/>
  <c r="E3838" i="15"/>
  <c r="F3838" i="15"/>
  <c r="G3838" i="15"/>
  <c r="E3839" i="15"/>
  <c r="F3839" i="15"/>
  <c r="G3839" i="15"/>
  <c r="E3840" i="15"/>
  <c r="F3840" i="15"/>
  <c r="G3840" i="15"/>
  <c r="E3841" i="15"/>
  <c r="F3841" i="15"/>
  <c r="G3841" i="15"/>
  <c r="E3842" i="15"/>
  <c r="F3842" i="15"/>
  <c r="G3842" i="15"/>
  <c r="E3843" i="15"/>
  <c r="F3843" i="15"/>
  <c r="G3843" i="15"/>
  <c r="E3844" i="15"/>
  <c r="F3844" i="15"/>
  <c r="G3844" i="15"/>
  <c r="E3845" i="15"/>
  <c r="F3845" i="15"/>
  <c r="G3845" i="15"/>
  <c r="E3846" i="15"/>
  <c r="F3846" i="15"/>
  <c r="G3846" i="15"/>
  <c r="E3847" i="15"/>
  <c r="F3847" i="15"/>
  <c r="G3847" i="15"/>
  <c r="E3848" i="15"/>
  <c r="F3848" i="15"/>
  <c r="G3848" i="15"/>
  <c r="E3849" i="15"/>
  <c r="F3849" i="15"/>
  <c r="G3849" i="15"/>
  <c r="E3850" i="15"/>
  <c r="F3850" i="15"/>
  <c r="G3850" i="15"/>
  <c r="E3851" i="15"/>
  <c r="F3851" i="15"/>
  <c r="G3851" i="15"/>
  <c r="E3852" i="15"/>
  <c r="F3852" i="15"/>
  <c r="G3852" i="15"/>
  <c r="E3853" i="15"/>
  <c r="F3853" i="15"/>
  <c r="G3853" i="15"/>
  <c r="E3854" i="15"/>
  <c r="F3854" i="15"/>
  <c r="G3854" i="15"/>
  <c r="E3855" i="15"/>
  <c r="F3855" i="15"/>
  <c r="G3855" i="15"/>
  <c r="E3856" i="15"/>
  <c r="F3856" i="15"/>
  <c r="G3856" i="15"/>
  <c r="E3857" i="15"/>
  <c r="F3857" i="15"/>
  <c r="G3857" i="15"/>
  <c r="E3858" i="15"/>
  <c r="F3858" i="15"/>
  <c r="G3858" i="15"/>
  <c r="E3859" i="15"/>
  <c r="F3859" i="15"/>
  <c r="G3859" i="15"/>
  <c r="E3860" i="15"/>
  <c r="F3860" i="15"/>
  <c r="G3860" i="15"/>
  <c r="E3861" i="15"/>
  <c r="F3861" i="15"/>
  <c r="G3861" i="15"/>
  <c r="E3862" i="15"/>
  <c r="F3862" i="15"/>
  <c r="G3862" i="15"/>
  <c r="E3863" i="15"/>
  <c r="F3863" i="15"/>
  <c r="G3863" i="15"/>
  <c r="E3864" i="15"/>
  <c r="F3864" i="15"/>
  <c r="G3864" i="15"/>
  <c r="E3865" i="15"/>
  <c r="F3865" i="15"/>
  <c r="G3865" i="15"/>
  <c r="E3866" i="15"/>
  <c r="F3866" i="15"/>
  <c r="G3866" i="15"/>
  <c r="E3867" i="15"/>
  <c r="F3867" i="15"/>
  <c r="G3867" i="15"/>
  <c r="E3868" i="15"/>
  <c r="F3868" i="15"/>
  <c r="G3868" i="15"/>
  <c r="E3869" i="15"/>
  <c r="F3869" i="15"/>
  <c r="G3869" i="15"/>
  <c r="E3870" i="15"/>
  <c r="F3870" i="15"/>
  <c r="G3870" i="15"/>
  <c r="E3871" i="15"/>
  <c r="F3871" i="15"/>
  <c r="G3871" i="15"/>
  <c r="E3872" i="15"/>
  <c r="F3872" i="15"/>
  <c r="G3872" i="15"/>
  <c r="E3873" i="15"/>
  <c r="F3873" i="15"/>
  <c r="G3873" i="15"/>
  <c r="E3874" i="15"/>
  <c r="F3874" i="15"/>
  <c r="G3874" i="15"/>
  <c r="E3875" i="15"/>
  <c r="F3875" i="15"/>
  <c r="G3875" i="15"/>
  <c r="E3876" i="15"/>
  <c r="F3876" i="15"/>
  <c r="G3876" i="15"/>
  <c r="E3877" i="15"/>
  <c r="F3877" i="15"/>
  <c r="G3877" i="15"/>
  <c r="E3878" i="15"/>
  <c r="F3878" i="15"/>
  <c r="G3878" i="15"/>
  <c r="E3879" i="15"/>
  <c r="F3879" i="15"/>
  <c r="G3879" i="15"/>
  <c r="E3880" i="15"/>
  <c r="F3880" i="15"/>
  <c r="G3880" i="15"/>
  <c r="E3881" i="15"/>
  <c r="F3881" i="15"/>
  <c r="G3881" i="15"/>
  <c r="E3882" i="15"/>
  <c r="F3882" i="15"/>
  <c r="G3882" i="15"/>
  <c r="E3883" i="15"/>
  <c r="F3883" i="15"/>
  <c r="G3883" i="15"/>
  <c r="E3884" i="15"/>
  <c r="F3884" i="15"/>
  <c r="G3884" i="15"/>
  <c r="E3885" i="15"/>
  <c r="F3885" i="15"/>
  <c r="G3885" i="15"/>
  <c r="E3886" i="15"/>
  <c r="F3886" i="15"/>
  <c r="G3886" i="15"/>
  <c r="E3887" i="15"/>
  <c r="F3887" i="15"/>
  <c r="G3887" i="15"/>
  <c r="E3888" i="15"/>
  <c r="F3888" i="15"/>
  <c r="G3888" i="15"/>
  <c r="E3889" i="15"/>
  <c r="F3889" i="15"/>
  <c r="G3889" i="15"/>
  <c r="E3890" i="15"/>
  <c r="F3890" i="15"/>
  <c r="G3890" i="15"/>
  <c r="E3891" i="15"/>
  <c r="F3891" i="15"/>
  <c r="G3891" i="15"/>
  <c r="E3892" i="15"/>
  <c r="F3892" i="15"/>
  <c r="G3892" i="15"/>
  <c r="E3893" i="15"/>
  <c r="F3893" i="15"/>
  <c r="G3893" i="15"/>
  <c r="E3894" i="15"/>
  <c r="F3894" i="15"/>
  <c r="G3894" i="15"/>
  <c r="E3895" i="15"/>
  <c r="F3895" i="15"/>
  <c r="G3895" i="15"/>
  <c r="E3896" i="15"/>
  <c r="F3896" i="15"/>
  <c r="G3896" i="15"/>
  <c r="E3897" i="15"/>
  <c r="F3897" i="15"/>
  <c r="G3897" i="15"/>
  <c r="E3898" i="15"/>
  <c r="F3898" i="15"/>
  <c r="G3898" i="15"/>
  <c r="E3899" i="15"/>
  <c r="F3899" i="15"/>
  <c r="G3899" i="15"/>
  <c r="E3900" i="15"/>
  <c r="F3900" i="15"/>
  <c r="G3900" i="15"/>
  <c r="E3901" i="15"/>
  <c r="F3901" i="15"/>
  <c r="G3901" i="15"/>
  <c r="E3902" i="15"/>
  <c r="F3902" i="15"/>
  <c r="G3902" i="15"/>
  <c r="E3903" i="15"/>
  <c r="F3903" i="15"/>
  <c r="G3903" i="15"/>
  <c r="E3904" i="15"/>
  <c r="F3904" i="15"/>
  <c r="G3904" i="15"/>
  <c r="E3905" i="15"/>
  <c r="F3905" i="15"/>
  <c r="G3905" i="15"/>
  <c r="E3906" i="15"/>
  <c r="F3906" i="15"/>
  <c r="G3906" i="15"/>
  <c r="E3907" i="15"/>
  <c r="F3907" i="15"/>
  <c r="G3907" i="15"/>
  <c r="E3908" i="15"/>
  <c r="F3908" i="15"/>
  <c r="G3908" i="15"/>
  <c r="E3909" i="15"/>
  <c r="F3909" i="15"/>
  <c r="G3909" i="15"/>
  <c r="E3910" i="15"/>
  <c r="F3910" i="15"/>
  <c r="G3910" i="15"/>
  <c r="E3911" i="15"/>
  <c r="F3911" i="15"/>
  <c r="G3911" i="15"/>
  <c r="E3912" i="15"/>
  <c r="F3912" i="15"/>
  <c r="G3912" i="15"/>
  <c r="E3913" i="15"/>
  <c r="F3913" i="15"/>
  <c r="G3913" i="15"/>
  <c r="E3914" i="15"/>
  <c r="F3914" i="15"/>
  <c r="G3914" i="15"/>
  <c r="E3915" i="15"/>
  <c r="F3915" i="15"/>
  <c r="G3915" i="15"/>
  <c r="E3916" i="15"/>
  <c r="F3916" i="15"/>
  <c r="G3916" i="15"/>
  <c r="E3917" i="15"/>
  <c r="F3917" i="15"/>
  <c r="G3917" i="15"/>
  <c r="E3918" i="15"/>
  <c r="F3918" i="15"/>
  <c r="G3918" i="15"/>
  <c r="E3919" i="15"/>
  <c r="F3919" i="15"/>
  <c r="G3919" i="15"/>
  <c r="E3920" i="15"/>
  <c r="F3920" i="15"/>
  <c r="G3920" i="15"/>
  <c r="E3921" i="15"/>
  <c r="F3921" i="15"/>
  <c r="G3921" i="15"/>
  <c r="E3922" i="15"/>
  <c r="F3922" i="15"/>
  <c r="G3922" i="15"/>
  <c r="E3923" i="15"/>
  <c r="F3923" i="15"/>
  <c r="G3923" i="15"/>
  <c r="E3924" i="15"/>
  <c r="F3924" i="15"/>
  <c r="G3924" i="15"/>
  <c r="E3925" i="15"/>
  <c r="F3925" i="15"/>
  <c r="G3925" i="15"/>
  <c r="E3926" i="15"/>
  <c r="F3926" i="15"/>
  <c r="G3926" i="15"/>
  <c r="E3927" i="15"/>
  <c r="F3927" i="15"/>
  <c r="G3927" i="15"/>
  <c r="E3928" i="15"/>
  <c r="F3928" i="15"/>
  <c r="G3928" i="15"/>
  <c r="E3929" i="15"/>
  <c r="F3929" i="15"/>
  <c r="G3929" i="15"/>
  <c r="E3930" i="15"/>
  <c r="F3930" i="15"/>
  <c r="G3930" i="15"/>
  <c r="E3931" i="15"/>
  <c r="F3931" i="15"/>
  <c r="G3931" i="15"/>
  <c r="E3932" i="15"/>
  <c r="F3932" i="15"/>
  <c r="G3932" i="15"/>
  <c r="E3933" i="15"/>
  <c r="F3933" i="15"/>
  <c r="G3933" i="15"/>
  <c r="E3934" i="15"/>
  <c r="F3934" i="15"/>
  <c r="G3934" i="15"/>
  <c r="E3935" i="15"/>
  <c r="F3935" i="15"/>
  <c r="G3935" i="15"/>
  <c r="E3936" i="15"/>
  <c r="F3936" i="15"/>
  <c r="G3936" i="15"/>
  <c r="E3937" i="15"/>
  <c r="F3937" i="15"/>
  <c r="G3937" i="15"/>
  <c r="E3938" i="15"/>
  <c r="F3938" i="15"/>
  <c r="G3938" i="15"/>
  <c r="E3939" i="15"/>
  <c r="F3939" i="15"/>
  <c r="G3939" i="15"/>
  <c r="E3940" i="15"/>
  <c r="F3940" i="15"/>
  <c r="G3940" i="15"/>
  <c r="E3941" i="15"/>
  <c r="F3941" i="15"/>
  <c r="G3941" i="15"/>
  <c r="E3942" i="15"/>
  <c r="F3942" i="15"/>
  <c r="G3942" i="15"/>
  <c r="E3943" i="15"/>
  <c r="F3943" i="15"/>
  <c r="G3943" i="15"/>
  <c r="E3944" i="15"/>
  <c r="F3944" i="15"/>
  <c r="G3944" i="15"/>
  <c r="E3945" i="15"/>
  <c r="F3945" i="15"/>
  <c r="G3945" i="15"/>
  <c r="E3946" i="15"/>
  <c r="F3946" i="15"/>
  <c r="G3946" i="15"/>
  <c r="E3947" i="15"/>
  <c r="F3947" i="15"/>
  <c r="G3947" i="15"/>
  <c r="E3948" i="15"/>
  <c r="F3948" i="15"/>
  <c r="G3948" i="15"/>
  <c r="E3949" i="15"/>
  <c r="F3949" i="15"/>
  <c r="G3949" i="15"/>
  <c r="E3950" i="15"/>
  <c r="F3950" i="15"/>
  <c r="G3950" i="15"/>
  <c r="E3951" i="15"/>
  <c r="F3951" i="15"/>
  <c r="G3951" i="15"/>
  <c r="E3952" i="15"/>
  <c r="F3952" i="15"/>
  <c r="G3952" i="15"/>
  <c r="E3953" i="15"/>
  <c r="F3953" i="15"/>
  <c r="G3953" i="15"/>
  <c r="E3954" i="15"/>
  <c r="F3954" i="15"/>
  <c r="G3954" i="15"/>
  <c r="E3955" i="15"/>
  <c r="F3955" i="15"/>
  <c r="G3955" i="15"/>
  <c r="E3956" i="15"/>
  <c r="F3956" i="15"/>
  <c r="G3956" i="15"/>
  <c r="E3957" i="15"/>
  <c r="F3957" i="15"/>
  <c r="G3957" i="15"/>
  <c r="E3958" i="15"/>
  <c r="F3958" i="15"/>
  <c r="G3958" i="15"/>
  <c r="E3959" i="15"/>
  <c r="F3959" i="15"/>
  <c r="G3959" i="15"/>
  <c r="E3960" i="15"/>
  <c r="F3960" i="15"/>
  <c r="G3960" i="15"/>
  <c r="E3961" i="15"/>
  <c r="F3961" i="15"/>
  <c r="G3961" i="15"/>
  <c r="E3962" i="15"/>
  <c r="F3962" i="15"/>
  <c r="G3962" i="15"/>
  <c r="E3963" i="15"/>
  <c r="F3963" i="15"/>
  <c r="G3963" i="15"/>
  <c r="E3964" i="15"/>
  <c r="F3964" i="15"/>
  <c r="G3964" i="15"/>
  <c r="E3965" i="15"/>
  <c r="F3965" i="15"/>
  <c r="G3965" i="15"/>
  <c r="E3966" i="15"/>
  <c r="F3966" i="15"/>
  <c r="G3966" i="15"/>
  <c r="E3967" i="15"/>
  <c r="F3967" i="15"/>
  <c r="G3967" i="15"/>
  <c r="E3968" i="15"/>
  <c r="F3968" i="15"/>
  <c r="G3968" i="15"/>
  <c r="E3969" i="15"/>
  <c r="F3969" i="15"/>
  <c r="G3969" i="15"/>
  <c r="E3970" i="15"/>
  <c r="F3970" i="15"/>
  <c r="G3970" i="15"/>
  <c r="E3971" i="15"/>
  <c r="F3971" i="15"/>
  <c r="G3971" i="15"/>
  <c r="E3972" i="15"/>
  <c r="F3972" i="15"/>
  <c r="G3972" i="15"/>
  <c r="E3973" i="15"/>
  <c r="F3973" i="15"/>
  <c r="G3973" i="15"/>
  <c r="E3974" i="15"/>
  <c r="F3974" i="15"/>
  <c r="G3974" i="15"/>
  <c r="E3975" i="15"/>
  <c r="F3975" i="15"/>
  <c r="G3975" i="15"/>
  <c r="E3976" i="15"/>
  <c r="F3976" i="15"/>
  <c r="G3976" i="15"/>
  <c r="E3977" i="15"/>
  <c r="F3977" i="15"/>
  <c r="G3977" i="15"/>
  <c r="E3978" i="15"/>
  <c r="F3978" i="15"/>
  <c r="G3978" i="15"/>
  <c r="E3979" i="15"/>
  <c r="F3979" i="15"/>
  <c r="G3979" i="15"/>
  <c r="E3980" i="15"/>
  <c r="F3980" i="15"/>
  <c r="G3980" i="15"/>
  <c r="E3981" i="15"/>
  <c r="F3981" i="15"/>
  <c r="G3981" i="15"/>
  <c r="E3982" i="15"/>
  <c r="F3982" i="15"/>
  <c r="G3982" i="15"/>
  <c r="E3983" i="15"/>
  <c r="F3983" i="15"/>
  <c r="G3983" i="15"/>
  <c r="E3984" i="15"/>
  <c r="F3984" i="15"/>
  <c r="G3984" i="15"/>
  <c r="E3985" i="15"/>
  <c r="F3985" i="15"/>
  <c r="G3985" i="15"/>
  <c r="E3986" i="15"/>
  <c r="F3986" i="15"/>
  <c r="G3986" i="15"/>
  <c r="E3987" i="15"/>
  <c r="F3987" i="15"/>
  <c r="G3987" i="15"/>
  <c r="E3988" i="15"/>
  <c r="F3988" i="15"/>
  <c r="G3988" i="15"/>
  <c r="E3989" i="15"/>
  <c r="F3989" i="15"/>
  <c r="G3989" i="15"/>
  <c r="E3990" i="15"/>
  <c r="F3990" i="15"/>
  <c r="G3990" i="15"/>
  <c r="E3991" i="15"/>
  <c r="F3991" i="15"/>
  <c r="G3991" i="15"/>
  <c r="E3992" i="15"/>
  <c r="F3992" i="15"/>
  <c r="G3992" i="15"/>
  <c r="E3993" i="15"/>
  <c r="F3993" i="15"/>
  <c r="G3993" i="15"/>
  <c r="E3994" i="15"/>
  <c r="F3994" i="15"/>
  <c r="G3994" i="15"/>
  <c r="E3995" i="15"/>
  <c r="F3995" i="15"/>
  <c r="G3995" i="15"/>
  <c r="E3996" i="15"/>
  <c r="F3996" i="15"/>
  <c r="G3996" i="15"/>
  <c r="E3997" i="15"/>
  <c r="F3997" i="15"/>
  <c r="G3997" i="15"/>
  <c r="E3998" i="15"/>
  <c r="F3998" i="15"/>
  <c r="G3998" i="15"/>
  <c r="E3999" i="15"/>
  <c r="F3999" i="15"/>
  <c r="G3999" i="15"/>
  <c r="E4000" i="15"/>
  <c r="F4000" i="15"/>
  <c r="G4000" i="15"/>
  <c r="E4001" i="15"/>
  <c r="F4001" i="15"/>
  <c r="G4001" i="15"/>
  <c r="E4002" i="15"/>
  <c r="F4002" i="15"/>
  <c r="G4002" i="15"/>
  <c r="E4003" i="15"/>
  <c r="F4003" i="15"/>
  <c r="G4003" i="15"/>
  <c r="E4004" i="15"/>
  <c r="F4004" i="15"/>
  <c r="G4004" i="15"/>
  <c r="E4005" i="15"/>
  <c r="F4005" i="15"/>
  <c r="G4005" i="15"/>
  <c r="E4006" i="15"/>
  <c r="F4006" i="15"/>
  <c r="G4006" i="15"/>
  <c r="E4007" i="15"/>
  <c r="F4007" i="15"/>
  <c r="G4007" i="15"/>
  <c r="E4008" i="15"/>
  <c r="F4008" i="15"/>
  <c r="G4008" i="15"/>
  <c r="E4009" i="15"/>
  <c r="F4009" i="15"/>
  <c r="G4009" i="15"/>
  <c r="E4010" i="15"/>
  <c r="F4010" i="15"/>
  <c r="G4010" i="15"/>
  <c r="E4011" i="15"/>
  <c r="F4011" i="15"/>
  <c r="G4011" i="15"/>
  <c r="E4012" i="15"/>
  <c r="F4012" i="15"/>
  <c r="G4012" i="15"/>
  <c r="E4013" i="15"/>
  <c r="F4013" i="15"/>
  <c r="G4013" i="15"/>
  <c r="E4014" i="15"/>
  <c r="F4014" i="15"/>
  <c r="G4014" i="15"/>
  <c r="E4015" i="15"/>
  <c r="F4015" i="15"/>
  <c r="G4015" i="15"/>
  <c r="E4016" i="15"/>
  <c r="F4016" i="15"/>
  <c r="G4016" i="15"/>
  <c r="E4017" i="15"/>
  <c r="F4017" i="15"/>
  <c r="G4017" i="15"/>
  <c r="E4018" i="15"/>
  <c r="F4018" i="15"/>
  <c r="G4018" i="15"/>
  <c r="E4019" i="15"/>
  <c r="F4019" i="15"/>
  <c r="G4019" i="15"/>
  <c r="E4020" i="15"/>
  <c r="F4020" i="15"/>
  <c r="G4020" i="15"/>
  <c r="E4021" i="15"/>
  <c r="F4021" i="15"/>
  <c r="G4021" i="15"/>
  <c r="E4022" i="15"/>
  <c r="F4022" i="15"/>
  <c r="G4022" i="15"/>
  <c r="E4023" i="15"/>
  <c r="F4023" i="15"/>
  <c r="G4023" i="15"/>
  <c r="E4024" i="15"/>
  <c r="F4024" i="15"/>
  <c r="G4024" i="15"/>
  <c r="E4025" i="15"/>
  <c r="F4025" i="15"/>
  <c r="G4025" i="15"/>
  <c r="E4026" i="15"/>
  <c r="F4026" i="15"/>
  <c r="G4026" i="15"/>
  <c r="E4027" i="15"/>
  <c r="F4027" i="15"/>
  <c r="G4027" i="15"/>
  <c r="E4028" i="15"/>
  <c r="F4028" i="15"/>
  <c r="G4028" i="15"/>
  <c r="E4029" i="15"/>
  <c r="F4029" i="15"/>
  <c r="G4029" i="15"/>
  <c r="E4030" i="15"/>
  <c r="F4030" i="15"/>
  <c r="G4030" i="15"/>
  <c r="E4031" i="15"/>
  <c r="F4031" i="15"/>
  <c r="G4031" i="15"/>
  <c r="E4032" i="15"/>
  <c r="F4032" i="15"/>
  <c r="G4032" i="15"/>
  <c r="E4033" i="15"/>
  <c r="F4033" i="15"/>
  <c r="G4033" i="15"/>
  <c r="E4034" i="15"/>
  <c r="F4034" i="15"/>
  <c r="G4034" i="15"/>
  <c r="E4035" i="15"/>
  <c r="F4035" i="15"/>
  <c r="G4035" i="15"/>
  <c r="E4036" i="15"/>
  <c r="F4036" i="15"/>
  <c r="G4036" i="15"/>
  <c r="E4037" i="15"/>
  <c r="F4037" i="15"/>
  <c r="G4037" i="15"/>
  <c r="E4038" i="15"/>
  <c r="F4038" i="15"/>
  <c r="G4038" i="15"/>
  <c r="E4039" i="15"/>
  <c r="F4039" i="15"/>
  <c r="G4039" i="15"/>
  <c r="E4040" i="15"/>
  <c r="F4040" i="15"/>
  <c r="G4040" i="15"/>
  <c r="E4041" i="15"/>
  <c r="F4041" i="15"/>
  <c r="G4041" i="15"/>
  <c r="E4042" i="15"/>
  <c r="F4042" i="15"/>
  <c r="G4042" i="15"/>
  <c r="E4043" i="15"/>
  <c r="F4043" i="15"/>
  <c r="G4043" i="15"/>
  <c r="E4044" i="15"/>
  <c r="F4044" i="15"/>
  <c r="G4044" i="15"/>
  <c r="E4045" i="15"/>
  <c r="F4045" i="15"/>
  <c r="G4045" i="15"/>
  <c r="E4046" i="15"/>
  <c r="F4046" i="15"/>
  <c r="G4046" i="15"/>
  <c r="E4047" i="15"/>
  <c r="F4047" i="15"/>
  <c r="G4047" i="15"/>
  <c r="E4048" i="15"/>
  <c r="F4048" i="15"/>
  <c r="G4048" i="15"/>
  <c r="E4049" i="15"/>
  <c r="F4049" i="15"/>
  <c r="G4049" i="15"/>
  <c r="E4050" i="15"/>
  <c r="F4050" i="15"/>
  <c r="G4050" i="15"/>
  <c r="E4051" i="15"/>
  <c r="F4051" i="15"/>
  <c r="G4051" i="15"/>
  <c r="E4052" i="15"/>
  <c r="F4052" i="15"/>
  <c r="G4052" i="15"/>
  <c r="E4053" i="15"/>
  <c r="F4053" i="15"/>
  <c r="G4053" i="15"/>
  <c r="E4054" i="15"/>
  <c r="F4054" i="15"/>
  <c r="G4054" i="15"/>
  <c r="E4055" i="15"/>
  <c r="F4055" i="15"/>
  <c r="G4055" i="15"/>
  <c r="E4056" i="15"/>
  <c r="F4056" i="15"/>
  <c r="G4056" i="15"/>
  <c r="E4057" i="15"/>
  <c r="F4057" i="15"/>
  <c r="G4057" i="15"/>
  <c r="E4058" i="15"/>
  <c r="F4058" i="15"/>
  <c r="G4058" i="15"/>
  <c r="E4059" i="15"/>
  <c r="F4059" i="15"/>
  <c r="G4059" i="15"/>
  <c r="E4060" i="15"/>
  <c r="F4060" i="15"/>
  <c r="G4060" i="15"/>
  <c r="E4061" i="15"/>
  <c r="F4061" i="15"/>
  <c r="G4061" i="15"/>
  <c r="E4062" i="15"/>
  <c r="F4062" i="15"/>
  <c r="G4062" i="15"/>
  <c r="E4063" i="15"/>
  <c r="F4063" i="15"/>
  <c r="G4063" i="15"/>
  <c r="E4064" i="15"/>
  <c r="F4064" i="15"/>
  <c r="G4064" i="15"/>
  <c r="E4065" i="15"/>
  <c r="F4065" i="15"/>
  <c r="G4065" i="15"/>
  <c r="E4066" i="15"/>
  <c r="F4066" i="15"/>
  <c r="G4066" i="15"/>
  <c r="E4067" i="15"/>
  <c r="F4067" i="15"/>
  <c r="G4067" i="15"/>
  <c r="E4068" i="15"/>
  <c r="F4068" i="15"/>
  <c r="G4068" i="15"/>
  <c r="E4069" i="15"/>
  <c r="F4069" i="15"/>
  <c r="G4069" i="15"/>
  <c r="E4070" i="15"/>
  <c r="F4070" i="15"/>
  <c r="G4070" i="15"/>
  <c r="E4071" i="15"/>
  <c r="F4071" i="15"/>
  <c r="G4071" i="15"/>
  <c r="E4072" i="15"/>
  <c r="F4072" i="15"/>
  <c r="G4072" i="15"/>
  <c r="E4073" i="15"/>
  <c r="F4073" i="15"/>
  <c r="G4073" i="15"/>
  <c r="E4074" i="15"/>
  <c r="F4074" i="15"/>
  <c r="G4074" i="15"/>
  <c r="E4075" i="15"/>
  <c r="F4075" i="15"/>
  <c r="G4075" i="15"/>
  <c r="E4076" i="15"/>
  <c r="F4076" i="15"/>
  <c r="G4076" i="15"/>
  <c r="E4077" i="15"/>
  <c r="F4077" i="15"/>
  <c r="G4077" i="15"/>
  <c r="E4078" i="15"/>
  <c r="F4078" i="15"/>
  <c r="G4078" i="15"/>
  <c r="E4079" i="15"/>
  <c r="F4079" i="15"/>
  <c r="G4079" i="15"/>
  <c r="E4080" i="15"/>
  <c r="F4080" i="15"/>
  <c r="G4080" i="15"/>
  <c r="E4081" i="15"/>
  <c r="F4081" i="15"/>
  <c r="G4081" i="15"/>
  <c r="E4082" i="15"/>
  <c r="F4082" i="15"/>
  <c r="G4082" i="15"/>
  <c r="E4083" i="15"/>
  <c r="F4083" i="15"/>
  <c r="G4083" i="15"/>
  <c r="E4084" i="15"/>
  <c r="F4084" i="15"/>
  <c r="G4084" i="15"/>
  <c r="E4085" i="15"/>
  <c r="F4085" i="15"/>
  <c r="G4085" i="15"/>
  <c r="E4086" i="15"/>
  <c r="F4086" i="15"/>
  <c r="G4086" i="15"/>
  <c r="E4087" i="15"/>
  <c r="F4087" i="15"/>
  <c r="G4087" i="15"/>
  <c r="E4088" i="15"/>
  <c r="F4088" i="15"/>
  <c r="G4088" i="15"/>
  <c r="E4089" i="15"/>
  <c r="F4089" i="15"/>
  <c r="G4089" i="15"/>
  <c r="E4090" i="15"/>
  <c r="F4090" i="15"/>
  <c r="G4090" i="15"/>
  <c r="E4091" i="15"/>
  <c r="F4091" i="15"/>
  <c r="G4091" i="15"/>
  <c r="E4092" i="15"/>
  <c r="F4092" i="15"/>
  <c r="G4092" i="15"/>
  <c r="E4093" i="15"/>
  <c r="F4093" i="15"/>
  <c r="G4093" i="15"/>
  <c r="E4094" i="15"/>
  <c r="F4094" i="15"/>
  <c r="G4094" i="15"/>
  <c r="E4095" i="15"/>
  <c r="F4095" i="15"/>
  <c r="G4095" i="15"/>
  <c r="E4096" i="15"/>
  <c r="F4096" i="15"/>
  <c r="G4096" i="15"/>
  <c r="E4097" i="15"/>
  <c r="F4097" i="15"/>
  <c r="G4097" i="15"/>
  <c r="E4098" i="15"/>
  <c r="F4098" i="15"/>
  <c r="G4098" i="15"/>
  <c r="E4099" i="15"/>
  <c r="F4099" i="15"/>
  <c r="G4099" i="15"/>
  <c r="E4100" i="15"/>
  <c r="F4100" i="15"/>
  <c r="G4100" i="15"/>
  <c r="E4101" i="15"/>
  <c r="F4101" i="15"/>
  <c r="G4101" i="15"/>
  <c r="E4102" i="15"/>
  <c r="F4102" i="15"/>
  <c r="G4102" i="15"/>
  <c r="E4103" i="15"/>
  <c r="F4103" i="15"/>
  <c r="G4103" i="15"/>
  <c r="E4104" i="15"/>
  <c r="F4104" i="15"/>
  <c r="G4104" i="15"/>
  <c r="E4105" i="15"/>
  <c r="F4105" i="15"/>
  <c r="G4105" i="15"/>
  <c r="E4106" i="15"/>
  <c r="F4106" i="15"/>
  <c r="G4106" i="15"/>
  <c r="E4107" i="15"/>
  <c r="F4107" i="15"/>
  <c r="G4107" i="15"/>
  <c r="E4108" i="15"/>
  <c r="F4108" i="15"/>
  <c r="G4108" i="15"/>
  <c r="E4109" i="15"/>
  <c r="F4109" i="15"/>
  <c r="G4109" i="15"/>
  <c r="E4110" i="15"/>
  <c r="F4110" i="15"/>
  <c r="G4110" i="15"/>
  <c r="E4111" i="15"/>
  <c r="F4111" i="15"/>
  <c r="G4111" i="15"/>
  <c r="E4112" i="15"/>
  <c r="F4112" i="15"/>
  <c r="G4112" i="15"/>
  <c r="E4113" i="15"/>
  <c r="F4113" i="15"/>
  <c r="G4113" i="15"/>
  <c r="E4114" i="15"/>
  <c r="F4114" i="15"/>
  <c r="G4114" i="15"/>
  <c r="E4115" i="15"/>
  <c r="F4115" i="15"/>
  <c r="G4115" i="15"/>
  <c r="E4116" i="15"/>
  <c r="F4116" i="15"/>
  <c r="G4116" i="15"/>
  <c r="E4117" i="15"/>
  <c r="F4117" i="15"/>
  <c r="G4117" i="15"/>
  <c r="E4118" i="15"/>
  <c r="F4118" i="15"/>
  <c r="G4118" i="15"/>
  <c r="E4119" i="15"/>
  <c r="F4119" i="15"/>
  <c r="G4119" i="15"/>
  <c r="E4120" i="15"/>
  <c r="F4120" i="15"/>
  <c r="G4120" i="15"/>
  <c r="E4121" i="15"/>
  <c r="F4121" i="15"/>
  <c r="G4121" i="15"/>
  <c r="E4122" i="15"/>
  <c r="F4122" i="15"/>
  <c r="G4122" i="15"/>
  <c r="E4123" i="15"/>
  <c r="F4123" i="15"/>
  <c r="G4123" i="15"/>
  <c r="E4124" i="15"/>
  <c r="F4124" i="15"/>
  <c r="G4124" i="15"/>
  <c r="E4125" i="15"/>
  <c r="F4125" i="15"/>
  <c r="G4125" i="15"/>
  <c r="E4126" i="15"/>
  <c r="F4126" i="15"/>
  <c r="G4126" i="15"/>
  <c r="E4127" i="15"/>
  <c r="F4127" i="15"/>
  <c r="G4127" i="15"/>
  <c r="E4128" i="15"/>
  <c r="F4128" i="15"/>
  <c r="G4128" i="15"/>
  <c r="E4129" i="15"/>
  <c r="F4129" i="15"/>
  <c r="G4129" i="15"/>
  <c r="E4130" i="15"/>
  <c r="F4130" i="15"/>
  <c r="G4130" i="15"/>
  <c r="E4131" i="15"/>
  <c r="F4131" i="15"/>
  <c r="G4131" i="15"/>
  <c r="E4132" i="15"/>
  <c r="F4132" i="15"/>
  <c r="G4132" i="15"/>
  <c r="E4133" i="15"/>
  <c r="F4133" i="15"/>
  <c r="G4133" i="15"/>
  <c r="E4134" i="15"/>
  <c r="F4134" i="15"/>
  <c r="G4134" i="15"/>
  <c r="E4135" i="15"/>
  <c r="F4135" i="15"/>
  <c r="G4135" i="15"/>
  <c r="E4136" i="15"/>
  <c r="F4136" i="15"/>
  <c r="G4136" i="15"/>
  <c r="E4137" i="15"/>
  <c r="F4137" i="15"/>
  <c r="G4137" i="15"/>
  <c r="E4138" i="15"/>
  <c r="F4138" i="15"/>
  <c r="G4138" i="15"/>
  <c r="E4139" i="15"/>
  <c r="F4139" i="15"/>
  <c r="G4139" i="15"/>
  <c r="E4140" i="15"/>
  <c r="F4140" i="15"/>
  <c r="G4140" i="15"/>
  <c r="E4141" i="15"/>
  <c r="F4141" i="15"/>
  <c r="G4141" i="15"/>
  <c r="E4142" i="15"/>
  <c r="F4142" i="15"/>
  <c r="G4142" i="15"/>
  <c r="E4143" i="15"/>
  <c r="F4143" i="15"/>
  <c r="G4143" i="15"/>
  <c r="E4144" i="15"/>
  <c r="F4144" i="15"/>
  <c r="G4144" i="15"/>
  <c r="E4145" i="15"/>
  <c r="F4145" i="15"/>
  <c r="G4145" i="15"/>
  <c r="E4146" i="15"/>
  <c r="F4146" i="15"/>
  <c r="G4146" i="15"/>
  <c r="E4147" i="15"/>
  <c r="F4147" i="15"/>
  <c r="G4147" i="15"/>
  <c r="E4148" i="15"/>
  <c r="F4148" i="15"/>
  <c r="G4148" i="15"/>
  <c r="E4149" i="15"/>
  <c r="F4149" i="15"/>
  <c r="G4149" i="15"/>
  <c r="E4150" i="15"/>
  <c r="F4150" i="15"/>
  <c r="G4150" i="15"/>
  <c r="E4151" i="15"/>
  <c r="F4151" i="15"/>
  <c r="G4151" i="15"/>
  <c r="E4152" i="15"/>
  <c r="F4152" i="15"/>
  <c r="G4152" i="15"/>
  <c r="E4153" i="15"/>
  <c r="F4153" i="15"/>
  <c r="G4153" i="15"/>
  <c r="E4154" i="15"/>
  <c r="F4154" i="15"/>
  <c r="G4154" i="15"/>
  <c r="E4155" i="15"/>
  <c r="F4155" i="15"/>
  <c r="G4155" i="15"/>
  <c r="E4156" i="15"/>
  <c r="F4156" i="15"/>
  <c r="G4156" i="15"/>
  <c r="E4157" i="15"/>
  <c r="F4157" i="15"/>
  <c r="G4157" i="15"/>
  <c r="E4158" i="15"/>
  <c r="F4158" i="15"/>
  <c r="G4158" i="15"/>
  <c r="E4159" i="15"/>
  <c r="F4159" i="15"/>
  <c r="G4159" i="15"/>
  <c r="E4160" i="15"/>
  <c r="F4160" i="15"/>
  <c r="G4160" i="15"/>
  <c r="E4161" i="15"/>
  <c r="F4161" i="15"/>
  <c r="G4161" i="15"/>
  <c r="E4162" i="15"/>
  <c r="F4162" i="15"/>
  <c r="G4162" i="15"/>
  <c r="E4163" i="15"/>
  <c r="F4163" i="15"/>
  <c r="G4163" i="15"/>
  <c r="E4164" i="15"/>
  <c r="F4164" i="15"/>
  <c r="G4164" i="15"/>
  <c r="E4165" i="15"/>
  <c r="F4165" i="15"/>
  <c r="G4165" i="15"/>
  <c r="E4166" i="15"/>
  <c r="F4166" i="15"/>
  <c r="G4166" i="15"/>
  <c r="E4167" i="15"/>
  <c r="F4167" i="15"/>
  <c r="G4167" i="15"/>
  <c r="E4168" i="15"/>
  <c r="F4168" i="15"/>
  <c r="G4168" i="15"/>
  <c r="E4169" i="15"/>
  <c r="F4169" i="15"/>
  <c r="G4169" i="15"/>
  <c r="E4170" i="15"/>
  <c r="F4170" i="15"/>
  <c r="G4170" i="15"/>
  <c r="E4171" i="15"/>
  <c r="F4171" i="15"/>
  <c r="G4171" i="15"/>
  <c r="E4172" i="15"/>
  <c r="F4172" i="15"/>
  <c r="G4172" i="15"/>
  <c r="E4173" i="15"/>
  <c r="F4173" i="15"/>
  <c r="G4173" i="15"/>
  <c r="E4174" i="15"/>
  <c r="F4174" i="15"/>
  <c r="G4174" i="15"/>
  <c r="E4175" i="15"/>
  <c r="F4175" i="15"/>
  <c r="G4175" i="15"/>
  <c r="E4176" i="15"/>
  <c r="F4176" i="15"/>
  <c r="G4176" i="15"/>
  <c r="E4177" i="15"/>
  <c r="F4177" i="15"/>
  <c r="G4177" i="15"/>
  <c r="E4178" i="15"/>
  <c r="F4178" i="15"/>
  <c r="G4178" i="15"/>
  <c r="E4179" i="15"/>
  <c r="F4179" i="15"/>
  <c r="G4179" i="15"/>
  <c r="E4180" i="15"/>
  <c r="F4180" i="15"/>
  <c r="G4180" i="15"/>
  <c r="E4181" i="15"/>
  <c r="F4181" i="15"/>
  <c r="G4181" i="15"/>
  <c r="E4182" i="15"/>
  <c r="F4182" i="15"/>
  <c r="G4182" i="15"/>
  <c r="E4183" i="15"/>
  <c r="F4183" i="15"/>
  <c r="G4183" i="15"/>
  <c r="E4184" i="15"/>
  <c r="F4184" i="15"/>
  <c r="G4184" i="15"/>
  <c r="E4185" i="15"/>
  <c r="F4185" i="15"/>
  <c r="G4185" i="15"/>
  <c r="E4186" i="15"/>
  <c r="F4186" i="15"/>
  <c r="G4186" i="15"/>
  <c r="E4187" i="15"/>
  <c r="F4187" i="15"/>
  <c r="G4187" i="15"/>
  <c r="E4188" i="15"/>
  <c r="F4188" i="15"/>
  <c r="G4188" i="15"/>
  <c r="E4189" i="15"/>
  <c r="F4189" i="15"/>
  <c r="G4189" i="15"/>
  <c r="E4190" i="15"/>
  <c r="F4190" i="15"/>
  <c r="G4190" i="15"/>
  <c r="E4191" i="15"/>
  <c r="F4191" i="15"/>
  <c r="G4191" i="15"/>
  <c r="E4192" i="15"/>
  <c r="F4192" i="15"/>
  <c r="G4192" i="15"/>
  <c r="E4193" i="15"/>
  <c r="F4193" i="15"/>
  <c r="G4193" i="15"/>
  <c r="E4194" i="15"/>
  <c r="F4194" i="15"/>
  <c r="G4194" i="15"/>
  <c r="E4195" i="15"/>
  <c r="F4195" i="15"/>
  <c r="G4195" i="15"/>
  <c r="E4196" i="15"/>
  <c r="F4196" i="15"/>
  <c r="G4196" i="15"/>
  <c r="E4197" i="15"/>
  <c r="F4197" i="15"/>
  <c r="G4197" i="15"/>
  <c r="E4198" i="15"/>
  <c r="F4198" i="15"/>
  <c r="G4198" i="15"/>
  <c r="E4199" i="15"/>
  <c r="F4199" i="15"/>
  <c r="G4199" i="15"/>
  <c r="E4200" i="15"/>
  <c r="F4200" i="15"/>
  <c r="G4200" i="15"/>
  <c r="E4201" i="15"/>
  <c r="F4201" i="15"/>
  <c r="G4201" i="15"/>
  <c r="E4202" i="15"/>
  <c r="F4202" i="15"/>
  <c r="G4202" i="15"/>
  <c r="E4203" i="15"/>
  <c r="F4203" i="15"/>
  <c r="G4203" i="15"/>
  <c r="E4204" i="15"/>
  <c r="F4204" i="15"/>
  <c r="G4204" i="15"/>
  <c r="E4205" i="15"/>
  <c r="F4205" i="15"/>
  <c r="G4205" i="15"/>
  <c r="E4206" i="15"/>
  <c r="F4206" i="15"/>
  <c r="G4206" i="15"/>
  <c r="E4207" i="15"/>
  <c r="F4207" i="15"/>
  <c r="G4207" i="15"/>
  <c r="E4208" i="15"/>
  <c r="F4208" i="15"/>
  <c r="G4208" i="15"/>
  <c r="E4209" i="15"/>
  <c r="F4209" i="15"/>
  <c r="G4209" i="15"/>
  <c r="E4210" i="15"/>
  <c r="F4210" i="15"/>
  <c r="G4210" i="15"/>
  <c r="E4211" i="15"/>
  <c r="F4211" i="15"/>
  <c r="G4211" i="15"/>
  <c r="E4212" i="15"/>
  <c r="F4212" i="15"/>
  <c r="G4212" i="15"/>
  <c r="E4213" i="15"/>
  <c r="F4213" i="15"/>
  <c r="G4213" i="15"/>
  <c r="E4214" i="15"/>
  <c r="F4214" i="15"/>
  <c r="G4214" i="15"/>
  <c r="E4215" i="15"/>
  <c r="F4215" i="15"/>
  <c r="G4215" i="15"/>
  <c r="E4216" i="15"/>
  <c r="F4216" i="15"/>
  <c r="G4216" i="15"/>
  <c r="E4217" i="15"/>
  <c r="F4217" i="15"/>
  <c r="G4217" i="15"/>
  <c r="E4218" i="15"/>
  <c r="F4218" i="15"/>
  <c r="G4218" i="15"/>
  <c r="E4219" i="15"/>
  <c r="F4219" i="15"/>
  <c r="G4219" i="15"/>
  <c r="E4220" i="15"/>
  <c r="F4220" i="15"/>
  <c r="G4220" i="15"/>
  <c r="E4221" i="15"/>
  <c r="F4221" i="15"/>
  <c r="G4221" i="15"/>
  <c r="E4222" i="15"/>
  <c r="F4222" i="15"/>
  <c r="G4222" i="15"/>
  <c r="E4223" i="15"/>
  <c r="F4223" i="15"/>
  <c r="G4223" i="15"/>
  <c r="E4224" i="15"/>
  <c r="F4224" i="15"/>
  <c r="G4224" i="15"/>
  <c r="E4225" i="15"/>
  <c r="F4225" i="15"/>
  <c r="G4225" i="15"/>
  <c r="E4226" i="15"/>
  <c r="F4226" i="15"/>
  <c r="G4226" i="15"/>
  <c r="E4227" i="15"/>
  <c r="F4227" i="15"/>
  <c r="G4227" i="15"/>
  <c r="E4228" i="15"/>
  <c r="F4228" i="15"/>
  <c r="G4228" i="15"/>
  <c r="E4229" i="15"/>
  <c r="F4229" i="15"/>
  <c r="G4229" i="15"/>
  <c r="E4230" i="15"/>
  <c r="F4230" i="15"/>
  <c r="G4230" i="15"/>
  <c r="E4231" i="15"/>
  <c r="F4231" i="15"/>
  <c r="G4231" i="15"/>
  <c r="E4232" i="15"/>
  <c r="F4232" i="15"/>
  <c r="G4232" i="15"/>
  <c r="E4233" i="15"/>
  <c r="F4233" i="15"/>
  <c r="G4233" i="15"/>
  <c r="E4234" i="15"/>
  <c r="F4234" i="15"/>
  <c r="G4234" i="15"/>
  <c r="E4235" i="15"/>
  <c r="F4235" i="15"/>
  <c r="G4235" i="15"/>
  <c r="E4236" i="15"/>
  <c r="F4236" i="15"/>
  <c r="G4236" i="15"/>
  <c r="E4237" i="15"/>
  <c r="F4237" i="15"/>
  <c r="G4237" i="15"/>
  <c r="E4238" i="15"/>
  <c r="F4238" i="15"/>
  <c r="G4238" i="15"/>
  <c r="E4239" i="15"/>
  <c r="F4239" i="15"/>
  <c r="G4239" i="15"/>
  <c r="E4240" i="15"/>
  <c r="F4240" i="15"/>
  <c r="G4240" i="15"/>
  <c r="E4241" i="15"/>
  <c r="F4241" i="15"/>
  <c r="G4241" i="15"/>
  <c r="E4242" i="15"/>
  <c r="F4242" i="15"/>
  <c r="G4242" i="15"/>
  <c r="E4243" i="15"/>
  <c r="F4243" i="15"/>
  <c r="G4243" i="15"/>
  <c r="E4244" i="15"/>
  <c r="F4244" i="15"/>
  <c r="G4244" i="15"/>
  <c r="E4245" i="15"/>
  <c r="F4245" i="15"/>
  <c r="G4245" i="15"/>
  <c r="E4246" i="15"/>
  <c r="F4246" i="15"/>
  <c r="G4246" i="15"/>
  <c r="E4247" i="15"/>
  <c r="F4247" i="15"/>
  <c r="G4247" i="15"/>
  <c r="E4248" i="15"/>
  <c r="F4248" i="15"/>
  <c r="G4248" i="15"/>
  <c r="E4249" i="15"/>
  <c r="F4249" i="15"/>
  <c r="G4249" i="15"/>
  <c r="E4250" i="15"/>
  <c r="F4250" i="15"/>
  <c r="G4250" i="15"/>
  <c r="E4251" i="15"/>
  <c r="F4251" i="15"/>
  <c r="G4251" i="15"/>
  <c r="E4252" i="15"/>
  <c r="F4252" i="15"/>
  <c r="G4252" i="15"/>
  <c r="E4253" i="15"/>
  <c r="F4253" i="15"/>
  <c r="G4253" i="15"/>
  <c r="E4254" i="15"/>
  <c r="F4254" i="15"/>
  <c r="G4254" i="15"/>
  <c r="E4255" i="15"/>
  <c r="F4255" i="15"/>
  <c r="G4255" i="15"/>
  <c r="E4256" i="15"/>
  <c r="F4256" i="15"/>
  <c r="G4256" i="15"/>
  <c r="E4257" i="15"/>
  <c r="F4257" i="15"/>
  <c r="G4257" i="15"/>
  <c r="E4258" i="15"/>
  <c r="F4258" i="15"/>
  <c r="G4258" i="15"/>
  <c r="E4259" i="15"/>
  <c r="F4259" i="15"/>
  <c r="G4259" i="15"/>
  <c r="E4260" i="15"/>
  <c r="F4260" i="15"/>
  <c r="G4260" i="15"/>
  <c r="E4261" i="15"/>
  <c r="F4261" i="15"/>
  <c r="G4261" i="15"/>
  <c r="E4262" i="15"/>
  <c r="F4262" i="15"/>
  <c r="G4262" i="15"/>
  <c r="E4263" i="15"/>
  <c r="F4263" i="15"/>
  <c r="G4263" i="15"/>
  <c r="E4264" i="15"/>
  <c r="F4264" i="15"/>
  <c r="G4264" i="15"/>
  <c r="E4265" i="15"/>
  <c r="F4265" i="15"/>
  <c r="G4265" i="15"/>
  <c r="E4266" i="15"/>
  <c r="F4266" i="15"/>
  <c r="G4266" i="15"/>
  <c r="E4267" i="15"/>
  <c r="F4267" i="15"/>
  <c r="G4267" i="15"/>
  <c r="E4268" i="15"/>
  <c r="F4268" i="15"/>
  <c r="G4268" i="15"/>
  <c r="E4269" i="15"/>
  <c r="F4269" i="15"/>
  <c r="G4269" i="15"/>
  <c r="E4270" i="15"/>
  <c r="F4270" i="15"/>
  <c r="G4270" i="15"/>
  <c r="E4271" i="15"/>
  <c r="F4271" i="15"/>
  <c r="G4271" i="15"/>
  <c r="E4272" i="15"/>
  <c r="F4272" i="15"/>
  <c r="G4272" i="15"/>
  <c r="E4273" i="15"/>
  <c r="F4273" i="15"/>
  <c r="G4273" i="15"/>
  <c r="E4274" i="15"/>
  <c r="F4274" i="15"/>
  <c r="G4274" i="15"/>
  <c r="E4275" i="15"/>
  <c r="F4275" i="15"/>
  <c r="G4275" i="15"/>
  <c r="E4276" i="15"/>
  <c r="F4276" i="15"/>
  <c r="G4276" i="15"/>
  <c r="E4277" i="15"/>
  <c r="F4277" i="15"/>
  <c r="G4277" i="15"/>
  <c r="E4278" i="15"/>
  <c r="F4278" i="15"/>
  <c r="G4278" i="15"/>
  <c r="E4279" i="15"/>
  <c r="F4279" i="15"/>
  <c r="G4279" i="15"/>
  <c r="E4280" i="15"/>
  <c r="F4280" i="15"/>
  <c r="G4280" i="15"/>
  <c r="E4281" i="15"/>
  <c r="F4281" i="15"/>
  <c r="G4281" i="15"/>
  <c r="E4282" i="15"/>
  <c r="F4282" i="15"/>
  <c r="G4282" i="15"/>
  <c r="E4283" i="15"/>
  <c r="F4283" i="15"/>
  <c r="G4283" i="15"/>
  <c r="E4284" i="15"/>
  <c r="F4284" i="15"/>
  <c r="G4284" i="15"/>
  <c r="E4285" i="15"/>
  <c r="F4285" i="15"/>
  <c r="G4285" i="15"/>
  <c r="E4286" i="15"/>
  <c r="F4286" i="15"/>
  <c r="G4286" i="15"/>
  <c r="E4287" i="15"/>
  <c r="F4287" i="15"/>
  <c r="G4287" i="15"/>
  <c r="E4288" i="15"/>
  <c r="F4288" i="15"/>
  <c r="G4288" i="15"/>
  <c r="E4289" i="15"/>
  <c r="F4289" i="15"/>
  <c r="G4289" i="15"/>
  <c r="E4290" i="15"/>
  <c r="F4290" i="15"/>
  <c r="G4290" i="15"/>
  <c r="E4291" i="15"/>
  <c r="F4291" i="15"/>
  <c r="G4291" i="15"/>
  <c r="E4292" i="15"/>
  <c r="F4292" i="15"/>
  <c r="G4292" i="15"/>
  <c r="E4293" i="15"/>
  <c r="F4293" i="15"/>
  <c r="G4293" i="15"/>
  <c r="E4294" i="15"/>
  <c r="F4294" i="15"/>
  <c r="G4294" i="15"/>
  <c r="E4295" i="15"/>
  <c r="F4295" i="15"/>
  <c r="G4295" i="15"/>
  <c r="E4296" i="15"/>
  <c r="F4296" i="15"/>
  <c r="G4296" i="15"/>
  <c r="E4297" i="15"/>
  <c r="F4297" i="15"/>
  <c r="G4297" i="15"/>
  <c r="E4298" i="15"/>
  <c r="F4298" i="15"/>
  <c r="G4298" i="15"/>
  <c r="E4299" i="15"/>
  <c r="F4299" i="15"/>
  <c r="G4299" i="15"/>
  <c r="E4300" i="15"/>
  <c r="F4300" i="15"/>
  <c r="G4300" i="15"/>
  <c r="E4301" i="15"/>
  <c r="F4301" i="15"/>
  <c r="G4301" i="15"/>
  <c r="E4302" i="15"/>
  <c r="F4302" i="15"/>
  <c r="G4302" i="15"/>
  <c r="E4303" i="15"/>
  <c r="F4303" i="15"/>
  <c r="G4303" i="15"/>
  <c r="E4304" i="15"/>
  <c r="F4304" i="15"/>
  <c r="G4304" i="15"/>
  <c r="E4305" i="15"/>
  <c r="F4305" i="15"/>
  <c r="G4305" i="15"/>
  <c r="E4306" i="15"/>
  <c r="F4306" i="15"/>
  <c r="G4306" i="15"/>
  <c r="E4307" i="15"/>
  <c r="F4307" i="15"/>
  <c r="G4307" i="15"/>
  <c r="E4308" i="15"/>
  <c r="F4308" i="15"/>
  <c r="G4308" i="15"/>
  <c r="E4309" i="15"/>
  <c r="F4309" i="15"/>
  <c r="G4309" i="15"/>
  <c r="E4310" i="15"/>
  <c r="F4310" i="15"/>
  <c r="G4310" i="15"/>
  <c r="E4311" i="15"/>
  <c r="F4311" i="15"/>
  <c r="G4311" i="15"/>
  <c r="E4312" i="15"/>
  <c r="F4312" i="15"/>
  <c r="G4312" i="15"/>
  <c r="E4313" i="15"/>
  <c r="F4313" i="15"/>
  <c r="G4313" i="15"/>
  <c r="E4314" i="15"/>
  <c r="F4314" i="15"/>
  <c r="G4314" i="15"/>
  <c r="E4315" i="15"/>
  <c r="F4315" i="15"/>
  <c r="G4315" i="15"/>
  <c r="E4316" i="15"/>
  <c r="F4316" i="15"/>
  <c r="G4316" i="15"/>
  <c r="E4317" i="15"/>
  <c r="F4317" i="15"/>
  <c r="G4317" i="15"/>
  <c r="E4318" i="15"/>
  <c r="F4318" i="15"/>
  <c r="G4318" i="15"/>
  <c r="E4319" i="15"/>
  <c r="F4319" i="15"/>
  <c r="G4319" i="15"/>
  <c r="E4320" i="15"/>
  <c r="F4320" i="15"/>
  <c r="G4320" i="15"/>
  <c r="E4321" i="15"/>
  <c r="F4321" i="15"/>
  <c r="G4321" i="15"/>
  <c r="E4322" i="15"/>
  <c r="F4322" i="15"/>
  <c r="G4322" i="15"/>
  <c r="E4323" i="15"/>
  <c r="F4323" i="15"/>
  <c r="G4323" i="15"/>
  <c r="E4324" i="15"/>
  <c r="F4324" i="15"/>
  <c r="G4324" i="15"/>
  <c r="E4325" i="15"/>
  <c r="F4325" i="15"/>
  <c r="G4325" i="15"/>
  <c r="E4326" i="15"/>
  <c r="F4326" i="15"/>
  <c r="G4326" i="15"/>
  <c r="E4327" i="15"/>
  <c r="F4327" i="15"/>
  <c r="G4327" i="15"/>
  <c r="E4328" i="15"/>
  <c r="F4328" i="15"/>
  <c r="G4328" i="15"/>
  <c r="E4329" i="15"/>
  <c r="F4329" i="15"/>
  <c r="G4329" i="15"/>
  <c r="E4330" i="15"/>
  <c r="F4330" i="15"/>
  <c r="G4330" i="15"/>
  <c r="E4331" i="15"/>
  <c r="F4331" i="15"/>
  <c r="G4331" i="15"/>
  <c r="E4332" i="15"/>
  <c r="F4332" i="15"/>
  <c r="G4332" i="15"/>
  <c r="E4333" i="15"/>
  <c r="F4333" i="15"/>
  <c r="G4333" i="15"/>
  <c r="E4334" i="15"/>
  <c r="F4334" i="15"/>
  <c r="G4334" i="15"/>
  <c r="E4335" i="15"/>
  <c r="F4335" i="15"/>
  <c r="G4335" i="15"/>
  <c r="E4336" i="15"/>
  <c r="F4336" i="15"/>
  <c r="G4336" i="15"/>
  <c r="E4337" i="15"/>
  <c r="F4337" i="15"/>
  <c r="G4337" i="15"/>
  <c r="E4338" i="15"/>
  <c r="F4338" i="15"/>
  <c r="G4338" i="15"/>
  <c r="E4339" i="15"/>
  <c r="F4339" i="15"/>
  <c r="G4339" i="15"/>
  <c r="E4340" i="15"/>
  <c r="F4340" i="15"/>
  <c r="G4340" i="15"/>
  <c r="E4341" i="15"/>
  <c r="F4341" i="15"/>
  <c r="G4341" i="15"/>
  <c r="E4342" i="15"/>
  <c r="F4342" i="15"/>
  <c r="G4342" i="15"/>
  <c r="E4343" i="15"/>
  <c r="F4343" i="15"/>
  <c r="G4343" i="15"/>
  <c r="E4344" i="15"/>
  <c r="F4344" i="15"/>
  <c r="G4344" i="15"/>
  <c r="E4345" i="15"/>
  <c r="F4345" i="15"/>
  <c r="G4345" i="15"/>
  <c r="E4346" i="15"/>
  <c r="F4346" i="15"/>
  <c r="G4346" i="15"/>
  <c r="E4347" i="15"/>
  <c r="F4347" i="15"/>
  <c r="G4347" i="15"/>
  <c r="E4348" i="15"/>
  <c r="F4348" i="15"/>
  <c r="G4348" i="15"/>
  <c r="E4349" i="15"/>
  <c r="F4349" i="15"/>
  <c r="G4349" i="15"/>
  <c r="E4350" i="15"/>
  <c r="F4350" i="15"/>
  <c r="G4350" i="15"/>
  <c r="E4351" i="15"/>
  <c r="F4351" i="15"/>
  <c r="G4351" i="15"/>
  <c r="E4352" i="15"/>
  <c r="F4352" i="15"/>
  <c r="G4352" i="15"/>
  <c r="E4353" i="15"/>
  <c r="F4353" i="15"/>
  <c r="G4353" i="15"/>
  <c r="E4354" i="15"/>
  <c r="F4354" i="15"/>
  <c r="G4354" i="15"/>
  <c r="E4355" i="15"/>
  <c r="F4355" i="15"/>
  <c r="G4355" i="15"/>
  <c r="E4356" i="15"/>
  <c r="F4356" i="15"/>
  <c r="G4356" i="15"/>
  <c r="E4357" i="15"/>
  <c r="F4357" i="15"/>
  <c r="G4357" i="15"/>
  <c r="E4358" i="15"/>
  <c r="F4358" i="15"/>
  <c r="G4358" i="15"/>
  <c r="E4359" i="15"/>
  <c r="F4359" i="15"/>
  <c r="G4359" i="15"/>
  <c r="E4360" i="15"/>
  <c r="F4360" i="15"/>
  <c r="G4360" i="15"/>
  <c r="E4361" i="15"/>
  <c r="F4361" i="15"/>
  <c r="G4361" i="15"/>
  <c r="E4362" i="15"/>
  <c r="F4362" i="15"/>
  <c r="G4362" i="15"/>
  <c r="E4363" i="15"/>
  <c r="F4363" i="15"/>
  <c r="G4363" i="15"/>
  <c r="E4364" i="15"/>
  <c r="F4364" i="15"/>
  <c r="G4364" i="15"/>
  <c r="E4365" i="15"/>
  <c r="F4365" i="15"/>
  <c r="G4365" i="15"/>
  <c r="E4366" i="15"/>
  <c r="F4366" i="15"/>
  <c r="G4366" i="15"/>
  <c r="E4367" i="15"/>
  <c r="F4367" i="15"/>
  <c r="G4367" i="15"/>
  <c r="E4368" i="15"/>
  <c r="F4368" i="15"/>
  <c r="G4368" i="15"/>
  <c r="E4369" i="15"/>
  <c r="F4369" i="15"/>
  <c r="G4369" i="15"/>
  <c r="E4370" i="15"/>
  <c r="F4370" i="15"/>
  <c r="G4370" i="15"/>
  <c r="E4371" i="15"/>
  <c r="F4371" i="15"/>
  <c r="G4371" i="15"/>
  <c r="E4372" i="15"/>
  <c r="F4372" i="15"/>
  <c r="G4372" i="15"/>
  <c r="E4373" i="15"/>
  <c r="F4373" i="15"/>
  <c r="G4373" i="15"/>
  <c r="E4374" i="15"/>
  <c r="F4374" i="15"/>
  <c r="G4374" i="15"/>
  <c r="E4375" i="15"/>
  <c r="F4375" i="15"/>
  <c r="G4375" i="15"/>
  <c r="E4376" i="15"/>
  <c r="F4376" i="15"/>
  <c r="G4376" i="15"/>
  <c r="E4377" i="15"/>
  <c r="F4377" i="15"/>
  <c r="G4377" i="15"/>
  <c r="E4378" i="15"/>
  <c r="F4378" i="15"/>
  <c r="G4378" i="15"/>
  <c r="E4379" i="15"/>
  <c r="F4379" i="15"/>
  <c r="G4379" i="15"/>
  <c r="E4380" i="15"/>
  <c r="F4380" i="15"/>
  <c r="G4380" i="15"/>
  <c r="E4381" i="15"/>
  <c r="F4381" i="15"/>
  <c r="G4381" i="15"/>
  <c r="E4382" i="15"/>
  <c r="F4382" i="15"/>
  <c r="G4382" i="15"/>
  <c r="E4383" i="15"/>
  <c r="F4383" i="15"/>
  <c r="G4383" i="15"/>
  <c r="E4384" i="15"/>
  <c r="F4384" i="15"/>
  <c r="G4384" i="15"/>
  <c r="E4385" i="15"/>
  <c r="F4385" i="15"/>
  <c r="G4385" i="15"/>
  <c r="E4386" i="15"/>
  <c r="F4386" i="15"/>
  <c r="G4386" i="15"/>
  <c r="E4387" i="15"/>
  <c r="F4387" i="15"/>
  <c r="G4387" i="15"/>
  <c r="E4388" i="15"/>
  <c r="F4388" i="15"/>
  <c r="G4388" i="15"/>
  <c r="E4389" i="15"/>
  <c r="F4389" i="15"/>
  <c r="G4389" i="15"/>
  <c r="E4390" i="15"/>
  <c r="F4390" i="15"/>
  <c r="G4390" i="15"/>
  <c r="E4391" i="15"/>
  <c r="F4391" i="15"/>
  <c r="G4391" i="15"/>
  <c r="E4392" i="15"/>
  <c r="F4392" i="15"/>
  <c r="G4392" i="15"/>
  <c r="E4393" i="15"/>
  <c r="F4393" i="15"/>
  <c r="G4393" i="15"/>
  <c r="E4394" i="15"/>
  <c r="F4394" i="15"/>
  <c r="G4394" i="15"/>
  <c r="E4395" i="15"/>
  <c r="F4395" i="15"/>
  <c r="G4395" i="15"/>
  <c r="E4396" i="15"/>
  <c r="F4396" i="15"/>
  <c r="G4396" i="15"/>
  <c r="E4397" i="15"/>
  <c r="F4397" i="15"/>
  <c r="G4397" i="15"/>
  <c r="E4398" i="15"/>
  <c r="F4398" i="15"/>
  <c r="G4398" i="15"/>
  <c r="E4399" i="15"/>
  <c r="F4399" i="15"/>
  <c r="G4399" i="15"/>
  <c r="E4400" i="15"/>
  <c r="F4400" i="15"/>
  <c r="G4400" i="15"/>
  <c r="E4401" i="15"/>
  <c r="F4401" i="15"/>
  <c r="G4401" i="15"/>
  <c r="E4402" i="15"/>
  <c r="F4402" i="15"/>
  <c r="G4402" i="15"/>
  <c r="E4403" i="15"/>
  <c r="F4403" i="15"/>
  <c r="G4403" i="15"/>
  <c r="E4404" i="15"/>
  <c r="F4404" i="15"/>
  <c r="G4404" i="15"/>
  <c r="E4405" i="15"/>
  <c r="F4405" i="15"/>
  <c r="G4405" i="15"/>
  <c r="E4406" i="15"/>
  <c r="F4406" i="15"/>
  <c r="G4406" i="15"/>
  <c r="E4407" i="15"/>
  <c r="F4407" i="15"/>
  <c r="G4407" i="15"/>
  <c r="E4408" i="15"/>
  <c r="F4408" i="15"/>
  <c r="G4408" i="15"/>
  <c r="E4409" i="15"/>
  <c r="F4409" i="15"/>
  <c r="G4409" i="15"/>
  <c r="E4410" i="15"/>
  <c r="F4410" i="15"/>
  <c r="G4410" i="15"/>
  <c r="E4411" i="15"/>
  <c r="F4411" i="15"/>
  <c r="G4411" i="15"/>
  <c r="E4412" i="15"/>
  <c r="F4412" i="15"/>
  <c r="G4412" i="15"/>
  <c r="E4413" i="15"/>
  <c r="F4413" i="15"/>
  <c r="G4413" i="15"/>
  <c r="E4414" i="15"/>
  <c r="F4414" i="15"/>
  <c r="G4414" i="15"/>
  <c r="E4415" i="15"/>
  <c r="F4415" i="15"/>
  <c r="G4415" i="15"/>
  <c r="E4416" i="15"/>
  <c r="F4416" i="15"/>
  <c r="G4416" i="15"/>
  <c r="E4417" i="15"/>
  <c r="F4417" i="15"/>
  <c r="G4417" i="15"/>
  <c r="E4418" i="15"/>
  <c r="F4418" i="15"/>
  <c r="G4418" i="15"/>
  <c r="E4419" i="15"/>
  <c r="F4419" i="15"/>
  <c r="G4419" i="15"/>
  <c r="E4420" i="15"/>
  <c r="F4420" i="15"/>
  <c r="G4420" i="15"/>
  <c r="E4421" i="15"/>
  <c r="F4421" i="15"/>
  <c r="G4421" i="15"/>
  <c r="E4422" i="15"/>
  <c r="F4422" i="15"/>
  <c r="G4422" i="15"/>
  <c r="E4423" i="15"/>
  <c r="F4423" i="15"/>
  <c r="G4423" i="15"/>
  <c r="E4424" i="15"/>
  <c r="F4424" i="15"/>
  <c r="G4424" i="15"/>
  <c r="E4425" i="15"/>
  <c r="F4425" i="15"/>
  <c r="G4425" i="15"/>
  <c r="E4426" i="15"/>
  <c r="F4426" i="15"/>
  <c r="G4426" i="15"/>
  <c r="E4427" i="15"/>
  <c r="F4427" i="15"/>
  <c r="G4427" i="15"/>
  <c r="E4428" i="15"/>
  <c r="F4428" i="15"/>
  <c r="G4428" i="15"/>
  <c r="E4429" i="15"/>
  <c r="F4429" i="15"/>
  <c r="G4429" i="15"/>
  <c r="E4430" i="15"/>
  <c r="F4430" i="15"/>
  <c r="G4430" i="15"/>
  <c r="E4431" i="15"/>
  <c r="F4431" i="15"/>
  <c r="G4431" i="15"/>
  <c r="E4432" i="15"/>
  <c r="F4432" i="15"/>
  <c r="G4432" i="15"/>
  <c r="E4433" i="15"/>
  <c r="F4433" i="15"/>
  <c r="G4433" i="15"/>
  <c r="E4434" i="15"/>
  <c r="F4434" i="15"/>
  <c r="G4434" i="15"/>
  <c r="E4435" i="15"/>
  <c r="F4435" i="15"/>
  <c r="G4435" i="15"/>
  <c r="E4436" i="15"/>
  <c r="F4436" i="15"/>
  <c r="G4436" i="15"/>
  <c r="E4437" i="15"/>
  <c r="F4437" i="15"/>
  <c r="G4437" i="15"/>
  <c r="E4438" i="15"/>
  <c r="F4438" i="15"/>
  <c r="G4438" i="15"/>
  <c r="E4439" i="15"/>
  <c r="F4439" i="15"/>
  <c r="G4439" i="15"/>
  <c r="E4440" i="15"/>
  <c r="F4440" i="15"/>
  <c r="G4440" i="15"/>
  <c r="E4441" i="15"/>
  <c r="F4441" i="15"/>
  <c r="G4441" i="15"/>
  <c r="E4442" i="15"/>
  <c r="F4442" i="15"/>
  <c r="G4442" i="15"/>
  <c r="E4443" i="15"/>
  <c r="F4443" i="15"/>
  <c r="G4443" i="15"/>
  <c r="E4444" i="15"/>
  <c r="F4444" i="15"/>
  <c r="G4444" i="15"/>
  <c r="E4445" i="15"/>
  <c r="F4445" i="15"/>
  <c r="G4445" i="15"/>
  <c r="E4446" i="15"/>
  <c r="F4446" i="15"/>
  <c r="G4446" i="15"/>
  <c r="E4447" i="15"/>
  <c r="F4447" i="15"/>
  <c r="G4447" i="15"/>
  <c r="E4448" i="15"/>
  <c r="F4448" i="15"/>
  <c r="G4448" i="15"/>
  <c r="E4449" i="15"/>
  <c r="F4449" i="15"/>
  <c r="G4449" i="15"/>
  <c r="E4450" i="15"/>
  <c r="F4450" i="15"/>
  <c r="G4450" i="15"/>
  <c r="E4451" i="15"/>
  <c r="F4451" i="15"/>
  <c r="G4451" i="15"/>
  <c r="E4452" i="15"/>
  <c r="F4452" i="15"/>
  <c r="G4452" i="15"/>
  <c r="E4453" i="15"/>
  <c r="F4453" i="15"/>
  <c r="G4453" i="15"/>
  <c r="E4454" i="15"/>
  <c r="F4454" i="15"/>
  <c r="G4454" i="15"/>
  <c r="E4455" i="15"/>
  <c r="F4455" i="15"/>
  <c r="G4455" i="15"/>
  <c r="E4456" i="15"/>
  <c r="F4456" i="15"/>
  <c r="G4456" i="15"/>
  <c r="E4457" i="15"/>
  <c r="F4457" i="15"/>
  <c r="G4457" i="15"/>
  <c r="E4458" i="15"/>
  <c r="F4458" i="15"/>
  <c r="G4458" i="15"/>
  <c r="E4459" i="15"/>
  <c r="F4459" i="15"/>
  <c r="G4459" i="15"/>
  <c r="E4460" i="15"/>
  <c r="F4460" i="15"/>
  <c r="G4460" i="15"/>
  <c r="E4461" i="15"/>
  <c r="F4461" i="15"/>
  <c r="G4461" i="15"/>
  <c r="E4462" i="15"/>
  <c r="F4462" i="15"/>
  <c r="G4462" i="15"/>
  <c r="E4463" i="15"/>
  <c r="F4463" i="15"/>
  <c r="G4463" i="15"/>
  <c r="E4464" i="15"/>
  <c r="F4464" i="15"/>
  <c r="G4464" i="15"/>
  <c r="E4465" i="15"/>
  <c r="F4465" i="15"/>
  <c r="G4465" i="15"/>
  <c r="E4466" i="15"/>
  <c r="F4466" i="15"/>
  <c r="G4466" i="15"/>
  <c r="E4467" i="15"/>
  <c r="F4467" i="15"/>
  <c r="G4467" i="15"/>
  <c r="E4468" i="15"/>
  <c r="F4468" i="15"/>
  <c r="G4468" i="15"/>
  <c r="E4469" i="15"/>
  <c r="F4469" i="15"/>
  <c r="G4469" i="15"/>
  <c r="E4470" i="15"/>
  <c r="F4470" i="15"/>
  <c r="G4470" i="15"/>
  <c r="E4471" i="15"/>
  <c r="F4471" i="15"/>
  <c r="G4471" i="15"/>
  <c r="E4472" i="15"/>
  <c r="F4472" i="15"/>
  <c r="G4472" i="15"/>
  <c r="E4473" i="15"/>
  <c r="F4473" i="15"/>
  <c r="G4473" i="15"/>
  <c r="E4474" i="15"/>
  <c r="F4474" i="15"/>
  <c r="G4474" i="15"/>
  <c r="E4475" i="15"/>
  <c r="F4475" i="15"/>
  <c r="G4475" i="15"/>
  <c r="E4476" i="15"/>
  <c r="F4476" i="15"/>
  <c r="G4476" i="15"/>
  <c r="E4477" i="15"/>
  <c r="F4477" i="15"/>
  <c r="G4477" i="15"/>
  <c r="E4478" i="15"/>
  <c r="F4478" i="15"/>
  <c r="G4478" i="15"/>
  <c r="E4479" i="15"/>
  <c r="F4479" i="15"/>
  <c r="G4479" i="15"/>
  <c r="E4480" i="15"/>
  <c r="F4480" i="15"/>
  <c r="G4480" i="15"/>
  <c r="E4481" i="15"/>
  <c r="F4481" i="15"/>
  <c r="G4481" i="15"/>
  <c r="E4482" i="15"/>
  <c r="F4482" i="15"/>
  <c r="G4482" i="15"/>
  <c r="E4483" i="15"/>
  <c r="F4483" i="15"/>
  <c r="G4483" i="15"/>
  <c r="E4484" i="15"/>
  <c r="F4484" i="15"/>
  <c r="G4484" i="15"/>
  <c r="E4485" i="15"/>
  <c r="F4485" i="15"/>
  <c r="G4485" i="15"/>
  <c r="E4486" i="15"/>
  <c r="F4486" i="15"/>
  <c r="G4486" i="15"/>
  <c r="E4487" i="15"/>
  <c r="F4487" i="15"/>
  <c r="G4487" i="15"/>
  <c r="E4488" i="15"/>
  <c r="F4488" i="15"/>
  <c r="G4488" i="15"/>
  <c r="E4489" i="15"/>
  <c r="F4489" i="15"/>
  <c r="G4489" i="15"/>
  <c r="E4490" i="15"/>
  <c r="F4490" i="15"/>
  <c r="G4490" i="15"/>
  <c r="E4491" i="15"/>
  <c r="F4491" i="15"/>
  <c r="G4491" i="15"/>
  <c r="E4492" i="15"/>
  <c r="F4492" i="15"/>
  <c r="G4492" i="15"/>
  <c r="E4493" i="15"/>
  <c r="F4493" i="15"/>
  <c r="G4493" i="15"/>
  <c r="E4494" i="15"/>
  <c r="F4494" i="15"/>
  <c r="G4494" i="15"/>
  <c r="E4495" i="15"/>
  <c r="F4495" i="15"/>
  <c r="G4495" i="15"/>
  <c r="E4496" i="15"/>
  <c r="F4496" i="15"/>
  <c r="G4496" i="15"/>
  <c r="E4497" i="15"/>
  <c r="F4497" i="15"/>
  <c r="G4497" i="15"/>
  <c r="E4498" i="15"/>
  <c r="F4498" i="15"/>
  <c r="G4498" i="15"/>
  <c r="E4499" i="15"/>
  <c r="F4499" i="15"/>
  <c r="G4499" i="15"/>
  <c r="E4500" i="15"/>
  <c r="F4500" i="15"/>
  <c r="G4500" i="15"/>
  <c r="E4501" i="15"/>
  <c r="F4501" i="15"/>
  <c r="G4501" i="15"/>
  <c r="E4502" i="15"/>
  <c r="F4502" i="15"/>
  <c r="G4502" i="15"/>
  <c r="E4503" i="15"/>
  <c r="F4503" i="15"/>
  <c r="G4503" i="15"/>
  <c r="E4504" i="15"/>
  <c r="F4504" i="15"/>
  <c r="G4504" i="15"/>
  <c r="E4505" i="15"/>
  <c r="F4505" i="15"/>
  <c r="G4505" i="15"/>
  <c r="E4506" i="15"/>
  <c r="F4506" i="15"/>
  <c r="G4506" i="15"/>
  <c r="E4507" i="15"/>
  <c r="F4507" i="15"/>
  <c r="G4507" i="15"/>
  <c r="E4508" i="15"/>
  <c r="F4508" i="15"/>
  <c r="G4508" i="15"/>
  <c r="E4509" i="15"/>
  <c r="F4509" i="15"/>
  <c r="G4509" i="15"/>
  <c r="E4510" i="15"/>
  <c r="F4510" i="15"/>
  <c r="G4510" i="15"/>
  <c r="E4511" i="15"/>
  <c r="F4511" i="15"/>
  <c r="G4511" i="15"/>
  <c r="E4512" i="15"/>
  <c r="F4512" i="15"/>
  <c r="G4512" i="15"/>
  <c r="E4513" i="15"/>
  <c r="F4513" i="15"/>
  <c r="G4513" i="15"/>
  <c r="E4514" i="15"/>
  <c r="F4514" i="15"/>
  <c r="G4514" i="15"/>
  <c r="E4515" i="15"/>
  <c r="F4515" i="15"/>
  <c r="G4515" i="15"/>
  <c r="E4516" i="15"/>
  <c r="F4516" i="15"/>
  <c r="G4516" i="15"/>
  <c r="E4517" i="15"/>
  <c r="F4517" i="15"/>
  <c r="G4517" i="15"/>
  <c r="E4518" i="15"/>
  <c r="F4518" i="15"/>
  <c r="G4518" i="15"/>
  <c r="E4519" i="15"/>
  <c r="F4519" i="15"/>
  <c r="G4519" i="15"/>
  <c r="E4520" i="15"/>
  <c r="F4520" i="15"/>
  <c r="G4520" i="15"/>
  <c r="E4521" i="15"/>
  <c r="F4521" i="15"/>
  <c r="G4521" i="15"/>
  <c r="E4522" i="15"/>
  <c r="F4522" i="15"/>
  <c r="G4522" i="15"/>
  <c r="E4523" i="15"/>
  <c r="F4523" i="15"/>
  <c r="G4523" i="15"/>
  <c r="E4524" i="15"/>
  <c r="F4524" i="15"/>
  <c r="G4524" i="15"/>
  <c r="E4525" i="15"/>
  <c r="F4525" i="15"/>
  <c r="G4525" i="15"/>
  <c r="E4526" i="15"/>
  <c r="F4526" i="15"/>
  <c r="G4526" i="15"/>
  <c r="E4527" i="15"/>
  <c r="F4527" i="15"/>
  <c r="G4527" i="15"/>
  <c r="E4528" i="15"/>
  <c r="F4528" i="15"/>
  <c r="G4528" i="15"/>
  <c r="E4529" i="15"/>
  <c r="F4529" i="15"/>
  <c r="G4529" i="15"/>
  <c r="E4530" i="15"/>
  <c r="F4530" i="15"/>
  <c r="G4530" i="15"/>
  <c r="E4531" i="15"/>
  <c r="F4531" i="15"/>
  <c r="G4531" i="15"/>
  <c r="E4532" i="15"/>
  <c r="F4532" i="15"/>
  <c r="G4532" i="15"/>
  <c r="E4533" i="15"/>
  <c r="F4533" i="15"/>
  <c r="G4533" i="15"/>
  <c r="E4534" i="15"/>
  <c r="F4534" i="15"/>
  <c r="G4534" i="15"/>
  <c r="E4535" i="15"/>
  <c r="F4535" i="15"/>
  <c r="G4535" i="15"/>
  <c r="E4536" i="15"/>
  <c r="F4536" i="15"/>
  <c r="G4536" i="15"/>
  <c r="E4537" i="15"/>
  <c r="F4537" i="15"/>
  <c r="G4537" i="15"/>
  <c r="E4538" i="15"/>
  <c r="F4538" i="15"/>
  <c r="G4538" i="15"/>
  <c r="E4539" i="15"/>
  <c r="F4539" i="15"/>
  <c r="G4539" i="15"/>
  <c r="E4540" i="15"/>
  <c r="F4540" i="15"/>
  <c r="G4540" i="15"/>
  <c r="E4541" i="15"/>
  <c r="F4541" i="15"/>
  <c r="G4541" i="15"/>
  <c r="E4542" i="15"/>
  <c r="F4542" i="15"/>
  <c r="G4542" i="15"/>
  <c r="E4543" i="15"/>
  <c r="F4543" i="15"/>
  <c r="G4543" i="15"/>
  <c r="E4544" i="15"/>
  <c r="F4544" i="15"/>
  <c r="G4544" i="15"/>
  <c r="E4545" i="15"/>
  <c r="F4545" i="15"/>
  <c r="G4545" i="15"/>
  <c r="E4546" i="15"/>
  <c r="F4546" i="15"/>
  <c r="G4546" i="15"/>
  <c r="E4547" i="15"/>
  <c r="F4547" i="15"/>
  <c r="G4547" i="15"/>
  <c r="E4548" i="15"/>
  <c r="F4548" i="15"/>
  <c r="G4548" i="15"/>
  <c r="E4549" i="15"/>
  <c r="F4549" i="15"/>
  <c r="G4549" i="15"/>
  <c r="E4550" i="15"/>
  <c r="F4550" i="15"/>
  <c r="G4550" i="15"/>
  <c r="E4551" i="15"/>
  <c r="F4551" i="15"/>
  <c r="G4551" i="15"/>
  <c r="E4552" i="15"/>
  <c r="F4552" i="15"/>
  <c r="G4552" i="15"/>
  <c r="E4553" i="15"/>
  <c r="F4553" i="15"/>
  <c r="G4553" i="15"/>
  <c r="E4554" i="15"/>
  <c r="F4554" i="15"/>
  <c r="G4554" i="15"/>
  <c r="E4555" i="15"/>
  <c r="F4555" i="15"/>
  <c r="G4555" i="15"/>
  <c r="E4556" i="15"/>
  <c r="F4556" i="15"/>
  <c r="G4556" i="15"/>
  <c r="E4557" i="15"/>
  <c r="F4557" i="15"/>
  <c r="G4557" i="15"/>
  <c r="E4558" i="15"/>
  <c r="F4558" i="15"/>
  <c r="G4558" i="15"/>
  <c r="E4559" i="15"/>
  <c r="F4559" i="15"/>
  <c r="G4559" i="15"/>
  <c r="E4560" i="15"/>
  <c r="F4560" i="15"/>
  <c r="G4560" i="15"/>
  <c r="E4561" i="15"/>
  <c r="F4561" i="15"/>
  <c r="G4561" i="15"/>
  <c r="E4562" i="15"/>
  <c r="F4562" i="15"/>
  <c r="G4562" i="15"/>
  <c r="E4563" i="15"/>
  <c r="F4563" i="15"/>
  <c r="G4563" i="15"/>
  <c r="E4564" i="15"/>
  <c r="F4564" i="15"/>
  <c r="G4564" i="15"/>
  <c r="E4565" i="15"/>
  <c r="F4565" i="15"/>
  <c r="G4565" i="15"/>
  <c r="E4566" i="15"/>
  <c r="F4566" i="15"/>
  <c r="G4566" i="15"/>
  <c r="E4567" i="15"/>
  <c r="F4567" i="15"/>
  <c r="G4567" i="15"/>
  <c r="E4568" i="15"/>
  <c r="F4568" i="15"/>
  <c r="G4568" i="15"/>
  <c r="E4569" i="15"/>
  <c r="F4569" i="15"/>
  <c r="G4569" i="15"/>
  <c r="E4570" i="15"/>
  <c r="F4570" i="15"/>
  <c r="G4570" i="15"/>
  <c r="E4571" i="15"/>
  <c r="F4571" i="15"/>
  <c r="G4571" i="15"/>
  <c r="E4572" i="15"/>
  <c r="F4572" i="15"/>
  <c r="G4572" i="15"/>
  <c r="E4573" i="15"/>
  <c r="F4573" i="15"/>
  <c r="G4573" i="15"/>
  <c r="E4574" i="15"/>
  <c r="F4574" i="15"/>
  <c r="G4574" i="15"/>
  <c r="E4575" i="15"/>
  <c r="F4575" i="15"/>
  <c r="G4575" i="15"/>
  <c r="E4576" i="15"/>
  <c r="F4576" i="15"/>
  <c r="G4576" i="15"/>
  <c r="E4577" i="15"/>
  <c r="F4577" i="15"/>
  <c r="G4577" i="15"/>
  <c r="E4578" i="15"/>
  <c r="F4578" i="15"/>
  <c r="G4578" i="15"/>
  <c r="E4579" i="15"/>
  <c r="F4579" i="15"/>
  <c r="G4579" i="15"/>
  <c r="E4580" i="15"/>
  <c r="F4580" i="15"/>
  <c r="G4580" i="15"/>
  <c r="E4581" i="15"/>
  <c r="F4581" i="15"/>
  <c r="G4581" i="15"/>
  <c r="E4582" i="15"/>
  <c r="F4582" i="15"/>
  <c r="G4582" i="15"/>
  <c r="E4583" i="15"/>
  <c r="F4583" i="15"/>
  <c r="G4583" i="15"/>
  <c r="E4584" i="15"/>
  <c r="F4584" i="15"/>
  <c r="G4584" i="15"/>
  <c r="E4585" i="15"/>
  <c r="F4585" i="15"/>
  <c r="G4585" i="15"/>
  <c r="E4586" i="15"/>
  <c r="F4586" i="15"/>
  <c r="G4586" i="15"/>
  <c r="E4587" i="15"/>
  <c r="F4587" i="15"/>
  <c r="G4587" i="15"/>
  <c r="E4588" i="15"/>
  <c r="F4588" i="15"/>
  <c r="G4588" i="15"/>
  <c r="E4589" i="15"/>
  <c r="F4589" i="15"/>
  <c r="G4589" i="15"/>
  <c r="E4590" i="15"/>
  <c r="F4590" i="15"/>
  <c r="G4590" i="15"/>
  <c r="E4591" i="15"/>
  <c r="F4591" i="15"/>
  <c r="G4591" i="15"/>
  <c r="E4592" i="15"/>
  <c r="F4592" i="15"/>
  <c r="G4592" i="15"/>
  <c r="E4593" i="15"/>
  <c r="F4593" i="15"/>
  <c r="G4593" i="15"/>
  <c r="E4594" i="15"/>
  <c r="F4594" i="15"/>
  <c r="G4594" i="15"/>
  <c r="E4595" i="15"/>
  <c r="F4595" i="15"/>
  <c r="G4595" i="15"/>
  <c r="E4596" i="15"/>
  <c r="F4596" i="15"/>
  <c r="G4596" i="15"/>
  <c r="E4597" i="15"/>
  <c r="F4597" i="15"/>
  <c r="G4597" i="15"/>
  <c r="E4598" i="15"/>
  <c r="F4598" i="15"/>
  <c r="G4598" i="15"/>
  <c r="E4599" i="15"/>
  <c r="F4599" i="15"/>
  <c r="G4599" i="15"/>
  <c r="E4600" i="15"/>
  <c r="F4600" i="15"/>
  <c r="G4600" i="15"/>
  <c r="E4601" i="15"/>
  <c r="F4601" i="15"/>
  <c r="G4601" i="15"/>
  <c r="E4602" i="15"/>
  <c r="F4602" i="15"/>
  <c r="G4602" i="15"/>
  <c r="E4603" i="15"/>
  <c r="F4603" i="15"/>
  <c r="G4603" i="15"/>
  <c r="E4604" i="15"/>
  <c r="F4604" i="15"/>
  <c r="G4604" i="15"/>
  <c r="E4605" i="15"/>
  <c r="F4605" i="15"/>
  <c r="G4605" i="15"/>
  <c r="E4606" i="15"/>
  <c r="F4606" i="15"/>
  <c r="G4606" i="15"/>
  <c r="E4607" i="15"/>
  <c r="F4607" i="15"/>
  <c r="G4607" i="15"/>
  <c r="E4608" i="15"/>
  <c r="F4608" i="15"/>
  <c r="G4608" i="15"/>
  <c r="E4609" i="15"/>
  <c r="F4609" i="15"/>
  <c r="G4609" i="15"/>
  <c r="E4610" i="15"/>
  <c r="F4610" i="15"/>
  <c r="G4610" i="15"/>
  <c r="E4611" i="15"/>
  <c r="F4611" i="15"/>
  <c r="G4611" i="15"/>
  <c r="E4612" i="15"/>
  <c r="F4612" i="15"/>
  <c r="G4612" i="15"/>
  <c r="E4613" i="15"/>
  <c r="F4613" i="15"/>
  <c r="G4613" i="15"/>
  <c r="E4614" i="15"/>
  <c r="F4614" i="15"/>
  <c r="G4614" i="15"/>
  <c r="E4615" i="15"/>
  <c r="F4615" i="15"/>
  <c r="G4615" i="15"/>
  <c r="E4616" i="15"/>
  <c r="F4616" i="15"/>
  <c r="G4616" i="15"/>
  <c r="E4617" i="15"/>
  <c r="F4617" i="15"/>
  <c r="G4617" i="15"/>
  <c r="E4618" i="15"/>
  <c r="F4618" i="15"/>
  <c r="G4618" i="15"/>
  <c r="E4619" i="15"/>
  <c r="F4619" i="15"/>
  <c r="G4619" i="15"/>
  <c r="E4620" i="15"/>
  <c r="F4620" i="15"/>
  <c r="G4620" i="15"/>
  <c r="E4621" i="15"/>
  <c r="F4621" i="15"/>
  <c r="G4621" i="15"/>
  <c r="E4622" i="15"/>
  <c r="F4622" i="15"/>
  <c r="G4622" i="15"/>
  <c r="E4623" i="15"/>
  <c r="F4623" i="15"/>
  <c r="G4623" i="15"/>
  <c r="E4624" i="15"/>
  <c r="F4624" i="15"/>
  <c r="G4624" i="15"/>
  <c r="E4625" i="15"/>
  <c r="F4625" i="15"/>
  <c r="G4625" i="15"/>
  <c r="E4626" i="15"/>
  <c r="F4626" i="15"/>
  <c r="G4626" i="15"/>
  <c r="E4627" i="15"/>
  <c r="F4627" i="15"/>
  <c r="G4627" i="15"/>
  <c r="E4628" i="15"/>
  <c r="F4628" i="15"/>
  <c r="G4628" i="15"/>
  <c r="E4629" i="15"/>
  <c r="F4629" i="15"/>
  <c r="G4629" i="15"/>
  <c r="E4630" i="15"/>
  <c r="F4630" i="15"/>
  <c r="G4630" i="15"/>
  <c r="E4631" i="15"/>
  <c r="F4631" i="15"/>
  <c r="G4631" i="15"/>
  <c r="E4632" i="15"/>
  <c r="F4632" i="15"/>
  <c r="G4632" i="15"/>
  <c r="E4633" i="15"/>
  <c r="F4633" i="15"/>
  <c r="G4633" i="15"/>
  <c r="E4634" i="15"/>
  <c r="F4634" i="15"/>
  <c r="G4634" i="15"/>
  <c r="E4635" i="15"/>
  <c r="F4635" i="15"/>
  <c r="G4635" i="15"/>
  <c r="E4636" i="15"/>
  <c r="F4636" i="15"/>
  <c r="G4636" i="15"/>
  <c r="E4637" i="15"/>
  <c r="F4637" i="15"/>
  <c r="G4637" i="15"/>
  <c r="E4638" i="15"/>
  <c r="F4638" i="15"/>
  <c r="G4638" i="15"/>
  <c r="E4639" i="15"/>
  <c r="F4639" i="15"/>
  <c r="G4639" i="15"/>
  <c r="E4640" i="15"/>
  <c r="F4640" i="15"/>
  <c r="G4640" i="15"/>
  <c r="E4641" i="15"/>
  <c r="F4641" i="15"/>
  <c r="G4641" i="15"/>
  <c r="E4642" i="15"/>
  <c r="F4642" i="15"/>
  <c r="G4642" i="15"/>
  <c r="E4643" i="15"/>
  <c r="F4643" i="15"/>
  <c r="G4643" i="15"/>
  <c r="E4644" i="15"/>
  <c r="F4644" i="15"/>
  <c r="G4644" i="15"/>
  <c r="E4645" i="15"/>
  <c r="F4645" i="15"/>
  <c r="G4645" i="15"/>
  <c r="E4646" i="15"/>
  <c r="F4646" i="15"/>
  <c r="G4646" i="15"/>
  <c r="E4647" i="15"/>
  <c r="F4647" i="15"/>
  <c r="G4647" i="15"/>
  <c r="E4648" i="15"/>
  <c r="F4648" i="15"/>
  <c r="G4648" i="15"/>
  <c r="E4649" i="15"/>
  <c r="F4649" i="15"/>
  <c r="G4649" i="15"/>
  <c r="E4650" i="15"/>
  <c r="F4650" i="15"/>
  <c r="G4650" i="15"/>
  <c r="E4651" i="15"/>
  <c r="F4651" i="15"/>
  <c r="G4651" i="15"/>
  <c r="E4652" i="15"/>
  <c r="F4652" i="15"/>
  <c r="G4652" i="15"/>
  <c r="E4653" i="15"/>
  <c r="F4653" i="15"/>
  <c r="G4653" i="15"/>
  <c r="E4654" i="15"/>
  <c r="F4654" i="15"/>
  <c r="G4654" i="15"/>
  <c r="E4655" i="15"/>
  <c r="F4655" i="15"/>
  <c r="G4655" i="15"/>
  <c r="E4656" i="15"/>
  <c r="F4656" i="15"/>
  <c r="G4656" i="15"/>
  <c r="E4657" i="15"/>
  <c r="F4657" i="15"/>
  <c r="G4657" i="15"/>
  <c r="E4658" i="15"/>
  <c r="F4658" i="15"/>
  <c r="G4658" i="15"/>
  <c r="E4659" i="15"/>
  <c r="F4659" i="15"/>
  <c r="G4659" i="15"/>
  <c r="E4660" i="15"/>
  <c r="F4660" i="15"/>
  <c r="G4660" i="15"/>
  <c r="E4661" i="15"/>
  <c r="F4661" i="15"/>
  <c r="G4661" i="15"/>
  <c r="E4662" i="15"/>
  <c r="F4662" i="15"/>
  <c r="G4662" i="15"/>
  <c r="E4663" i="15"/>
  <c r="F4663" i="15"/>
  <c r="G4663" i="15"/>
  <c r="E4664" i="15"/>
  <c r="F4664" i="15"/>
  <c r="G4664" i="15"/>
  <c r="E4665" i="15"/>
  <c r="F4665" i="15"/>
  <c r="G4665" i="15"/>
  <c r="E4666" i="15"/>
  <c r="F4666" i="15"/>
  <c r="G4666" i="15"/>
  <c r="E4667" i="15"/>
  <c r="F4667" i="15"/>
  <c r="G4667" i="15"/>
  <c r="E4668" i="15"/>
  <c r="F4668" i="15"/>
  <c r="G4668" i="15"/>
  <c r="E4669" i="15"/>
  <c r="F4669" i="15"/>
  <c r="G4669" i="15"/>
  <c r="E4670" i="15"/>
  <c r="F4670" i="15"/>
  <c r="G4670" i="15"/>
  <c r="E4671" i="15"/>
  <c r="F4671" i="15"/>
  <c r="G4671" i="15"/>
  <c r="E4672" i="15"/>
  <c r="F4672" i="15"/>
  <c r="G4672" i="15"/>
  <c r="E4673" i="15"/>
  <c r="F4673" i="15"/>
  <c r="G4673" i="15"/>
  <c r="E4674" i="15"/>
  <c r="F4674" i="15"/>
  <c r="G4674" i="15"/>
  <c r="E4675" i="15"/>
  <c r="F4675" i="15"/>
  <c r="G4675" i="15"/>
  <c r="E4676" i="15"/>
  <c r="F4676" i="15"/>
  <c r="G4676" i="15"/>
  <c r="E4677" i="15"/>
  <c r="F4677" i="15"/>
  <c r="G4677" i="15"/>
  <c r="E4678" i="15"/>
  <c r="F4678" i="15"/>
  <c r="G4678" i="15"/>
  <c r="E4679" i="15"/>
  <c r="F4679" i="15"/>
  <c r="G4679" i="15"/>
  <c r="E4680" i="15"/>
  <c r="F4680" i="15"/>
  <c r="G4680" i="15"/>
  <c r="E4681" i="15"/>
  <c r="F4681" i="15"/>
  <c r="G4681" i="15"/>
  <c r="E4682" i="15"/>
  <c r="F4682" i="15"/>
  <c r="G4682" i="15"/>
  <c r="E4683" i="15"/>
  <c r="F4683" i="15"/>
  <c r="G4683" i="15"/>
  <c r="F4" i="15" l="1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3" i="15"/>
  <c r="E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N13" i="5"/>
  <c r="M13" i="5"/>
  <c r="N15" i="5"/>
  <c r="M15" i="5"/>
  <c r="N11" i="5"/>
  <c r="M11" i="5"/>
  <c r="N10" i="5"/>
  <c r="M14" i="5"/>
  <c r="N14" i="5"/>
  <c r="M12" i="5"/>
  <c r="N12" i="5"/>
  <c r="M10" i="5"/>
  <c r="N17" i="5"/>
  <c r="M18" i="5"/>
  <c r="N18" i="5"/>
  <c r="N16" i="5"/>
  <c r="M16" i="5"/>
  <c r="M17" i="5"/>
</calcChain>
</file>

<file path=xl/sharedStrings.xml><?xml version="1.0" encoding="utf-8"?>
<sst xmlns="http://schemas.openxmlformats.org/spreadsheetml/2006/main" count="9196" uniqueCount="977">
  <si>
    <t>삼성전자</t>
  </si>
  <si>
    <t>포털(대)포털(중)</t>
  </si>
  <si>
    <t>모바일(대)모바일기타(중)</t>
  </si>
  <si>
    <t>생활정보(대)쇼핑/가격정보(중)</t>
  </si>
  <si>
    <t>커뮤니티(대)홈페이지(중)</t>
  </si>
  <si>
    <t>LG전자</t>
  </si>
  <si>
    <t>쿠쿠전자</t>
  </si>
  <si>
    <t>신문/잡지(대)종합일간지(중)</t>
  </si>
  <si>
    <t>신문/잡지(대)신문/잡지 기타(중)</t>
  </si>
  <si>
    <t>신문/잡지(대)스포츠신문(중)</t>
  </si>
  <si>
    <t>로보락</t>
  </si>
  <si>
    <t>광고주</t>
  </si>
  <si>
    <t>업종(대)</t>
  </si>
  <si>
    <t>업종(중)</t>
  </si>
  <si>
    <t>업종(소)</t>
  </si>
  <si>
    <t>앱/매체</t>
  </si>
  <si>
    <t>시작일</t>
  </si>
  <si>
    <t>종료일</t>
  </si>
  <si>
    <t>광고비(천원)</t>
  </si>
  <si>
    <t>월</t>
    <phoneticPr fontId="2" type="noConversion"/>
  </si>
  <si>
    <t>[자료 출처]</t>
    <phoneticPr fontId="5" type="noConversion"/>
  </si>
  <si>
    <t>(단위: 천 원)</t>
    <phoneticPr fontId="5" type="noConversion"/>
  </si>
  <si>
    <t>합계 : 광고비(천원)</t>
  </si>
  <si>
    <t>열 레이블</t>
  </si>
  <si>
    <t>총합계</t>
  </si>
  <si>
    <t>행 레이블</t>
  </si>
  <si>
    <t>01</t>
  </si>
  <si>
    <t>02</t>
  </si>
  <si>
    <t>03</t>
  </si>
  <si>
    <t>04</t>
  </si>
  <si>
    <t>05</t>
  </si>
  <si>
    <t>드리미</t>
  </si>
  <si>
    <t>게재면</t>
    <phoneticPr fontId="2" type="noConversion"/>
  </si>
  <si>
    <t>(비어 있음)</t>
  </si>
  <si>
    <t>연</t>
    <phoneticPr fontId="2" type="noConversion"/>
  </si>
  <si>
    <t>총 합계</t>
  </si>
  <si>
    <t>케이블</t>
  </si>
  <si>
    <t>디지털동영상</t>
  </si>
  <si>
    <t>지상파</t>
  </si>
  <si>
    <t>잡지</t>
  </si>
  <si>
    <t>신문</t>
  </si>
  <si>
    <t>2025년</t>
  </si>
  <si>
    <t>포털</t>
  </si>
  <si>
    <t>카테고리</t>
    <phoneticPr fontId="2" type="noConversion"/>
  </si>
  <si>
    <t>네트워크</t>
  </si>
  <si>
    <t>SNS</t>
  </si>
  <si>
    <t>디지털 영상</t>
  </si>
  <si>
    <t>Year</t>
  </si>
  <si>
    <t>Month</t>
  </si>
  <si>
    <t>Ad_Spending</t>
  </si>
  <si>
    <t>Spending(천원)</t>
    <phoneticPr fontId="2" type="noConversion"/>
  </si>
  <si>
    <t>브랜드/제품</t>
    <phoneticPr fontId="2" type="noConversion"/>
  </si>
  <si>
    <t>인쇄</t>
  </si>
  <si>
    <t>시작일</t>
    <phoneticPr fontId="2" type="noConversion"/>
  </si>
  <si>
    <t>종료일</t>
    <phoneticPr fontId="2" type="noConversion"/>
  </si>
  <si>
    <t>매체카테고리/플랫폼</t>
    <phoneticPr fontId="2" type="noConversion"/>
  </si>
  <si>
    <t>종편</t>
  </si>
  <si>
    <t>플랫폼</t>
    <phoneticPr fontId="2" type="noConversion"/>
  </si>
  <si>
    <t>엔터테인먼트(대)엔터테인먼트 기타(중)</t>
  </si>
  <si>
    <t>신문/잡지(대)경제신문(중)</t>
  </si>
  <si>
    <t>신문/잡지(대)온라인뉴스(중)</t>
  </si>
  <si>
    <t>포털</t>
    <phoneticPr fontId="2" type="noConversion"/>
  </si>
  <si>
    <t>디지털 영상</t>
    <phoneticPr fontId="2" type="noConversion"/>
  </si>
  <si>
    <t>오픈마켓</t>
    <phoneticPr fontId="2" type="noConversion"/>
  </si>
  <si>
    <t>네트워크</t>
    <phoneticPr fontId="2" type="noConversion"/>
  </si>
  <si>
    <t>언론사</t>
    <phoneticPr fontId="2" type="noConversion"/>
  </si>
  <si>
    <t>SNS</t>
    <phoneticPr fontId="2" type="noConversion"/>
  </si>
  <si>
    <t>매체카테고리/구분</t>
    <phoneticPr fontId="2" type="noConversion"/>
  </si>
  <si>
    <t>확인용 PV</t>
    <phoneticPr fontId="2" type="noConversion"/>
  </si>
  <si>
    <t>11월</t>
  </si>
  <si>
    <t>1월</t>
  </si>
  <si>
    <t>라디오</t>
    <phoneticPr fontId="2" type="noConversion"/>
  </si>
  <si>
    <t>매체 카테고리</t>
    <phoneticPr fontId="2" type="noConversion"/>
  </si>
  <si>
    <t>엔터테인먼트(대)게임(중)</t>
  </si>
  <si>
    <t>방송(대)방송기타(중)</t>
  </si>
  <si>
    <t>엔터테인먼트(대)스포츠/레포츠(중)</t>
  </si>
  <si>
    <t>커뮤니케이션(대)채팅/메신저(중)</t>
  </si>
  <si>
    <t>생활정보(대)교통/날씨(중)</t>
  </si>
  <si>
    <t>모바일(대)도구/유틸리티(중)</t>
  </si>
  <si>
    <t>모바일(대)엔터테인먼트(중)</t>
  </si>
  <si>
    <t>디지털 영상</t>
    <phoneticPr fontId="2" type="noConversion"/>
  </si>
  <si>
    <t>SNS</t>
    <phoneticPr fontId="2" type="noConversion"/>
  </si>
  <si>
    <t>-</t>
  </si>
  <si>
    <t>카카오광고</t>
  </si>
  <si>
    <t>신문/잡지(대)지역신문(중)</t>
  </si>
  <si>
    <t>언론사</t>
    <phoneticPr fontId="2" type="noConversion"/>
  </si>
  <si>
    <t>네트워크</t>
    <phoneticPr fontId="2" type="noConversion"/>
  </si>
  <si>
    <t>[Comment]</t>
    <phoneticPr fontId="5" type="noConversion"/>
  </si>
  <si>
    <t>카테고리 세분화</t>
    <phoneticPr fontId="2" type="noConversion"/>
  </si>
  <si>
    <t>종편</t>
    <phoneticPr fontId="2" type="noConversion"/>
  </si>
  <si>
    <t>지상파</t>
    <phoneticPr fontId="2" type="noConversion"/>
  </si>
  <si>
    <t>케이블</t>
    <phoneticPr fontId="2" type="noConversion"/>
  </si>
  <si>
    <t>잡지</t>
    <phoneticPr fontId="2" type="noConversion"/>
  </si>
  <si>
    <t>신문</t>
    <phoneticPr fontId="2" type="noConversion"/>
  </si>
  <si>
    <t>오픈마켓</t>
  </si>
  <si>
    <t>daum.net</t>
  </si>
  <si>
    <t>yna.co.kr</t>
  </si>
  <si>
    <t>애드몹</t>
  </si>
  <si>
    <t>신문/잡지(대)IT관련 뉴스(중)</t>
  </si>
  <si>
    <t>방송(대)케이블/위성방송(중)</t>
  </si>
  <si>
    <t>TARGETPICK</t>
  </si>
  <si>
    <t>sportsseoul.com</t>
  </si>
  <si>
    <t>와이더플래닛</t>
  </si>
  <si>
    <t>모비온</t>
  </si>
  <si>
    <t>엔터테인먼트(대)영화/공연(중)</t>
  </si>
  <si>
    <t>tf.co.kr</t>
  </si>
  <si>
    <t>ruliweb.com</t>
  </si>
  <si>
    <t>커뮤니티(대)게시판(중)</t>
  </si>
  <si>
    <t>25.11.20</t>
  </si>
  <si>
    <t>25.11.30</t>
  </si>
  <si>
    <t>25.11.28</t>
  </si>
  <si>
    <t>브랜드명</t>
    <phoneticPr fontId="2" type="noConversion"/>
  </si>
  <si>
    <t>제품명</t>
    <phoneticPr fontId="2" type="noConversion"/>
  </si>
  <si>
    <t>매체 카테고리</t>
  </si>
  <si>
    <t>디지털 영상</t>
    <phoneticPr fontId="2" type="noConversion"/>
  </si>
  <si>
    <t>네트워크</t>
    <phoneticPr fontId="2" type="noConversion"/>
  </si>
  <si>
    <t>인쇄</t>
    <phoneticPr fontId="2" type="noConversion"/>
  </si>
  <si>
    <t>방송</t>
    <phoneticPr fontId="2" type="noConversion"/>
  </si>
  <si>
    <t>라디오</t>
    <phoneticPr fontId="2" type="noConversion"/>
  </si>
  <si>
    <t>포털(대)포털(중)</t>
    <phoneticPr fontId="2" type="noConversion"/>
  </si>
  <si>
    <t>포털</t>
    <phoneticPr fontId="2" type="noConversion"/>
  </si>
  <si>
    <t>카카오광고</t>
    <phoneticPr fontId="2" type="noConversion"/>
  </si>
  <si>
    <t>SNS</t>
    <phoneticPr fontId="2" type="noConversion"/>
  </si>
  <si>
    <t>오픈마켓</t>
    <phoneticPr fontId="2" type="noConversion"/>
  </si>
  <si>
    <t>버즈빌</t>
    <phoneticPr fontId="2" type="noConversion"/>
  </si>
  <si>
    <t>언론사</t>
    <phoneticPr fontId="2" type="noConversion"/>
  </si>
  <si>
    <t>YouTube</t>
    <phoneticPr fontId="2" type="noConversion"/>
  </si>
  <si>
    <t>Tving</t>
    <phoneticPr fontId="2" type="noConversion"/>
  </si>
  <si>
    <t>네이버</t>
    <phoneticPr fontId="2" type="noConversion"/>
  </si>
  <si>
    <t>기타</t>
    <phoneticPr fontId="2" type="noConversion"/>
  </si>
  <si>
    <t>아이더스에프앤비푸라닭치킨</t>
  </si>
  <si>
    <t>리치빔피자나라치킨공주</t>
  </si>
  <si>
    <t>장스푸드60계치킨</t>
  </si>
  <si>
    <t>자담치킨</t>
  </si>
  <si>
    <t>코리아델로스치킨매니아</t>
  </si>
  <si>
    <t>네네치킨</t>
  </si>
  <si>
    <t>교촌치킨</t>
  </si>
  <si>
    <t>멕시카나</t>
  </si>
  <si>
    <t>멕시카나치킨*</t>
  </si>
  <si>
    <t>제이케이글로벌야들리애치킨</t>
  </si>
  <si>
    <t>노상치킨</t>
  </si>
  <si>
    <t>지엔푸드굽네치킨</t>
  </si>
  <si>
    <t>BBQ치킨</t>
  </si>
  <si>
    <t>꼬꼬에프앤비맛닭꼬치킨</t>
  </si>
  <si>
    <t>에이치푸드빌훌랄라참숯치킨</t>
  </si>
  <si>
    <t>외식전문기업제이케이꾸브라꼬숯불치킨</t>
  </si>
  <si>
    <t>호식이두마리치킨</t>
  </si>
  <si>
    <t>외식전문기업JK꾸브라꼬숯불두마리치킨</t>
  </si>
  <si>
    <t>처갓집양념치킨</t>
  </si>
  <si>
    <t>청정유통남썬치킨</t>
  </si>
  <si>
    <t>신미식품다꾸바숯불양념치킨</t>
  </si>
  <si>
    <t>에이치푸드빌훌랄라치킨</t>
  </si>
  <si>
    <t>BHC</t>
  </si>
  <si>
    <t>노랑푸드노랑통닭</t>
  </si>
  <si>
    <t>명가참푸드명가통닭</t>
  </si>
  <si>
    <t>티앤비코리아누구나홀딱반한닭</t>
  </si>
  <si>
    <t>제뉴인비스트로닭강정공방</t>
  </si>
  <si>
    <t>티지와이가마치통닭</t>
  </si>
  <si>
    <t>BBQ</t>
  </si>
  <si>
    <t>메인</t>
  </si>
  <si>
    <t>뉴스</t>
  </si>
  <si>
    <t>정치</t>
  </si>
  <si>
    <t>경제</t>
  </si>
  <si>
    <t>facebook.com</t>
  </si>
  <si>
    <t>커뮤니케이션 기타</t>
  </si>
  <si>
    <t>야구</t>
  </si>
  <si>
    <t>피자나라치킨공주</t>
  </si>
  <si>
    <t>누나홀닭</t>
  </si>
  <si>
    <t>푸라닭</t>
  </si>
  <si>
    <t>움버거앤윙스</t>
  </si>
  <si>
    <t>노랑통닭</t>
  </si>
  <si>
    <t>가마치통닭</t>
  </si>
  <si>
    <t>야들리애</t>
  </si>
  <si>
    <t>치킨매니아</t>
  </si>
  <si>
    <t>60계</t>
  </si>
  <si>
    <t>푸라닭</t>
    <phoneticPr fontId="2" type="noConversion"/>
  </si>
  <si>
    <t>60계치킨</t>
  </si>
  <si>
    <t>60계치킨</t>
    <phoneticPr fontId="2" type="noConversion"/>
  </si>
  <si>
    <t>자담치킨</t>
    <phoneticPr fontId="2" type="noConversion"/>
  </si>
  <si>
    <t>노랑통닭</t>
    <phoneticPr fontId="2" type="noConversion"/>
  </si>
  <si>
    <t>멕시카나</t>
    <phoneticPr fontId="2" type="noConversion"/>
  </si>
  <si>
    <t>치킨매니아</t>
    <phoneticPr fontId="2" type="noConversion"/>
  </si>
  <si>
    <t>누구나홀딱반한닭</t>
  </si>
  <si>
    <t>맛닭꼬치킨</t>
    <phoneticPr fontId="2" type="noConversion"/>
  </si>
  <si>
    <t>노상치킨</t>
    <phoneticPr fontId="2" type="noConversion"/>
  </si>
  <si>
    <t>훌랄라참숯치킨</t>
  </si>
  <si>
    <t>리치빔피자나라치킨공주</t>
    <phoneticPr fontId="2" type="noConversion"/>
  </si>
  <si>
    <t>굽네치킨</t>
    <phoneticPr fontId="2" type="noConversion"/>
  </si>
  <si>
    <t>처갓집양념치킨</t>
    <phoneticPr fontId="2" type="noConversion"/>
  </si>
  <si>
    <t>닭강정공방</t>
    <phoneticPr fontId="2" type="noConversion"/>
  </si>
  <si>
    <t>가마치통닭</t>
    <phoneticPr fontId="2" type="noConversion"/>
  </si>
  <si>
    <t>외식전문기업JK꾸브라꼬숯불두마리치킨</t>
    <phoneticPr fontId="2" type="noConversion"/>
  </si>
  <si>
    <t>꾸브라꼬숯불두마리치킨</t>
  </si>
  <si>
    <t>명가통닭</t>
    <phoneticPr fontId="2" type="noConversion"/>
  </si>
  <si>
    <t>제이케이글로벌야들리애치킨</t>
    <phoneticPr fontId="2" type="noConversion"/>
  </si>
  <si>
    <t>야들리애치킨</t>
  </si>
  <si>
    <t>남썬치킨</t>
    <phoneticPr fontId="2" type="noConversion"/>
  </si>
  <si>
    <t>야들리애치킨</t>
    <phoneticPr fontId="2" type="noConversion"/>
  </si>
  <si>
    <t>신미식품다꾸바숯불양념치킨</t>
    <phoneticPr fontId="2" type="noConversion"/>
  </si>
  <si>
    <t>다꾸바숯불양념치킨</t>
  </si>
  <si>
    <t>GDN</t>
    <phoneticPr fontId="2" type="noConversion"/>
  </si>
  <si>
    <t>ADPACKER</t>
    <phoneticPr fontId="2" type="noConversion"/>
  </si>
  <si>
    <t>Dable</t>
    <phoneticPr fontId="2" type="noConversion"/>
  </si>
  <si>
    <t>NAPDSP</t>
    <phoneticPr fontId="2" type="noConversion"/>
  </si>
  <si>
    <t>MOLOCO</t>
    <phoneticPr fontId="2" type="noConversion"/>
  </si>
  <si>
    <t>네트워크</t>
    <phoneticPr fontId="2" type="noConversion"/>
  </si>
  <si>
    <t>APPIER</t>
  </si>
  <si>
    <t>25.11.29</t>
  </si>
  <si>
    <t>디디치킨</t>
  </si>
  <si>
    <t>디디치킨</t>
    <phoneticPr fontId="2" type="noConversion"/>
  </si>
  <si>
    <t>25년 1분기</t>
    <phoneticPr fontId="2" type="noConversion"/>
  </si>
  <si>
    <t>25년 2분기</t>
    <phoneticPr fontId="2" type="noConversion"/>
  </si>
  <si>
    <t>25년 3분기</t>
    <phoneticPr fontId="2" type="noConversion"/>
  </si>
  <si>
    <t>25년 4분기</t>
    <phoneticPr fontId="2" type="noConversion"/>
  </si>
  <si>
    <t>Total</t>
    <phoneticPr fontId="2" type="noConversion"/>
  </si>
  <si>
    <t>다음</t>
    <phoneticPr fontId="2" type="noConversion"/>
  </si>
  <si>
    <t>노랑강정</t>
    <phoneticPr fontId="2" type="noConversion"/>
  </si>
  <si>
    <t>가정용 전기전자</t>
  </si>
  <si>
    <t>주방용 전기전자</t>
  </si>
  <si>
    <t>음식물처리기</t>
  </si>
  <si>
    <t>26.01.07</t>
  </si>
  <si>
    <t>26.01.22</t>
  </si>
  <si>
    <t>26.01.26</t>
  </si>
  <si>
    <t>26.01.29</t>
  </si>
  <si>
    <t>2026년</t>
  </si>
  <si>
    <t>매체 카테고리별 광고비 현황</t>
    <phoneticPr fontId="2" type="noConversion"/>
  </si>
  <si>
    <t>2025년 11월</t>
    <phoneticPr fontId="2" type="noConversion"/>
  </si>
  <si>
    <t>2026년 1월</t>
    <phoneticPr fontId="2" type="noConversion"/>
  </si>
  <si>
    <t>m.web</t>
  </si>
  <si>
    <t>naver.com</t>
  </si>
  <si>
    <t>gmarket.co.kr</t>
  </si>
  <si>
    <t>카카오톡</t>
  </si>
  <si>
    <t>m.app</t>
  </si>
  <si>
    <t>버즈빌</t>
  </si>
  <si>
    <t>25.12.12</t>
  </si>
  <si>
    <t>25.12.14</t>
  </si>
  <si>
    <t>25.12.15</t>
  </si>
  <si>
    <t>25.12.17</t>
  </si>
  <si>
    <t>25.12.22</t>
  </si>
  <si>
    <t>25.12.23</t>
  </si>
  <si>
    <t>26.01.28</t>
  </si>
  <si>
    <t>25.12.16</t>
  </si>
  <si>
    <t>26.01.02</t>
  </si>
  <si>
    <t>26.01.05</t>
  </si>
  <si>
    <t>25.11.10</t>
  </si>
  <si>
    <t>25.11.16</t>
  </si>
  <si>
    <t>25.11.17</t>
  </si>
  <si>
    <t>25.11.18</t>
  </si>
  <si>
    <t>25.11.19</t>
  </si>
  <si>
    <t>25.11.25</t>
  </si>
  <si>
    <t>25.10.05</t>
  </si>
  <si>
    <t>25.10.06</t>
  </si>
  <si>
    <t>25.10.12</t>
  </si>
  <si>
    <t>25.11.06</t>
  </si>
  <si>
    <t>25.11.09</t>
  </si>
  <si>
    <t>26.01.30</t>
  </si>
  <si>
    <t>26.01.31</t>
  </si>
  <si>
    <t>25.10.27</t>
  </si>
  <si>
    <t>10월</t>
  </si>
  <si>
    <t>12월</t>
  </si>
  <si>
    <t>2025년 요약</t>
  </si>
  <si>
    <t>2026년 요약</t>
  </si>
  <si>
    <t>네이버</t>
    <phoneticPr fontId="2" type="noConversion"/>
  </si>
  <si>
    <t>포털</t>
    <phoneticPr fontId="2" type="noConversion"/>
  </si>
  <si>
    <t>Total</t>
    <phoneticPr fontId="2" type="noConversion"/>
  </si>
  <si>
    <t>구분</t>
    <phoneticPr fontId="2" type="noConversion"/>
  </si>
  <si>
    <t>리서치애드</t>
  </si>
  <si>
    <t>락앤락</t>
  </si>
  <si>
    <t>가정용품</t>
  </si>
  <si>
    <t>주방용품</t>
  </si>
  <si>
    <t>바이오 용기</t>
  </si>
  <si>
    <t>imbc.com</t>
  </si>
  <si>
    <t>방송(대)방송국(중)</t>
  </si>
  <si>
    <t>연예</t>
  </si>
  <si>
    <t>Taboola</t>
  </si>
  <si>
    <t>TV</t>
  </si>
  <si>
    <t>크리테오</t>
  </si>
  <si>
    <t>코렐브랜드</t>
  </si>
  <si>
    <t>코렐</t>
  </si>
  <si>
    <t>유리 및 자기그릇</t>
  </si>
  <si>
    <t>글라스락</t>
  </si>
  <si>
    <t>이케아코리아</t>
  </si>
  <si>
    <t>이케아</t>
  </si>
  <si>
    <t>가구류</t>
  </si>
  <si>
    <t>가구류 제품종합</t>
  </si>
  <si>
    <t>24.02.15</t>
  </si>
  <si>
    <t>24.03.17</t>
  </si>
  <si>
    <t>24.05.22</t>
  </si>
  <si>
    <t>24.03.27</t>
  </si>
  <si>
    <t>24.02.26</t>
  </si>
  <si>
    <t>24.04.25</t>
  </si>
  <si>
    <t>24.01.11</t>
  </si>
  <si>
    <t>24.05.14</t>
  </si>
  <si>
    <t>MSN</t>
  </si>
  <si>
    <t>tvchosun.com</t>
  </si>
  <si>
    <t>동영상플레이어</t>
  </si>
  <si>
    <t>코렐듀라나노</t>
  </si>
  <si>
    <t>조리용구</t>
  </si>
  <si>
    <t>jobkorea.co.kr</t>
  </si>
  <si>
    <t>생활정보(대)구인/구직(중)</t>
  </si>
  <si>
    <t>채용정보검색</t>
  </si>
  <si>
    <t>24.09.13</t>
  </si>
  <si>
    <t>24.07.14</t>
  </si>
  <si>
    <t>24.07.13</t>
  </si>
  <si>
    <t>24.08.11</t>
  </si>
  <si>
    <t>24.08.12</t>
  </si>
  <si>
    <t>24.08.18</t>
  </si>
  <si>
    <t>24.08.22</t>
  </si>
  <si>
    <t>24.12.03</t>
  </si>
  <si>
    <t>24.12.04</t>
  </si>
  <si>
    <t>24.12.09</t>
  </si>
  <si>
    <t>24.12.10</t>
  </si>
  <si>
    <t>24.08.13</t>
  </si>
  <si>
    <t>24.08.30</t>
  </si>
  <si>
    <t>24.10.15</t>
  </si>
  <si>
    <t>24.10.20</t>
  </si>
  <si>
    <t>24.10.21</t>
  </si>
  <si>
    <t>24.10.24</t>
  </si>
  <si>
    <t>11st.co.kr</t>
  </si>
  <si>
    <t>식품</t>
  </si>
  <si>
    <t>락앤락4in1멀티쿠커</t>
  </si>
  <si>
    <t>주방용 전기전자 기타</t>
  </si>
  <si>
    <t>25.01.23</t>
  </si>
  <si>
    <t>25.01.10</t>
  </si>
  <si>
    <t>25.01.12</t>
  </si>
  <si>
    <t>25.01.13</t>
  </si>
  <si>
    <t>25.05.25</t>
  </si>
  <si>
    <t>25.01.25</t>
  </si>
  <si>
    <t>25.01.26</t>
  </si>
  <si>
    <t>25.01.30</t>
  </si>
  <si>
    <t>25.01.31</t>
  </si>
  <si>
    <t>25.04.16</t>
  </si>
  <si>
    <t>25.02.14</t>
  </si>
  <si>
    <t>25.06.19</t>
  </si>
  <si>
    <t>락앤락올스텐접이식멀티쿠커</t>
  </si>
  <si>
    <t>락앤락음식물처리기</t>
  </si>
  <si>
    <t>nate.com</t>
  </si>
  <si>
    <t>chosun.com</t>
  </si>
  <si>
    <t>스포츠</t>
  </si>
  <si>
    <t>스포츠조선</t>
  </si>
  <si>
    <t>오피니언</t>
  </si>
  <si>
    <t>만화</t>
  </si>
  <si>
    <t>stoo.com</t>
  </si>
  <si>
    <t>donga.com</t>
  </si>
  <si>
    <t>스포츠동아</t>
  </si>
  <si>
    <t>MLB파크</t>
  </si>
  <si>
    <t>hankooki.com</t>
  </si>
  <si>
    <t>데일리한국</t>
  </si>
  <si>
    <t>hani.co.kr</t>
  </si>
  <si>
    <t>문화</t>
  </si>
  <si>
    <t>maxmovie.com</t>
  </si>
  <si>
    <t>기획</t>
  </si>
  <si>
    <t>포토</t>
  </si>
  <si>
    <t>홈</t>
  </si>
  <si>
    <t>ohmynews.com</t>
  </si>
  <si>
    <t>사는 이야기</t>
  </si>
  <si>
    <t>오마이스타</t>
  </si>
  <si>
    <t>지역</t>
  </si>
  <si>
    <t>책동네</t>
  </si>
  <si>
    <t>mk.co.kr</t>
  </si>
  <si>
    <t>사회</t>
  </si>
  <si>
    <t>산업</t>
  </si>
  <si>
    <t>여행</t>
  </si>
  <si>
    <t>전국</t>
  </si>
  <si>
    <t>khan.co.kr</t>
  </si>
  <si>
    <t>매거진</t>
  </si>
  <si>
    <t>hankyung.com</t>
  </si>
  <si>
    <t>골프</t>
  </si>
  <si>
    <t>금융</t>
  </si>
  <si>
    <t>코리아마켓</t>
  </si>
  <si>
    <t>seoul.co.kr</t>
  </si>
  <si>
    <t>국제</t>
  </si>
  <si>
    <t>mt.co.kr</t>
  </si>
  <si>
    <t>ytn.co.kr</t>
  </si>
  <si>
    <t>과학</t>
  </si>
  <si>
    <t>많이 본 뉴스</t>
  </si>
  <si>
    <t>edaily.co.kr</t>
  </si>
  <si>
    <t>부동산</t>
  </si>
  <si>
    <t>joseilbo.com</t>
  </si>
  <si>
    <t>diodeo.com</t>
  </si>
  <si>
    <t>jjang0u.com</t>
  </si>
  <si>
    <t>취미창작</t>
  </si>
  <si>
    <t>asiae.co.kr</t>
  </si>
  <si>
    <t>기획이슈</t>
  </si>
  <si>
    <t>연예스포츠</t>
  </si>
  <si>
    <t>IT/산업</t>
  </si>
  <si>
    <t>커뮤니티</t>
  </si>
  <si>
    <t>hungryapp.co.kr</t>
  </si>
  <si>
    <t>공략팬사이트</t>
  </si>
  <si>
    <t>etoday.co.kr</t>
  </si>
  <si>
    <t>뉴스발전소</t>
  </si>
  <si>
    <t>자동차</t>
  </si>
  <si>
    <t>joongang.co.kr</t>
  </si>
  <si>
    <t>라이프</t>
  </si>
  <si>
    <t>중앙선데이</t>
  </si>
  <si>
    <t>피플</t>
  </si>
  <si>
    <t>jtbc.co.kr</t>
  </si>
  <si>
    <t>예능</t>
  </si>
  <si>
    <t>보에나</t>
  </si>
  <si>
    <t>26.01.06</t>
  </si>
  <si>
    <t>25.11.23</t>
  </si>
  <si>
    <t>26.01.15</t>
  </si>
  <si>
    <t>25.10.24</t>
  </si>
  <si>
    <t>25.10.22</t>
  </si>
  <si>
    <t>25.08.21</t>
  </si>
  <si>
    <t>25.10.10</t>
  </si>
  <si>
    <t>25.12.04</t>
  </si>
  <si>
    <t>25.10.13</t>
  </si>
  <si>
    <t>25.10.23</t>
  </si>
  <si>
    <t>25.11.22</t>
  </si>
  <si>
    <t>25.09.23</t>
  </si>
  <si>
    <t>25.07.31</t>
  </si>
  <si>
    <t>25.10.17</t>
  </si>
  <si>
    <t>25.12.29</t>
  </si>
  <si>
    <t>25.08.23</t>
  </si>
  <si>
    <t>25.10.04</t>
  </si>
  <si>
    <t>25.11.03</t>
  </si>
  <si>
    <t>25.10.19</t>
  </si>
  <si>
    <t>25.09.14</t>
  </si>
  <si>
    <t>25.12.07</t>
  </si>
  <si>
    <t>25.09.15</t>
  </si>
  <si>
    <t>25.10.21</t>
  </si>
  <si>
    <t>25.11.02</t>
  </si>
  <si>
    <t>25.12.31</t>
  </si>
  <si>
    <t>25.11.24</t>
  </si>
  <si>
    <t>25.09.22</t>
  </si>
  <si>
    <t>25.11.08</t>
  </si>
  <si>
    <t>25.12.24</t>
  </si>
  <si>
    <t>25.10.09</t>
  </si>
  <si>
    <t>25.10.02</t>
  </si>
  <si>
    <t>25.08.20</t>
  </si>
  <si>
    <t>25.12.28</t>
  </si>
  <si>
    <t>25.07.27</t>
  </si>
  <si>
    <t>25.07.28</t>
  </si>
  <si>
    <t>25.07.30</t>
  </si>
  <si>
    <t>25.08.17</t>
  </si>
  <si>
    <t>25.10.07</t>
  </si>
  <si>
    <t>25.12.26</t>
  </si>
  <si>
    <t>25.12.13</t>
  </si>
  <si>
    <t>25.09.21</t>
  </si>
  <si>
    <t>25.10.08</t>
  </si>
  <si>
    <t>25.09.17</t>
  </si>
  <si>
    <t>25.12.10</t>
  </si>
  <si>
    <t>25.12.03</t>
  </si>
  <si>
    <t>25.09.13</t>
  </si>
  <si>
    <t>리서치애드</t>
    <phoneticPr fontId="2" type="noConversion"/>
  </si>
  <si>
    <t>MBC mini</t>
  </si>
  <si>
    <t>디지털캠프</t>
  </si>
  <si>
    <t>MANPLUS</t>
  </si>
  <si>
    <t>락앤락텀블러</t>
  </si>
  <si>
    <t>보온 도시락 및 물통</t>
  </si>
  <si>
    <t>Instagram</t>
  </si>
  <si>
    <t>pressian.com</t>
  </si>
  <si>
    <t>바운스볼</t>
  </si>
  <si>
    <t>벨소리 메이커</t>
  </si>
  <si>
    <t>kbench.com</t>
  </si>
  <si>
    <t>Tap Titans 2</t>
  </si>
  <si>
    <t>마이토킹톰 프렌즈</t>
  </si>
  <si>
    <t>Spiral Roll</t>
  </si>
  <si>
    <t>NAPDSP</t>
  </si>
  <si>
    <t>Phone File Recovery</t>
  </si>
  <si>
    <t>알송</t>
  </si>
  <si>
    <t>엔터테인먼트(대)음악(중)</t>
  </si>
  <si>
    <t>블루라이트 차단 스크린 필터</t>
  </si>
  <si>
    <t>Block Puzzle Jewel</t>
  </si>
  <si>
    <t>CookingMama</t>
  </si>
  <si>
    <t>전화놀이</t>
  </si>
  <si>
    <t>Brain Test</t>
  </si>
  <si>
    <t>WoodTurning</t>
  </si>
  <si>
    <t>Dream Piano</t>
  </si>
  <si>
    <t>무승부등산가 - Draw Climber</t>
  </si>
  <si>
    <t>사진속 귀신찾기</t>
  </si>
  <si>
    <t>아리 키우기: 포로 농장</t>
  </si>
  <si>
    <t>Yes or No?!</t>
  </si>
  <si>
    <t>포켓빵을 숨겼다</t>
  </si>
  <si>
    <t>부부의장난</t>
  </si>
  <si>
    <t>Assistive Touch</t>
  </si>
  <si>
    <t>25.07.01</t>
  </si>
  <si>
    <t>25.07.03</t>
  </si>
  <si>
    <t>25.07.07</t>
  </si>
  <si>
    <t>25.07.13</t>
  </si>
  <si>
    <t>25.07.08</t>
  </si>
  <si>
    <t>25.07.09</t>
  </si>
  <si>
    <t>25.07.10</t>
  </si>
  <si>
    <t>25.07.14</t>
  </si>
  <si>
    <t>25.07.17</t>
  </si>
  <si>
    <t>25.07.18</t>
  </si>
  <si>
    <t>25.07.20</t>
  </si>
  <si>
    <t>25.07.21</t>
  </si>
  <si>
    <t>25.08.01</t>
  </si>
  <si>
    <t>25.08.02</t>
  </si>
  <si>
    <t>25.08.03</t>
  </si>
  <si>
    <t>25.08.04</t>
  </si>
  <si>
    <t>25.08.05</t>
  </si>
  <si>
    <t>25.08.09</t>
  </si>
  <si>
    <t>25.08.10</t>
  </si>
  <si>
    <t>25.08.06</t>
  </si>
  <si>
    <t>25.08.08</t>
  </si>
  <si>
    <t>25.07.04</t>
  </si>
  <si>
    <t>25.09.28</t>
  </si>
  <si>
    <t>25.09.29</t>
  </si>
  <si>
    <t>25.09.30</t>
  </si>
  <si>
    <t>25.10.01</t>
  </si>
  <si>
    <t>25.10.26</t>
  </si>
  <si>
    <t>25.09.08</t>
  </si>
  <si>
    <t>25.10.20</t>
  </si>
  <si>
    <t>25.09.20</t>
  </si>
  <si>
    <t>25.07.02</t>
  </si>
  <si>
    <t>25.07.15</t>
  </si>
  <si>
    <t>25.12.11</t>
  </si>
  <si>
    <t>25.07.16</t>
  </si>
  <si>
    <t>25.07.19</t>
  </si>
  <si>
    <t>25.07.25</t>
  </si>
  <si>
    <t>25.10.31</t>
  </si>
  <si>
    <t>25.11.01</t>
  </si>
  <si>
    <t>25.11.04</t>
  </si>
  <si>
    <t>25.08.13</t>
  </si>
  <si>
    <t>25.08.07</t>
  </si>
  <si>
    <t>25.09.03</t>
  </si>
  <si>
    <t>25.09.06</t>
  </si>
  <si>
    <t>25.12.01</t>
  </si>
  <si>
    <t>25.09.11</t>
  </si>
  <si>
    <t>25.09.09</t>
  </si>
  <si>
    <t>25.09.10</t>
  </si>
  <si>
    <t>26.01.08</t>
  </si>
  <si>
    <t>25.09.05</t>
  </si>
  <si>
    <t>25.08.14</t>
  </si>
  <si>
    <t>25.07.29</t>
  </si>
  <si>
    <t>25.08.12</t>
  </si>
  <si>
    <t>25.08.11</t>
  </si>
  <si>
    <t>25.11.05</t>
  </si>
  <si>
    <t>25.08.19</t>
  </si>
  <si>
    <t>25.08.15</t>
  </si>
  <si>
    <t>25.08.16</t>
  </si>
  <si>
    <t>adpacker</t>
  </si>
  <si>
    <t>ADPACKER</t>
  </si>
  <si>
    <t>전라남도 등산로</t>
  </si>
  <si>
    <t>kbs.co.kr</t>
  </si>
  <si>
    <t>ddaily.co.kr</t>
  </si>
  <si>
    <t>말하는 안젤라</t>
  </si>
  <si>
    <t>미로찾기의 왕</t>
  </si>
  <si>
    <t>성형견적 테스트</t>
  </si>
  <si>
    <t>싸이메라</t>
  </si>
  <si>
    <t>Daddy Was A Thief</t>
  </si>
  <si>
    <t>주차의 달인 4</t>
  </si>
  <si>
    <t>마루</t>
  </si>
  <si>
    <t>한국사</t>
  </si>
  <si>
    <t>gamemeca.com</t>
  </si>
  <si>
    <t>Geometry Dash Lite</t>
  </si>
  <si>
    <t>KBO STATS</t>
  </si>
  <si>
    <t>대기오염정보</t>
  </si>
  <si>
    <t>오즈의타로</t>
  </si>
  <si>
    <t>백점</t>
  </si>
  <si>
    <t>알집</t>
  </si>
  <si>
    <t>인천버스</t>
  </si>
  <si>
    <t>게임을 숨겼다2</t>
  </si>
  <si>
    <t>전광판 LED</t>
  </si>
  <si>
    <t>깨진 화면</t>
  </si>
  <si>
    <t>7분 운동</t>
  </si>
  <si>
    <t>모바일(대)라이프스타일(중)</t>
  </si>
  <si>
    <t>Fidget Spinner</t>
  </si>
  <si>
    <t>No.Draw</t>
  </si>
  <si>
    <t>새총의 왕</t>
  </si>
  <si>
    <t>푸딩이 없어졌다</t>
  </si>
  <si>
    <t>천자문 1000자</t>
  </si>
  <si>
    <t>초성퀴즈</t>
  </si>
  <si>
    <t>소리 퀴즈</t>
  </si>
  <si>
    <t>막장 학교 퀴즈</t>
  </si>
  <si>
    <t>하루동안 연예인</t>
  </si>
  <si>
    <t>체조 선수</t>
  </si>
  <si>
    <t>Word Search</t>
  </si>
  <si>
    <t>교통수단</t>
  </si>
  <si>
    <t>ibisPaint X</t>
  </si>
  <si>
    <t>My Heart</t>
  </si>
  <si>
    <t>생활정보(대)병원/건강정보(중)</t>
  </si>
  <si>
    <t>Wood Block - Music Box</t>
  </si>
  <si>
    <t>내 캘린더</t>
  </si>
  <si>
    <t>생활정보(대)여성/육아(중)</t>
  </si>
  <si>
    <t>그림 그리기</t>
  </si>
  <si>
    <t>Dancing Road</t>
  </si>
  <si>
    <t>Unblock Ball - Block Puzzle</t>
  </si>
  <si>
    <t>Wood Block Puzzle</t>
  </si>
  <si>
    <t>Smash DIY SLIME - Fidget Slimy</t>
  </si>
  <si>
    <t>온도계</t>
  </si>
  <si>
    <t>아기 재우기</t>
  </si>
  <si>
    <t>연필 스케치</t>
  </si>
  <si>
    <t>Surprise Eggs Games And Kid Toys</t>
  </si>
  <si>
    <t>maguro</t>
  </si>
  <si>
    <t>Prom Queen</t>
  </si>
  <si>
    <t>귀신 탐지기</t>
  </si>
  <si>
    <t>커플 테스트</t>
  </si>
  <si>
    <t>나를 맞춰봐</t>
  </si>
  <si>
    <t>공주의 색</t>
  </si>
  <si>
    <t>TRUE대구</t>
  </si>
  <si>
    <t>생활정보(대)생활정보 기타(중)</t>
  </si>
  <si>
    <t>대구 등산로</t>
  </si>
  <si>
    <t>TRUE전주</t>
  </si>
  <si>
    <t>TRUE포항</t>
  </si>
  <si>
    <t>TRUE강릉</t>
  </si>
  <si>
    <t>충청남도 등산로</t>
  </si>
  <si>
    <t>TRUE천안</t>
  </si>
  <si>
    <t>거제에가면</t>
  </si>
  <si>
    <t>Lightning QR</t>
  </si>
  <si>
    <t>부산시 등산로</t>
  </si>
  <si>
    <t>광주 등산로</t>
  </si>
  <si>
    <t>인천 등산로</t>
  </si>
  <si>
    <t>폰케이스</t>
  </si>
  <si>
    <t>Voice Recorder</t>
  </si>
  <si>
    <t>Art Blitz</t>
  </si>
  <si>
    <t>Floor is Lava</t>
  </si>
  <si>
    <t>FROMISE_9 2048</t>
  </si>
  <si>
    <t>보조금24 신청가이드</t>
  </si>
  <si>
    <t>금융/비즈니스(대)금융정보(중)</t>
  </si>
  <si>
    <t>Christmas Lights</t>
  </si>
  <si>
    <t>혈당</t>
  </si>
  <si>
    <t>오늘의 옷차림</t>
  </si>
  <si>
    <t>Beauty Makeup</t>
  </si>
  <si>
    <t>생활정보(대)미용/패션(중)</t>
  </si>
  <si>
    <t>World Baseball App</t>
  </si>
  <si>
    <t>DSLR Camera HD Professional</t>
  </si>
  <si>
    <t>카카오버스</t>
  </si>
  <si>
    <t>순산해요</t>
  </si>
  <si>
    <t>진통</t>
  </si>
  <si>
    <t>심박수</t>
  </si>
  <si>
    <t>BeautyMirror</t>
  </si>
  <si>
    <t>Couple Photo Frame</t>
  </si>
  <si>
    <t>일본어번역기</t>
  </si>
  <si>
    <t>말하는 앵무새 토킹피에르</t>
  </si>
  <si>
    <t>Super Jabber Jump</t>
  </si>
  <si>
    <t>Pirate Attack</t>
  </si>
  <si>
    <t>부부의 장난 2</t>
  </si>
  <si>
    <t>경륜톡경정톡</t>
  </si>
  <si>
    <t>Doodle Drawing</t>
  </si>
  <si>
    <t>마네키네코 이모티콘</t>
  </si>
  <si>
    <t>공주 파티</t>
  </si>
  <si>
    <t>25.05.23</t>
  </si>
  <si>
    <t>25.06.23</t>
  </si>
  <si>
    <t>25.05.09</t>
  </si>
  <si>
    <t>25.05.10</t>
  </si>
  <si>
    <t>25.05.12</t>
  </si>
  <si>
    <t>25.05.15</t>
  </si>
  <si>
    <t>25.05.13</t>
  </si>
  <si>
    <t>25.05.14</t>
  </si>
  <si>
    <t>25.05.19</t>
  </si>
  <si>
    <t>25.05.20</t>
  </si>
  <si>
    <t>25.06.18</t>
  </si>
  <si>
    <t>25.06.22</t>
  </si>
  <si>
    <t>25.06.28</t>
  </si>
  <si>
    <t>25.06.30</t>
  </si>
  <si>
    <t>25.02.17</t>
  </si>
  <si>
    <t>25.02.18</t>
  </si>
  <si>
    <t>25.02.21</t>
  </si>
  <si>
    <t>25.02.23</t>
  </si>
  <si>
    <t>25.02.24</t>
  </si>
  <si>
    <t>25.02.28</t>
  </si>
  <si>
    <t>25.03.01</t>
  </si>
  <si>
    <t>25.03.02</t>
  </si>
  <si>
    <t>25.06.02</t>
  </si>
  <si>
    <t>25.02.08</t>
  </si>
  <si>
    <t>25.02.09</t>
  </si>
  <si>
    <t>25.02.10</t>
  </si>
  <si>
    <t>25.03.12</t>
  </si>
  <si>
    <t>25.03.16</t>
  </si>
  <si>
    <t>25.03.13</t>
  </si>
  <si>
    <t>25.03.17</t>
  </si>
  <si>
    <t>25.03.20</t>
  </si>
  <si>
    <t>25.01.27</t>
  </si>
  <si>
    <t>25.01.28</t>
  </si>
  <si>
    <t>25.02.26</t>
  </si>
  <si>
    <t>25.03.03</t>
  </si>
  <si>
    <t>25.03.04</t>
  </si>
  <si>
    <t>25.04.15</t>
  </si>
  <si>
    <t>25.04.18</t>
  </si>
  <si>
    <t>25.04.21</t>
  </si>
  <si>
    <t>25.04.27</t>
  </si>
  <si>
    <t>25.04.28</t>
  </si>
  <si>
    <t>25.04.29</t>
  </si>
  <si>
    <t>25.02.27</t>
  </si>
  <si>
    <t>25.06.06</t>
  </si>
  <si>
    <t>25.06.08</t>
  </si>
  <si>
    <t>25.06.09</t>
  </si>
  <si>
    <t>25.06.13</t>
  </si>
  <si>
    <t>25.06.20</t>
  </si>
  <si>
    <t>25.06.29</t>
  </si>
  <si>
    <t>25.06.05</t>
  </si>
  <si>
    <t>25.06.24</t>
  </si>
  <si>
    <t>25.06.27</t>
  </si>
  <si>
    <t>25.02.16</t>
  </si>
  <si>
    <t>25.02.22</t>
  </si>
  <si>
    <t>25.06.26</t>
  </si>
  <si>
    <t>25.01.19</t>
  </si>
  <si>
    <t>25.02.06</t>
  </si>
  <si>
    <t>25.04.09</t>
  </si>
  <si>
    <t>25.02.25</t>
  </si>
  <si>
    <t>25.01.18</t>
  </si>
  <si>
    <t>25.02.03</t>
  </si>
  <si>
    <t>25.04.11</t>
  </si>
  <si>
    <t>25.01.17</t>
  </si>
  <si>
    <t>25.04.12</t>
  </si>
  <si>
    <t>25.04.13</t>
  </si>
  <si>
    <t>25.02.12</t>
  </si>
  <si>
    <t>25.02.20</t>
  </si>
  <si>
    <t>25.04.14</t>
  </si>
  <si>
    <t>25.01.21</t>
  </si>
  <si>
    <t>25.02.07</t>
  </si>
  <si>
    <t>25.02.01</t>
  </si>
  <si>
    <t>25.01.22</t>
  </si>
  <si>
    <t>25.02.13</t>
  </si>
  <si>
    <t>25.02.05</t>
  </si>
  <si>
    <t>25.02.11</t>
  </si>
  <si>
    <t>25.04.04</t>
  </si>
  <si>
    <t>25.04.06</t>
  </si>
  <si>
    <t>25.04.07</t>
  </si>
  <si>
    <t>25.01.29</t>
  </si>
  <si>
    <t>25.02.19</t>
  </si>
  <si>
    <t>25.04.02</t>
  </si>
  <si>
    <t>25.02.02</t>
  </si>
  <si>
    <t>25.04.23</t>
  </si>
  <si>
    <t>25.01.16</t>
  </si>
  <si>
    <t>25.02.04</t>
  </si>
  <si>
    <t>25.03.07</t>
  </si>
  <si>
    <t>25.04.01</t>
  </si>
  <si>
    <t>25.01.24</t>
  </si>
  <si>
    <t>25.03.09</t>
  </si>
  <si>
    <t>25.03.10</t>
  </si>
  <si>
    <t>25.03.15</t>
  </si>
  <si>
    <t>25.04.05</t>
  </si>
  <si>
    <t>25.01.20</t>
  </si>
  <si>
    <t>감옥탈출</t>
  </si>
  <si>
    <t>말하는 진저</t>
  </si>
  <si>
    <t>배경화면 HD</t>
  </si>
  <si>
    <t>토킹 벤</t>
  </si>
  <si>
    <t>감옥탈출2</t>
  </si>
  <si>
    <t>짱웃긴만화24</t>
  </si>
  <si>
    <t>엔터테인먼트(대)만화(중)</t>
  </si>
  <si>
    <t>짱웃긴만화26</t>
  </si>
  <si>
    <t>연상퀴즈</t>
  </si>
  <si>
    <t>스마트폰을 숨겼다</t>
  </si>
  <si>
    <t>No.Diamond</t>
  </si>
  <si>
    <t>마크 스킨 제작소</t>
  </si>
  <si>
    <t>Sandwich</t>
  </si>
  <si>
    <t>rescue cut!</t>
  </si>
  <si>
    <t>말하는 고양이 토킹진저 2</t>
  </si>
  <si>
    <t>짱웃긴만화30</t>
  </si>
  <si>
    <t>무음 카메라</t>
  </si>
  <si>
    <t>킹덤 퀴즈</t>
  </si>
  <si>
    <t>Archery Club</t>
  </si>
  <si>
    <t>부부의 장난 5</t>
  </si>
  <si>
    <t>부부의 장난 3</t>
  </si>
  <si>
    <t>kmib.co.kr</t>
  </si>
  <si>
    <t>24.02.16</t>
  </si>
  <si>
    <t>24.05.18</t>
  </si>
  <si>
    <t>24.05.26</t>
  </si>
  <si>
    <t>24.06.22</t>
  </si>
  <si>
    <t>24.02.28</t>
  </si>
  <si>
    <t>24.03.06</t>
  </si>
  <si>
    <t>24.03.19</t>
  </si>
  <si>
    <t>24.03.24</t>
  </si>
  <si>
    <t>24.02.19</t>
  </si>
  <si>
    <t>24.04.07</t>
  </si>
  <si>
    <t>24.04.21</t>
  </si>
  <si>
    <t>24.06.28</t>
  </si>
  <si>
    <t>24.02.22</t>
  </si>
  <si>
    <t>24.03.07</t>
  </si>
  <si>
    <t>24.02.12</t>
  </si>
  <si>
    <t>24.04.06</t>
  </si>
  <si>
    <t>24.06.20</t>
  </si>
  <si>
    <t>24.03.31</t>
  </si>
  <si>
    <t>24.05.12</t>
  </si>
  <si>
    <t>24.01.10</t>
  </si>
  <si>
    <t>24.03.18</t>
  </si>
  <si>
    <t>24.02.10</t>
  </si>
  <si>
    <t>24.03.15</t>
  </si>
  <si>
    <t>24.03.26</t>
  </si>
  <si>
    <t>24.03.28</t>
  </si>
  <si>
    <t>24.06.24</t>
  </si>
  <si>
    <t>24.06.30</t>
  </si>
  <si>
    <t>24.04.10</t>
  </si>
  <si>
    <t>24.02.21</t>
  </si>
  <si>
    <t>24.05.24</t>
  </si>
  <si>
    <t>24.03.11</t>
  </si>
  <si>
    <t>24.04.24</t>
  </si>
  <si>
    <t>24.05.08</t>
  </si>
  <si>
    <t>24.04.17</t>
  </si>
  <si>
    <t>24.01.12</t>
  </si>
  <si>
    <t>24.02.11</t>
  </si>
  <si>
    <t>24.04.01</t>
  </si>
  <si>
    <t>24.02.23</t>
  </si>
  <si>
    <t>24.03.14</t>
  </si>
  <si>
    <t>24.03.10</t>
  </si>
  <si>
    <t>24.06.27</t>
  </si>
  <si>
    <t>24.06.25</t>
  </si>
  <si>
    <t>24.03.25</t>
  </si>
  <si>
    <t>24.03.30</t>
  </si>
  <si>
    <t>24.04.09</t>
  </si>
  <si>
    <t>24.05.01</t>
  </si>
  <si>
    <t>24.05.05</t>
  </si>
  <si>
    <t>24.05.06</t>
  </si>
  <si>
    <t>24.05.11</t>
  </si>
  <si>
    <t>24.05.13</t>
  </si>
  <si>
    <t>24.05.19</t>
  </si>
  <si>
    <t>24.05.15</t>
  </si>
  <si>
    <t>24.05.20</t>
  </si>
  <si>
    <t>24.05.21</t>
  </si>
  <si>
    <t>24.05.23</t>
  </si>
  <si>
    <t>24.01.09</t>
  </si>
  <si>
    <t>24.05.10</t>
  </si>
  <si>
    <t>24.05.17</t>
  </si>
  <si>
    <t>24.05.25</t>
  </si>
  <si>
    <t>24.05.27</t>
  </si>
  <si>
    <t>24.05.29</t>
  </si>
  <si>
    <t>24.05.30</t>
  </si>
  <si>
    <t>24.05.31</t>
  </si>
  <si>
    <t>24.06.04</t>
  </si>
  <si>
    <t>24.06.16</t>
  </si>
  <si>
    <t>24.06.29</t>
  </si>
  <si>
    <t>24.01.01</t>
  </si>
  <si>
    <t>24.01.07</t>
  </si>
  <si>
    <t>24.01.08</t>
  </si>
  <si>
    <t>24.01.14</t>
  </si>
  <si>
    <t>24.01.15</t>
  </si>
  <si>
    <t>24.01.21</t>
  </si>
  <si>
    <t>24.01.22</t>
  </si>
  <si>
    <t>24.01.28</t>
  </si>
  <si>
    <t>24.01.29</t>
  </si>
  <si>
    <t>24.01.31</t>
  </si>
  <si>
    <t>24.02.01</t>
  </si>
  <si>
    <t>24.02.04</t>
  </si>
  <si>
    <t>24.02.05</t>
  </si>
  <si>
    <t>24.02.18</t>
  </si>
  <si>
    <t>24.02.25</t>
  </si>
  <si>
    <t>24.02.29</t>
  </si>
  <si>
    <t>24.03.01</t>
  </si>
  <si>
    <t>24.03.03</t>
  </si>
  <si>
    <t>24.03.04</t>
  </si>
  <si>
    <t>24.04.03</t>
  </si>
  <si>
    <t>24.04.04</t>
  </si>
  <si>
    <t>24.04.08</t>
  </si>
  <si>
    <t>24.04.14</t>
  </si>
  <si>
    <t>24.04.15</t>
  </si>
  <si>
    <t>24.04.22</t>
  </si>
  <si>
    <t>24.04.27</t>
  </si>
  <si>
    <t>24.04.29</t>
  </si>
  <si>
    <t>24.04.30</t>
  </si>
  <si>
    <t>24.01.02</t>
  </si>
  <si>
    <t>24.01.19</t>
  </si>
  <si>
    <t>24.02.07</t>
  </si>
  <si>
    <t>24.02.09</t>
  </si>
  <si>
    <t>24.02.13</t>
  </si>
  <si>
    <t>24.02.14</t>
  </si>
  <si>
    <t>24.03.20</t>
  </si>
  <si>
    <t>24.03.21</t>
  </si>
  <si>
    <t>24.03.29</t>
  </si>
  <si>
    <t>24.04.18</t>
  </si>
  <si>
    <t>24.04.19</t>
  </si>
  <si>
    <t>24.05.02</t>
  </si>
  <si>
    <t>24.05.09</t>
  </si>
  <si>
    <t>munhwa.com</t>
  </si>
  <si>
    <t>metroseoul.co.kr</t>
  </si>
  <si>
    <t>은별바둑</t>
  </si>
  <si>
    <t>밥대생</t>
  </si>
  <si>
    <t>Pittanko</t>
  </si>
  <si>
    <t>Star Walk 2</t>
  </si>
  <si>
    <t>한자 필기인식 사전</t>
  </si>
  <si>
    <t>짱웃긴만화25</t>
  </si>
  <si>
    <t>Hidden my snacks by mom</t>
  </si>
  <si>
    <t>FlipTheGun</t>
  </si>
  <si>
    <t>Piano Kids - Music Songs</t>
  </si>
  <si>
    <t>Cut It</t>
  </si>
  <si>
    <t>한국 정치 결투</t>
  </si>
  <si>
    <t>필리핀 여행지도</t>
  </si>
  <si>
    <t>부부의 장난 4</t>
  </si>
  <si>
    <t>24.08.19</t>
  </si>
  <si>
    <t>24.08.23</t>
  </si>
  <si>
    <t>24.10.23</t>
  </si>
  <si>
    <t>24.11.08</t>
  </si>
  <si>
    <t>24.07.21</t>
  </si>
  <si>
    <t>24.07.01</t>
  </si>
  <si>
    <t>24.07.16</t>
  </si>
  <si>
    <t>24.08.01</t>
  </si>
  <si>
    <t>24.09.08</t>
  </si>
  <si>
    <t>24.10.28</t>
  </si>
  <si>
    <t>24.10.29</t>
  </si>
  <si>
    <t>24.10.31</t>
  </si>
  <si>
    <t>24.07.26</t>
  </si>
  <si>
    <t>24.07.11</t>
  </si>
  <si>
    <t>24.07.28</t>
  </si>
  <si>
    <t>24.08.16</t>
  </si>
  <si>
    <t>24.08.14</t>
  </si>
  <si>
    <t>24.07.04</t>
  </si>
  <si>
    <t>24.08.07</t>
  </si>
  <si>
    <t>24.08.06</t>
  </si>
  <si>
    <t>24.08.09</t>
  </si>
  <si>
    <t>24.09.10</t>
  </si>
  <si>
    <t>24.11.30</t>
  </si>
  <si>
    <t>24.12.01</t>
  </si>
  <si>
    <t>24.12.02</t>
  </si>
  <si>
    <t>24.12.06</t>
  </si>
  <si>
    <t>24.07.31</t>
  </si>
  <si>
    <t>24.07.25</t>
  </si>
  <si>
    <t>24.07.19</t>
  </si>
  <si>
    <t>24.07.05</t>
  </si>
  <si>
    <t>24.09.01</t>
  </si>
  <si>
    <t>24.09.03</t>
  </si>
  <si>
    <t>24.08.03</t>
  </si>
  <si>
    <t>24.08.05</t>
  </si>
  <si>
    <t>24.07.30</t>
  </si>
  <si>
    <t>24.08.02</t>
  </si>
  <si>
    <t>24.08.08</t>
  </si>
  <si>
    <t>24.08.10</t>
  </si>
  <si>
    <t>24.08.17</t>
  </si>
  <si>
    <t>24.08.15</t>
  </si>
  <si>
    <t>24.10.17</t>
  </si>
  <si>
    <t>ADEX</t>
  </si>
  <si>
    <t>가정용가구</t>
  </si>
  <si>
    <t>디지털</t>
  </si>
  <si>
    <t>YouTube</t>
  </si>
  <si>
    <t>SGC솔루션글라스락햇밥용기</t>
  </si>
  <si>
    <t>주방용기</t>
  </si>
  <si>
    <t>다음</t>
  </si>
  <si>
    <t>GOMTV</t>
  </si>
  <si>
    <t>Tving</t>
  </si>
  <si>
    <t>네이버</t>
  </si>
  <si>
    <t>락앤락프리저핏</t>
  </si>
  <si>
    <t>Afreecatv</t>
  </si>
  <si>
    <t>2024년</t>
  </si>
  <si>
    <t>락앤락마에스트로</t>
  </si>
  <si>
    <t>락앤락메트로카페세라믹텀블러</t>
  </si>
  <si>
    <t>보온도시락및물통</t>
  </si>
  <si>
    <t>락앤락스마트킵</t>
  </si>
  <si>
    <t>SGC솔루션글라스락</t>
  </si>
  <si>
    <t>24.12</t>
  </si>
  <si>
    <t>24.11</t>
  </si>
  <si>
    <t>24.10</t>
  </si>
  <si>
    <t>24.09</t>
  </si>
  <si>
    <t>24.08</t>
  </si>
  <si>
    <t>24.07</t>
  </si>
  <si>
    <t>24.06</t>
  </si>
  <si>
    <t>24.05</t>
  </si>
  <si>
    <t>25.12</t>
  </si>
  <si>
    <t>25.11</t>
  </si>
  <si>
    <t>25.10</t>
  </si>
  <si>
    <t>25.09</t>
  </si>
  <si>
    <t>25.08</t>
  </si>
  <si>
    <t>25.07</t>
  </si>
  <si>
    <t>25.06</t>
  </si>
  <si>
    <t>25.05</t>
  </si>
  <si>
    <t>25.04</t>
  </si>
  <si>
    <t>25.03</t>
  </si>
  <si>
    <t>25.02</t>
  </si>
  <si>
    <t>25.01</t>
  </si>
  <si>
    <t>네트워크</t>
    <phoneticPr fontId="2" type="noConversion"/>
  </si>
  <si>
    <t>디지털 영상</t>
    <phoneticPr fontId="2" type="noConversion"/>
  </si>
  <si>
    <t>브랜드별 집행 광고비 현황</t>
    <phoneticPr fontId="2" type="noConversion"/>
  </si>
  <si>
    <t>브랜드</t>
  </si>
  <si>
    <t>글라스락</t>
    <phoneticPr fontId="2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</si>
  <si>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</si>
  <si>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</si>
  <si>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</si>
  <si>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</si>
  <si>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</si>
  <si>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</si>
  <si>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</si>
  <si>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</si>
  <si>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2024년 요약</t>
  </si>
  <si>
    <t>코렐브랜드 - 광고비 집행 현황 (2024.01 ~ 2026.01)</t>
    <phoneticPr fontId="11" type="noConversion"/>
  </si>
  <si>
    <t xml:space="preserve"> - 데이터 기간: 2024.01.01 ~ 2026.01.31</t>
    <phoneticPr fontId="5" type="noConversion"/>
  </si>
  <si>
    <t>- 브랜드: 코렐브랜드, 락앤락, 글라스락, 이케아</t>
    <phoneticPr fontId="5" type="noConversion"/>
  </si>
  <si>
    <t xml:space="preserve"> - 리서치애드 https://www.researchad.com / ADEX</t>
    <phoneticPr fontId="5" type="noConversion"/>
  </si>
  <si>
    <t>- 2024년 1월~2026년 1월 기간 내 총 광고비 4,108,828천원 집계되었습니다.</t>
    <phoneticPr fontId="5" type="noConversion"/>
  </si>
  <si>
    <t>- 전체 기간 광고비 지출이 높은 브랜드는 '이케아 2,090,243천원 &gt; 락앤락 1,315,066천원 &gt; 글라스락 649,763천원 &gt; 코렐브랜드 53,756천원…' 순이었습니다.</t>
    <phoneticPr fontId="5" type="noConversion"/>
  </si>
  <si>
    <t>- 대부분의 브랜드에서 디지털 영상 카테고리 지출이 가장 높았습니다.</t>
    <phoneticPr fontId="2" type="noConversion"/>
  </si>
  <si>
    <t>- 전체 기간 광고비 지출이 높은 매체 카테고리는 '디지털영상 2,176,792천원 &gt; 네트워크 945,153천원 &gt; 포털 905,507천원 &gt; SNS 81,376천원…' 순이었습니다.</t>
    <phoneticPr fontId="2" type="noConversion"/>
  </si>
  <si>
    <t>매체 카테고리별 연도별 집행 광고비</t>
    <phoneticPr fontId="2" type="noConversion"/>
  </si>
  <si>
    <t>매체카테고리별 집행 광고비</t>
    <phoneticPr fontId="11" type="noConversion"/>
  </si>
  <si>
    <t>브랜드별 집행 광고비</t>
    <phoneticPr fontId="11" type="noConversion"/>
  </si>
  <si>
    <t>브랜드별 연도별 집행 광고비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</si>
</sst>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,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바른고딕"/>
      <family val="3"/>
      <charset val="129"/>
    </font>
    <font>
      <sz val="10"/>
      <color theme="1"/>
      <name val="나눔바른고딕"/>
      <family val="3"/>
      <charset val="129"/>
    </font>
    <font>
      <sz val="8"/>
      <name val="맑은 고딕"/>
      <family val="3"/>
      <charset val="129"/>
      <scheme val="minor"/>
    </font>
    <font>
      <sz val="10"/>
      <color indexed="8"/>
      <name val="나눔바른고딕"/>
      <family val="3"/>
      <charset val="129"/>
    </font>
    <font>
      <sz val="9"/>
      <color theme="1"/>
      <name val="나눔바른고딕"/>
      <family val="3"/>
      <charset val="129"/>
    </font>
    <font>
      <b/>
      <sz val="9"/>
      <color theme="0"/>
      <name val="나눔바른고딕"/>
      <family val="3"/>
      <charset val="129"/>
    </font>
    <font>
      <sz val="11"/>
      <color indexed="8"/>
      <name val="맑은 고딕"/>
      <family val="2"/>
      <scheme val="minor"/>
    </font>
    <font>
      <b/>
      <sz val="16"/>
      <color indexed="8"/>
      <name val="나눔바른고딕"/>
      <family val="3"/>
      <charset val="129"/>
    </font>
    <font>
      <sz val="8"/>
      <name val="맑은 고딕"/>
      <family val="1"/>
      <charset val="129"/>
      <scheme val="minor"/>
    </font>
    <font>
      <b/>
      <sz val="12"/>
      <color indexed="8"/>
      <name val="나눔바른고딕"/>
      <family val="3"/>
      <charset val="129"/>
    </font>
    <font>
      <sz val="10"/>
      <color theme="0"/>
      <name val="나눔바른고딕"/>
      <family val="3"/>
      <charset val="129"/>
    </font>
    <font>
      <sz val="10"/>
      <color rgb="FFFFFFFF"/>
      <name val="나눔바른고딕"/>
      <family val="3"/>
      <charset val="129"/>
    </font>
    <font>
      <sz val="10"/>
      <color rgb="FFFF0000"/>
      <name val="나눔바른고딕"/>
      <family val="3"/>
      <charset val="129"/>
    </font>
    <font>
      <b/>
      <sz val="10"/>
      <color indexed="8"/>
      <name val="나눔바른고딕"/>
      <family val="3"/>
      <charset val="129"/>
    </font>
    <font>
      <b/>
      <sz val="10"/>
      <color theme="0"/>
      <name val="나눔바른고딕"/>
      <family val="3"/>
      <charset val="129"/>
    </font>
    <font>
      <sz val="10"/>
      <color theme="1"/>
      <name val="나눔바른고딕"/>
      <family val="3"/>
    </font>
    <font>
      <sz val="10"/>
      <color theme="0"/>
      <name val="나눔바른고딕"/>
      <family val="3"/>
    </font>
    <font>
      <b/>
      <sz val="9"/>
      <color theme="1"/>
      <name val="나눔바른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나눔바른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0"/>
      <color rgb="FFC00000"/>
      <name val="나눔바른고딕"/>
      <family val="3"/>
      <charset val="129"/>
    </font>
    <font>
      <sz val="11"/>
      <color rgb="FFC00000"/>
      <name val="맑은 고딕"/>
      <family val="2"/>
      <charset val="129"/>
      <scheme val="minor"/>
    </font>
    <font>
      <sz val="11"/>
      <color rgb="FFC00000"/>
      <name val="나눔바른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0" fillId="0" borderId="3" xfId="2" applyFont="1" applyBorder="1">
      <alignment vertical="center"/>
    </xf>
    <xf numFmtId="0" fontId="12" fillId="0" borderId="3" xfId="2" applyFont="1" applyBorder="1">
      <alignment vertical="center"/>
    </xf>
    <xf numFmtId="0" fontId="6" fillId="0" borderId="3" xfId="2" applyFont="1" applyBorder="1">
      <alignment vertical="center"/>
    </xf>
    <xf numFmtId="0" fontId="13" fillId="0" borderId="0" xfId="2" applyFont="1">
      <alignment vertical="center"/>
    </xf>
    <xf numFmtId="0" fontId="14" fillId="0" borderId="0" xfId="2" applyFont="1">
      <alignment vertical="center"/>
    </xf>
    <xf numFmtId="0" fontId="15" fillId="0" borderId="0" xfId="2" applyFont="1">
      <alignment vertical="center"/>
    </xf>
    <xf numFmtId="0" fontId="6" fillId="0" borderId="0" xfId="2" applyFont="1">
      <alignment vertical="center"/>
    </xf>
    <xf numFmtId="0" fontId="6" fillId="0" borderId="0" xfId="2" applyFont="1" applyAlignment="1">
      <alignment horizontal="center" vertical="center"/>
    </xf>
    <xf numFmtId="41" fontId="6" fillId="0" borderId="0" xfId="1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>
      <alignment vertical="center"/>
    </xf>
    <xf numFmtId="41" fontId="0" fillId="0" borderId="0" xfId="1" pivotButton="1" applyFont="1">
      <alignment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41" fontId="8" fillId="2" borderId="2" xfId="1" applyFont="1" applyFill="1" applyBorder="1" applyAlignment="1">
      <alignment horizontal="center" vertical="center"/>
    </xf>
    <xf numFmtId="41" fontId="7" fillId="0" borderId="0" xfId="1" applyFont="1" applyAlignment="1">
      <alignment horizontal="center" vertical="center"/>
    </xf>
    <xf numFmtId="0" fontId="13" fillId="2" borderId="0" xfId="0" applyFont="1" applyFill="1">
      <alignment vertical="center"/>
    </xf>
    <xf numFmtId="0" fontId="19" fillId="2" borderId="0" xfId="0" applyFont="1" applyFill="1">
      <alignment vertical="center"/>
    </xf>
    <xf numFmtId="41" fontId="18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18" fillId="0" borderId="0" xfId="0" pivotButton="1" applyFont="1">
      <alignment vertical="center"/>
    </xf>
    <xf numFmtId="0" fontId="6" fillId="0" borderId="0" xfId="2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21" fillId="5" borderId="0" xfId="0" applyFont="1" applyFill="1">
      <alignment vertical="center"/>
    </xf>
    <xf numFmtId="0" fontId="21" fillId="5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4" fontId="7" fillId="0" borderId="2" xfId="0" quotePrefix="1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22" fillId="0" borderId="0" xfId="0" applyFont="1">
      <alignment vertical="center"/>
    </xf>
    <xf numFmtId="41" fontId="23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4" fillId="0" borderId="0" xfId="0" applyFont="1" applyAlignment="1">
      <alignment horizontal="left" vertical="center" indent="1"/>
    </xf>
    <xf numFmtId="0" fontId="25" fillId="0" borderId="0" xfId="0" applyFont="1">
      <alignment vertical="center"/>
    </xf>
    <xf numFmtId="0" fontId="24" fillId="0" borderId="0" xfId="0" applyFont="1">
      <alignment vertical="center"/>
    </xf>
    <xf numFmtId="0" fontId="26" fillId="0" borderId="0" xfId="0" applyFont="1">
      <alignment vertical="center"/>
    </xf>
    <xf numFmtId="0" fontId="23" fillId="0" borderId="0" xfId="0" applyFont="1">
      <alignment vertical="center"/>
    </xf>
    <xf numFmtId="0" fontId="0" fillId="0" borderId="0" xfId="0" applyFont="1">
      <alignment vertical="center"/>
    </xf>
    <xf numFmtId="0" fontId="27" fillId="0" borderId="0" xfId="0" applyFont="1">
      <alignment vertical="center"/>
    </xf>
    <xf numFmtId="3" fontId="28" fillId="0" borderId="1" xfId="0" applyNumberFormat="1" applyFont="1" applyBorder="1" applyAlignment="1">
      <alignment horizontal="right"/>
    </xf>
    <xf numFmtId="3" fontId="0" fillId="0" borderId="0" xfId="0" applyNumberFormat="1">
      <alignment vertical="center"/>
    </xf>
    <xf numFmtId="0" fontId="19" fillId="2" borderId="0" xfId="0" applyFont="1" applyFill="1" applyAlignment="1">
      <alignment horizontal="left" vertical="center"/>
    </xf>
    <xf numFmtId="0" fontId="28" fillId="0" borderId="1" xfId="0" applyNumberFormat="1" applyFont="1" applyBorder="1" applyAlignment="1">
      <alignment horizontal="right"/>
    </xf>
    <xf numFmtId="0" fontId="24" fillId="0" borderId="0" xfId="0" applyFont="1" applyAlignment="1">
      <alignment horizontal="left" vertical="center"/>
    </xf>
    <xf numFmtId="0" fontId="16" fillId="3" borderId="4" xfId="2" applyFont="1" applyFill="1" applyBorder="1" applyAlignment="1">
      <alignment horizontal="left"/>
    </xf>
    <xf numFmtId="0" fontId="16" fillId="3" borderId="5" xfId="2" applyFont="1" applyFill="1" applyBorder="1" applyAlignment="1">
      <alignment horizontal="left"/>
    </xf>
    <xf numFmtId="0" fontId="16" fillId="3" borderId="6" xfId="2" applyFont="1" applyFill="1" applyBorder="1" applyAlignment="1">
      <alignment horizontal="left"/>
    </xf>
    <xf numFmtId="0" fontId="16" fillId="3" borderId="7" xfId="2" applyFont="1" applyFill="1" applyBorder="1" applyAlignment="1">
      <alignment horizontal="left" vertical="center"/>
    </xf>
    <xf numFmtId="0" fontId="16" fillId="3" borderId="0" xfId="2" applyFont="1" applyFill="1" applyBorder="1" applyAlignment="1">
      <alignment horizontal="left" vertical="center"/>
    </xf>
    <xf numFmtId="0" fontId="16" fillId="3" borderId="8" xfId="2" applyFont="1" applyFill="1" applyBorder="1" applyAlignment="1">
      <alignment horizontal="left" vertical="center"/>
    </xf>
    <xf numFmtId="0" fontId="4" fillId="3" borderId="7" xfId="2" applyFont="1" applyFill="1" applyBorder="1" applyAlignment="1">
      <alignment horizontal="left" vertical="top"/>
    </xf>
    <xf numFmtId="0" fontId="4" fillId="3" borderId="0" xfId="2" applyFont="1" applyFill="1" applyBorder="1" applyAlignment="1">
      <alignment horizontal="left" vertical="top"/>
    </xf>
    <xf numFmtId="0" fontId="4" fillId="3" borderId="8" xfId="2" applyFont="1" applyFill="1" applyBorder="1" applyAlignment="1">
      <alignment horizontal="left" vertical="top"/>
    </xf>
    <xf numFmtId="0" fontId="6" fillId="3" borderId="7" xfId="2" applyFont="1" applyFill="1" applyBorder="1" applyAlignment="1">
      <alignment horizontal="left" vertical="top"/>
    </xf>
    <xf numFmtId="0" fontId="6" fillId="3" borderId="0" xfId="2" applyFont="1" applyFill="1" applyBorder="1" applyAlignment="1">
      <alignment horizontal="left" vertical="top"/>
    </xf>
    <xf numFmtId="0" fontId="6" fillId="3" borderId="8" xfId="2" applyFont="1" applyFill="1" applyBorder="1" applyAlignment="1">
      <alignment horizontal="left" vertical="top"/>
    </xf>
    <xf numFmtId="0" fontId="6" fillId="3" borderId="9" xfId="2" quotePrefix="1" applyFont="1" applyFill="1" applyBorder="1" applyAlignment="1">
      <alignment horizontal="left" vertical="top"/>
    </xf>
    <xf numFmtId="0" fontId="6" fillId="3" borderId="10" xfId="2" quotePrefix="1" applyFont="1" applyFill="1" applyBorder="1" applyAlignment="1">
      <alignment horizontal="left" vertical="top"/>
    </xf>
    <xf numFmtId="0" fontId="6" fillId="3" borderId="1" xfId="2" quotePrefix="1" applyFont="1" applyFill="1" applyBorder="1" applyAlignment="1">
      <alignment horizontal="left" vertical="top"/>
    </xf>
    <xf numFmtId="0" fontId="22" fillId="6" borderId="0" xfId="0" applyFont="1" applyFill="1" applyAlignment="1">
      <alignment horizontal="center" vertical="center"/>
    </xf>
    <xf numFmtId="0" fontId="6" fillId="3" borderId="7" xfId="2" quotePrefix="1" applyFont="1" applyFill="1" applyBorder="1" applyAlignment="1">
      <alignment horizontal="left" vertical="top" wrapText="1"/>
    </xf>
    <xf numFmtId="0" fontId="6" fillId="3" borderId="0" xfId="2" quotePrefix="1" applyFont="1" applyFill="1" applyBorder="1" applyAlignment="1">
      <alignment horizontal="left" vertical="top" wrapText="1"/>
    </xf>
    <xf numFmtId="0" fontId="6" fillId="3" borderId="8" xfId="2" quotePrefix="1" applyFont="1" applyFill="1" applyBorder="1" applyAlignment="1">
      <alignment horizontal="left" vertical="top" wrapText="1"/>
    </xf>
    <xf numFmtId="0" fontId="17" fillId="2" borderId="0" xfId="2" applyFont="1" applyFill="1" applyAlignment="1">
      <alignment horizontal="center" vertical="center"/>
    </xf>
    <xf numFmtId="0" fontId="6" fillId="3" borderId="9" xfId="2" quotePrefix="1" applyFont="1" applyFill="1" applyBorder="1" applyAlignment="1">
      <alignment horizontal="left" vertical="top" wrapText="1"/>
    </xf>
    <xf numFmtId="0" fontId="6" fillId="3" borderId="10" xfId="2" quotePrefix="1" applyFont="1" applyFill="1" applyBorder="1" applyAlignment="1">
      <alignment horizontal="left" vertical="top" wrapText="1"/>
    </xf>
    <xf numFmtId="0" fontId="6" fillId="3" borderId="1" xfId="2" quotePrefix="1" applyFont="1" applyFill="1" applyBorder="1" applyAlignment="1">
      <alignment horizontal="left" vertical="top" wrapText="1"/>
    </xf>
    <xf numFmtId="0" fontId="22" fillId="7" borderId="0" xfId="0" applyFont="1" applyFill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9DA81F70-BD24-4748-856E-40DD695E09C1}"/>
  </cellStyles>
  <dxfs count="89">
    <dxf>
      <numFmt numFmtId="33" formatCode="_-* #,##0_-;\-* #,##0_-;_-* &quot;-&quot;_-;_-@_-"/>
    </dxf>
    <dxf>
      <font>
        <color theme="0"/>
      </font>
      <fill>
        <patternFill patternType="solid">
          <fgColor indexed="64"/>
          <bgColor theme="1"/>
        </patternFill>
      </fill>
    </dxf>
    <dxf>
      <font>
        <color rgb="FFC00000"/>
      </font>
    </dxf>
    <dxf>
      <font>
        <color theme="0"/>
      </font>
      <fill>
        <patternFill patternType="solid">
          <fgColor indexed="64"/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alignment horizontal="left"/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color theme="0"/>
        <charset val="129"/>
      </font>
    </dxf>
    <dxf>
      <font>
        <color theme="0"/>
        <charset val="129"/>
      </font>
    </dxf>
    <dxf>
      <font>
        <color theme="0"/>
        <charset val="129"/>
      </font>
    </dxf>
    <dxf>
      <font>
        <color theme="0"/>
        <charset val="12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3" formatCode="_-* #,##0_-;\-* #,##0_-;_-* &quot;-&quot;_-;_-@_-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color theme="0"/>
      </font>
      <fill>
        <patternFill patternType="solid">
          <fgColor indexed="64"/>
          <bgColor theme="1"/>
        </patternFill>
      </fill>
    </dxf>
    <dxf>
      <font>
        <color rgb="FFC00000"/>
      </font>
    </dxf>
    <dxf>
      <font>
        <color theme="0"/>
      </font>
      <fill>
        <patternFill patternType="solid">
          <fgColor indexed="64"/>
          <bgColor theme="1"/>
        </patternFill>
      </fill>
    </dxf>
    <dxf>
      <font>
        <color theme="0"/>
      </font>
    </dxf>
    <dxf>
      <fill>
        <patternFill patternType="solid">
          <bgColor theme="1"/>
        </patternFill>
      </fill>
    </dxf>
    <dxf>
      <alignment horizontal="left"/>
    </dxf>
    <dxf>
      <fill>
        <patternFill>
          <bgColor theme="1"/>
        </patternFill>
      </fill>
    </dxf>
    <dxf>
      <alignment horizontal="center"/>
    </dxf>
    <dxf>
      <alignment horizontal="center"/>
    </dxf>
    <dxf>
      <font>
        <color theme="0"/>
        <charset val="129"/>
      </font>
    </dxf>
    <dxf>
      <font>
        <color theme="0"/>
        <charset val="129"/>
      </font>
    </dxf>
    <dxf>
      <font>
        <color theme="0"/>
        <charset val="129"/>
      </font>
    </dxf>
    <dxf>
      <font>
        <color theme="0"/>
        <charset val="129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33" formatCode="_-* #,##0_-;\-* #,##0_-;_-* &quot;-&quot;_-;_-@_-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  <dxf>
      <font>
        <name val="나눔바른고딕"/>
        <family val="3"/>
        <scheme val="none"/>
      </font>
    </dxf>
  </dxfs>
  <tableStyles count="0" defaultTableStyle="TableStyleMedium2" defaultPivotStyle="PivotStyleLight16"/>
  <colors>
    <mruColors>
      <color rgb="FFFAE4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51676855666728"/>
          <c:y val="0.11947521756134696"/>
          <c:w val="0.68218562210201938"/>
          <c:h val="0.69709888647197571"/>
        </c:manualLayout>
      </c:layout>
      <c:pieChart>
        <c:varyColors val="1"/>
        <c:ser>
          <c:idx val="0"/>
          <c:order val="0"/>
          <c:tx>
            <c:strRef>
              <c:f>광고주별!$B$3</c:f>
              <c:strCache>
                <c:ptCount val="1"/>
                <c:pt idx="0">
                  <c:v> 합계 : 광고비(천원)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D49-42B7-928E-97D126F02C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A8-45EE-9362-208F152F58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9C-42EE-A235-6668ADB03C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D1E-42DD-A2A9-15FC884F93F6}"/>
              </c:ext>
            </c:extLst>
          </c:dPt>
          <c:dLbls>
            <c:dLbl>
              <c:idx val="3"/>
              <c:layout>
                <c:manualLayout>
                  <c:x val="1.6006341054712624E-2"/>
                  <c:y val="-1.435998402313128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나눔바른고딕" panose="020B0603020101020101" pitchFamily="50" charset="-127"/>
                      <a:ea typeface="나눔바른고딕" panose="020B0603020101020101" pitchFamily="50" charset="-127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D1E-42DD-A2A9-15FC884F93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나눔바른고딕" panose="020B0603020101020101" pitchFamily="50" charset="-127"/>
                    <a:ea typeface="나눔바른고딕" panose="020B0603020101020101" pitchFamily="50" charset="-127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('제품별 광고비 현황(24.01~26.01)'!$B$43,'제품별 광고비 현황(24.01~26.01)'!$B$48,'제품별 광고비 현황(24.01~26.01)'!$B$53,'제품별 광고비 현황(24.01~26.01)'!$B$58)</c:f>
              <c:strCache>
                <c:ptCount val="4"/>
                <c:pt idx="0">
                  <c:v>이케아코리아</c:v>
                </c:pt>
                <c:pt idx="1">
                  <c:v>락앤락</c:v>
                </c:pt>
                <c:pt idx="2">
                  <c:v>글라스락</c:v>
                </c:pt>
                <c:pt idx="3">
                  <c:v>코렐브랜드</c:v>
                </c:pt>
              </c:strCache>
            </c:strRef>
          </c:cat>
          <c:val>
            <c:numRef>
              <c:f>('제품별 광고비 현황(24.01~26.01)'!$AE$43,'제품별 광고비 현황(24.01~26.01)'!$AE$48,'제품별 광고비 현황(24.01~26.01)'!$AE$53,'제품별 광고비 현황(24.01~26.01)'!$AE$58)</c:f>
              <c:numCache>
                <c:formatCode>_(* #,##0_);_(* \(#,##0\);_(* "-"_);_(@_)</c:formatCode>
                <c:ptCount val="4"/>
                <c:pt idx="0">
                  <c:v>2090243</c:v>
                </c:pt>
                <c:pt idx="1">
                  <c:v>1315066</c:v>
                </c:pt>
                <c:pt idx="2">
                  <c:v>649763</c:v>
                </c:pt>
                <c:pt idx="3">
                  <c:v>53756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49-42B7-928E-97D126F02C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80457788309931"/>
          <c:y val="0.80644987566429149"/>
          <c:w val="0.81232201147580763"/>
          <c:h val="0.1931531971602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864117152651152E-2"/>
          <c:y val="4.3334679593243386E-2"/>
          <c:w val="0.90665574081122813"/>
          <c:h val="0.776277126892166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'제품별 광고비 현황(24.01~26.01)'!$B$43</c:f>
              <c:strCache>
                <c:ptCount val="1"/>
                <c:pt idx="0">
                  <c:v>이케아코리아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('제품별 광고비 현황(24.01~26.01)'!$L$39:$N$39,'제품별 광고비 현황(24.01~26.01)'!$P$39)</c:f>
              <c:numCache>
                <c:formatCode>General</c:formatCode>
                <c:ptCount val="4"/>
              </c:numCache>
            </c:numRef>
          </c:cat>
          <c:val>
            <c:numRef>
              <c:f>('제품별 광고비 현황(24.01~26.01)'!$O$43,'제품별 광고비 현황(24.01~26.01)'!$AB$43,'제품별 광고비 현황(24.01~26.01)'!$AD$43)</c:f>
              <c:numCache>
                <c:formatCode>_(* #,##0_);_(* \(#,##0\);_(* "-"_);_(@_)</c:formatCode>
                <c:ptCount val="3"/>
                <c:pt idx="0">
                  <c:v>609309</c:v>
                </c:pt>
                <c:pt idx="1">
                  <c:v>1479361</c:v>
                </c:pt>
                <c:pt idx="2">
                  <c:v>1573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88-4EED-B42F-0DE2DDFD2688}"/>
            </c:ext>
          </c:extLst>
        </c:ser>
        <c:ser>
          <c:idx val="1"/>
          <c:order val="1"/>
          <c:tx>
            <c:strRef>
              <c:f>'제품별 광고비 현황(24.01~26.01)'!$B$48</c:f>
              <c:strCache>
                <c:ptCount val="1"/>
                <c:pt idx="0">
                  <c:v>락앤락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('제품별 광고비 현황(24.01~26.01)'!$L$39:$N$39,'제품별 광고비 현황(24.01~26.01)'!$P$39)</c:f>
              <c:numCache>
                <c:formatCode>General</c:formatCode>
                <c:ptCount val="4"/>
              </c:numCache>
            </c:numRef>
          </c:cat>
          <c:val>
            <c:numRef>
              <c:f>('제품별 광고비 현황(24.01~26.01)'!$O$48,'제품별 광고비 현황(24.01~26.01)'!$AB$48,'제품별 광고비 현황(24.01~26.01)'!$AD$48)</c:f>
              <c:numCache>
                <c:formatCode>_(* #,##0_);_(* \(#,##0\);_(* "-"_);_(@_)</c:formatCode>
                <c:ptCount val="3"/>
                <c:pt idx="0">
                  <c:v>320857</c:v>
                </c:pt>
                <c:pt idx="1">
                  <c:v>992461</c:v>
                </c:pt>
                <c:pt idx="2">
                  <c:v>1748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D-493F-9D2B-F259E3E252FA}"/>
            </c:ext>
          </c:extLst>
        </c:ser>
        <c:ser>
          <c:idx val="2"/>
          <c:order val="2"/>
          <c:tx>
            <c:strRef>
              <c:f>'제품별 광고비 현황(24.01~26.01)'!$B$53</c:f>
              <c:strCache>
                <c:ptCount val="1"/>
                <c:pt idx="0">
                  <c:v>글라스락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('제품별 광고비 현황(24.01~26.01)'!$L$39:$N$39,'제품별 광고비 현황(24.01~26.01)'!$P$39)</c:f>
              <c:numCache>
                <c:formatCode>General</c:formatCode>
                <c:ptCount val="4"/>
              </c:numCache>
            </c:numRef>
          </c:cat>
          <c:val>
            <c:numRef>
              <c:f>('제품별 광고비 현황(24.01~26.01)'!$O$53,'제품별 광고비 현황(24.01~26.01)'!$AB$53,'제품별 광고비 현황(24.01~26.01)'!$AD$53)</c:f>
              <c:numCache>
                <c:formatCode>_(* #,##0_);_(* \(#,##0\);_(* "-"_);_(@_)</c:formatCode>
                <c:ptCount val="3"/>
                <c:pt idx="0">
                  <c:v>587413</c:v>
                </c:pt>
                <c:pt idx="1">
                  <c:v>54006</c:v>
                </c:pt>
                <c:pt idx="2">
                  <c:v>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2-44EB-85E9-9BE674A2D62A}"/>
            </c:ext>
          </c:extLst>
        </c:ser>
        <c:ser>
          <c:idx val="10"/>
          <c:order val="3"/>
          <c:tx>
            <c:strRef>
              <c:f>'제품별 광고비 현황(24.01~26.01)'!$B$58</c:f>
              <c:strCache>
                <c:ptCount val="1"/>
                <c:pt idx="0">
                  <c:v>코렐브랜드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('제품별 광고비 현황(24.01~26.01)'!$O$41,'제품별 광고비 현황(24.01~26.01)'!$AB$41,'제품별 광고비 현황(24.01~26.01)'!$AD$41)</c:f>
              <c:strCache>
                <c:ptCount val="3"/>
                <c:pt idx="0">
                  <c:v>2024년 요약</c:v>
                </c:pt>
                <c:pt idx="1">
                  <c:v>2025년 요약</c:v>
                </c:pt>
                <c:pt idx="2">
                  <c:v>2026년 요약</c:v>
                </c:pt>
              </c:strCache>
            </c:strRef>
          </c:cat>
          <c:val>
            <c:numRef>
              <c:f>('제품별 광고비 현황(24.01~26.01)'!$O$58,'제품별 광고비 현황(24.01~26.01)'!$AB$58,'제품별 광고비 현황(24.01~26.01)'!$AD$58)</c:f>
              <c:numCache>
                <c:formatCode>_(* #,##0_);_(* \(#,##0\);_(* "-"_);_(@_)</c:formatCode>
                <c:ptCount val="3"/>
                <c:pt idx="0">
                  <c:v>19177</c:v>
                </c:pt>
                <c:pt idx="1">
                  <c:v>21468</c:v>
                </c:pt>
                <c:pt idx="2">
                  <c:v>13111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52-498B-AA13-66C5A9F5E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3066192"/>
        <c:axId val="1733067632"/>
      </c:barChart>
      <c:lineChart>
        <c:grouping val="standard"/>
        <c:varyColors val="0"/>
        <c:ser>
          <c:idx val="3"/>
          <c:order val="4"/>
          <c:tx>
            <c:strRef>
              <c:f>'제품별 광고비 현황(24.01~26.01)'!$B$62</c:f>
              <c:strCache>
                <c:ptCount val="1"/>
                <c:pt idx="0">
                  <c:v>총 합계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바른고딕" panose="020B0603020101020101" pitchFamily="50" charset="-127"/>
                    <a:ea typeface="나눔바른고딕" panose="020B0603020101020101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('제품별 광고비 현황(24.01~26.01)'!$O$41,'제품별 광고비 현황(24.01~26.01)'!$AB$41,'제품별 광고비 현황(24.01~26.01)'!$AD$41)</c:f>
              <c:strCache>
                <c:ptCount val="3"/>
                <c:pt idx="0">
                  <c:v>2024년 요약</c:v>
                </c:pt>
                <c:pt idx="1">
                  <c:v>2025년 요약</c:v>
                </c:pt>
                <c:pt idx="2">
                  <c:v>2026년 요약</c:v>
                </c:pt>
              </c:strCache>
            </c:strRef>
          </c:cat>
          <c:val>
            <c:numRef>
              <c:f>('제품별 광고비 현황(24.01~26.01)'!$O$62,'제품별 광고비 현황(24.01~26.01)'!$AB$62,'제품별 광고비 현황(24.01~26.01)'!$AD$62)</c:f>
              <c:numCache>
                <c:formatCode>_(* #,##0_);_(* \(#,##0\);_(* "-"_);_(@_)</c:formatCode>
                <c:ptCount val="3"/>
                <c:pt idx="0">
                  <c:v>1536756</c:v>
                </c:pt>
                <c:pt idx="1">
                  <c:v>2547296</c:v>
                </c:pt>
                <c:pt idx="2">
                  <c:v>24776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92-4469-9F6A-CC7035AB5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066192"/>
        <c:axId val="1733067632"/>
      </c:lineChart>
      <c:catAx>
        <c:axId val="17330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733067632"/>
        <c:crosses val="autoZero"/>
        <c:auto val="1"/>
        <c:lblAlgn val="ctr"/>
        <c:lblOffset val="100"/>
        <c:noMultiLvlLbl val="0"/>
      </c:catAx>
      <c:valAx>
        <c:axId val="17330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73306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451676855666728"/>
          <c:y val="0.11947521756134696"/>
          <c:w val="0.68218562210201938"/>
          <c:h val="0.69709888647197571"/>
        </c:manualLayout>
      </c:layout>
      <c:pieChart>
        <c:varyColors val="1"/>
        <c:ser>
          <c:idx val="0"/>
          <c:order val="0"/>
          <c:tx>
            <c:strRef>
              <c:f>광고주별!$B$3</c:f>
              <c:strCache>
                <c:ptCount val="1"/>
                <c:pt idx="0">
                  <c:v> 합계 : 광고비(천원)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BD-4843-9739-1E8F0D07EF5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BD-4843-9739-1E8F0D07EF5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BD-4843-9739-1E8F0D07EF5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BD-4843-9739-1E8F0D07EF54}"/>
              </c:ext>
            </c:extLst>
          </c:dPt>
          <c:dLbls>
            <c:dLbl>
              <c:idx val="3"/>
              <c:layout>
                <c:manualLayout>
                  <c:x val="4.3826814463873466E-3"/>
                  <c:y val="-1.438504786927978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나눔바른고딕" panose="020B0603020101020101" pitchFamily="50" charset="-127"/>
                      <a:ea typeface="나눔바른고딕" panose="020B0603020101020101" pitchFamily="50" charset="-127"/>
                      <a:cs typeface="+mn-cs"/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FBD-4843-9739-1E8F0D07EF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나눔바른고딕" panose="020B0603020101020101" pitchFamily="50" charset="-127"/>
                    <a:ea typeface="나눔바른고딕" panose="020B0603020101020101" pitchFamily="50" charset="-127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('매체 카테고리별 광고비 현황(24.01~26.01)'!$B$42,'매체 카테고리별 광고비 현황(24.01~26.01)'!$B$49,'매체 카테고리별 광고비 현황(24.01~26.01)'!$B$62,'매체 카테고리별 광고비 현황(24.01~26.01)'!$B$65)</c:f>
              <c:strCache>
                <c:ptCount val="4"/>
                <c:pt idx="0">
                  <c:v>디지털 영상</c:v>
                </c:pt>
                <c:pt idx="1">
                  <c:v>네트워크</c:v>
                </c:pt>
                <c:pt idx="2">
                  <c:v>포털</c:v>
                </c:pt>
                <c:pt idx="3">
                  <c:v>SNS</c:v>
                </c:pt>
              </c:strCache>
            </c:strRef>
          </c:cat>
          <c:val>
            <c:numRef>
              <c:f>('매체 카테고리별 광고비 현황(24.01~26.01)'!$AE$42,'매체 카테고리별 광고비 현황(24.01~26.01)'!$AE$49,'매체 카테고리별 광고비 현황(24.01~26.01)'!$AE$62,'매체 카테고리별 광고비 현황(24.01~26.01)'!$AE$65)</c:f>
              <c:numCache>
                <c:formatCode>_(* #,##0_);_(* \(#,##0\);_(* "-"_);_(@_)</c:formatCode>
                <c:ptCount val="4"/>
                <c:pt idx="0">
                  <c:v>2176792</c:v>
                </c:pt>
                <c:pt idx="1">
                  <c:v>945153</c:v>
                </c:pt>
                <c:pt idx="2">
                  <c:v>905507</c:v>
                </c:pt>
                <c:pt idx="3">
                  <c:v>81376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BD-4843-9739-1E8F0D07EF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580457788309931"/>
          <c:y val="0.80644987566429149"/>
          <c:w val="0.81232201147580763"/>
          <c:h val="0.19315319716021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864117152651152E-2"/>
          <c:y val="4.3334679593243386E-2"/>
          <c:w val="0.90665574081122813"/>
          <c:h val="0.7762771268921664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'매체 카테고리별 광고비 현황(24.01~26.01)'!$B$42</c:f>
              <c:strCache>
                <c:ptCount val="1"/>
                <c:pt idx="0">
                  <c:v>디지털 영상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('매체 카테고리별 광고비 현황(24.01~26.01)'!$L$38:$N$38,'매체 카테고리별 광고비 현황(24.01~26.01)'!$P$38)</c:f>
              <c:numCache>
                <c:formatCode>General</c:formatCode>
                <c:ptCount val="4"/>
              </c:numCache>
            </c:numRef>
          </c:cat>
          <c:val>
            <c:numRef>
              <c:f>('매체 카테고리별 광고비 현황(24.01~26.01)'!$O$42,'매체 카테고리별 광고비 현황(24.01~26.01)'!$AB$42,'매체 카테고리별 광고비 현황(24.01~26.01)'!$AD$42)</c:f>
              <c:numCache>
                <c:formatCode>_(* #,##0_);_(* \(#,##0\);_(* "-"_);_(@_)</c:formatCode>
                <c:ptCount val="3"/>
                <c:pt idx="0">
                  <c:v>940598</c:v>
                </c:pt>
                <c:pt idx="1">
                  <c:v>1236194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5-405E-B57C-C0626901BCA6}"/>
            </c:ext>
          </c:extLst>
        </c:ser>
        <c:ser>
          <c:idx val="1"/>
          <c:order val="1"/>
          <c:tx>
            <c:strRef>
              <c:f>'매체 카테고리별 광고비 현황(24.01~26.01)'!$B$49</c:f>
              <c:strCache>
                <c:ptCount val="1"/>
                <c:pt idx="0">
                  <c:v>네트워크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('매체 카테고리별 광고비 현황(24.01~26.01)'!$L$38:$N$38,'매체 카테고리별 광고비 현황(24.01~26.01)'!$P$38)</c:f>
              <c:numCache>
                <c:formatCode>General</c:formatCode>
                <c:ptCount val="4"/>
              </c:numCache>
            </c:numRef>
          </c:cat>
          <c:val>
            <c:numRef>
              <c:f>('매체 카테고리별 광고비 현황(24.01~26.01)'!$O$49,'매체 카테고리별 광고비 현황(24.01~26.01)'!$AB$49,'매체 카테고리별 광고비 현황(24.01~26.01)'!$AD$49)</c:f>
              <c:numCache>
                <c:formatCode>_(* #,##0_);_(* \(#,##0\);_(* "-"_);_(@_)</c:formatCode>
                <c:ptCount val="3"/>
                <c:pt idx="0">
                  <c:v>371498</c:v>
                </c:pt>
                <c:pt idx="1">
                  <c:v>570741</c:v>
                </c:pt>
                <c:pt idx="2">
                  <c:v>2914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5-405E-B57C-C0626901BCA6}"/>
            </c:ext>
          </c:extLst>
        </c:ser>
        <c:ser>
          <c:idx val="2"/>
          <c:order val="2"/>
          <c:tx>
            <c:strRef>
              <c:f>'매체 카테고리별 광고비 현황(24.01~26.01)'!$B$62</c:f>
              <c:strCache>
                <c:ptCount val="1"/>
                <c:pt idx="0">
                  <c:v>포털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('매체 카테고리별 광고비 현황(24.01~26.01)'!$L$38:$N$38,'매체 카테고리별 광고비 현황(24.01~26.01)'!$P$38)</c:f>
              <c:numCache>
                <c:formatCode>General</c:formatCode>
                <c:ptCount val="4"/>
              </c:numCache>
            </c:numRef>
          </c:cat>
          <c:val>
            <c:numRef>
              <c:f>('매체 카테고리별 광고비 현황(24.01~26.01)'!$O$62,'매체 카테고리별 광고비 현황(24.01~26.01)'!$AB$62,'매체 카테고리별 광고비 현황(24.01~26.01)'!$AD$62)</c:f>
              <c:numCache>
                <c:formatCode>_(* #,##0_);_(* \(#,##0\);_(* "-"_);_(@_)</c:formatCode>
                <c:ptCount val="3"/>
                <c:pt idx="0">
                  <c:v>203715</c:v>
                </c:pt>
                <c:pt idx="1">
                  <c:v>681647</c:v>
                </c:pt>
                <c:pt idx="2">
                  <c:v>20145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5-405E-B57C-C0626901BCA6}"/>
            </c:ext>
          </c:extLst>
        </c:ser>
        <c:ser>
          <c:idx val="10"/>
          <c:order val="3"/>
          <c:tx>
            <c:strRef>
              <c:f>'매체 카테고리별 광고비 현황(24.01~26.01)'!$B$65</c:f>
              <c:strCache>
                <c:ptCount val="1"/>
                <c:pt idx="0">
                  <c:v>SNS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('매체 카테고리별 광고비 현황(24.01~26.01)'!$O$40,'매체 카테고리별 광고비 현황(24.01~26.01)'!$AB$40,'매체 카테고리별 광고비 현황(24.01~26.01)'!$AD$40)</c:f>
              <c:strCache>
                <c:ptCount val="3"/>
                <c:pt idx="0">
                  <c:v>2024년 요약</c:v>
                </c:pt>
                <c:pt idx="1">
                  <c:v>2025년 요약</c:v>
                </c:pt>
                <c:pt idx="2">
                  <c:v>2026년 요약</c:v>
                </c:pt>
              </c:strCache>
            </c:strRef>
          </c:cat>
          <c:val>
            <c:numRef>
              <c:f>('매체 카테고리별 광고비 현황(24.01~26.01)'!$O$65,'매체 카테고리별 광고비 현황(24.01~26.01)'!$AB$65,'매체 카테고리별 광고비 현황(24.01~26.01)'!$AD$65)</c:f>
              <c:numCache>
                <c:formatCode>_(* #,##0_);_(* \(#,##0\);_(* "-"_);_(@_)</c:formatCode>
                <c:ptCount val="3"/>
                <c:pt idx="0">
                  <c:v>20945</c:v>
                </c:pt>
                <c:pt idx="1">
                  <c:v>58714</c:v>
                </c:pt>
                <c:pt idx="2">
                  <c:v>1717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25-405E-B57C-C0626901B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33066192"/>
        <c:axId val="1733067632"/>
      </c:barChart>
      <c:lineChart>
        <c:grouping val="standard"/>
        <c:varyColors val="0"/>
        <c:ser>
          <c:idx val="3"/>
          <c:order val="4"/>
          <c:tx>
            <c:strRef>
              <c:f>'매체 카테고리별 광고비 현황(24.01~26.01)'!$B$67</c:f>
              <c:strCache>
                <c:ptCount val="1"/>
                <c:pt idx="0">
                  <c:v>총 합계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바른고딕" panose="020B0603020101020101" pitchFamily="50" charset="-127"/>
                    <a:ea typeface="나눔바른고딕" panose="020B0603020101020101" pitchFamily="50" charset="-127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('매체 카테고리별 광고비 현황(24.01~26.01)'!$O$40,'매체 카테고리별 광고비 현황(24.01~26.01)'!$AB$40,'매체 카테고리별 광고비 현황(24.01~26.01)'!$AD$40)</c:f>
              <c:strCache>
                <c:ptCount val="3"/>
                <c:pt idx="0">
                  <c:v>2024년 요약</c:v>
                </c:pt>
                <c:pt idx="1">
                  <c:v>2025년 요약</c:v>
                </c:pt>
                <c:pt idx="2">
                  <c:v>2026년 요약</c:v>
                </c:pt>
              </c:strCache>
            </c:strRef>
          </c:cat>
          <c:val>
            <c:numRef>
              <c:f>('매체 카테고리별 광고비 현황(24.01~26.01)'!$O$67,'매체 카테고리별 광고비 현황(24.01~26.01)'!$AB$67,'매체 카테고리별 광고비 현황(24.01~26.01)'!$AD$67)</c:f>
              <c:numCache>
                <c:formatCode>_(* #,##0_);_(* \(#,##0\);_(* "-"_);_(@_)</c:formatCode>
                <c:ptCount val="3"/>
                <c:pt idx="0">
                  <c:v>1536756</c:v>
                </c:pt>
                <c:pt idx="1">
                  <c:v>2547296</c:v>
                </c:pt>
                <c:pt idx="2">
                  <c:v>24776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3-4D1F-BAA4-EDF4FC653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066192"/>
        <c:axId val="1733067632"/>
      </c:lineChart>
      <c:catAx>
        <c:axId val="173306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733067632"/>
        <c:crosses val="autoZero"/>
        <c:auto val="1"/>
        <c:lblAlgn val="ctr"/>
        <c:lblOffset val="100"/>
        <c:noMultiLvlLbl val="0"/>
      </c:catAx>
      <c:valAx>
        <c:axId val="173306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나눔바른고딕" panose="020B0603020101020101" pitchFamily="50" charset="-127"/>
                <a:ea typeface="나눔바른고딕" panose="020B0603020101020101" pitchFamily="50" charset="-127"/>
                <a:cs typeface="+mn-cs"/>
              </a:defRPr>
            </a:pPr>
            <a:endParaRPr lang="ko-KR"/>
          </a:p>
        </c:txPr>
        <c:crossAx val="173306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나눔바른고딕" panose="020B0603020101020101" pitchFamily="50" charset="-127"/>
              <a:ea typeface="나눔바른고딕" panose="020B0603020101020101" pitchFamily="50" charset="-127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나눔바른고딕" panose="020B0603020101020101" pitchFamily="50" charset="-127"/>
          <a:ea typeface="나눔바른고딕" panose="020B0603020101020101" pitchFamily="50" charset="-127"/>
        </a:defRPr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16</xdr:row>
      <xdr:rowOff>59578</xdr:rowOff>
    </xdr:from>
    <xdr:to>
      <xdr:col>5</xdr:col>
      <xdr:colOff>1121</xdr:colOff>
      <xdr:row>36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EB1278-40A1-5ADC-5668-9561B5740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74706</xdr:rowOff>
    </xdr:from>
    <xdr:to>
      <xdr:col>14</xdr:col>
      <xdr:colOff>0</xdr:colOff>
      <xdr:row>36</xdr:row>
      <xdr:rowOff>26333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101E7AE-0FD0-CE6B-EB65-4BAC8F13A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</xdr:colOff>
      <xdr:row>15</xdr:row>
      <xdr:rowOff>59578</xdr:rowOff>
    </xdr:from>
    <xdr:to>
      <xdr:col>5</xdr:col>
      <xdr:colOff>1121</xdr:colOff>
      <xdr:row>35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380D74-87EE-4830-99DE-43F49E732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15</xdr:row>
      <xdr:rowOff>74706</xdr:rowOff>
    </xdr:from>
    <xdr:to>
      <xdr:col>14</xdr:col>
      <xdr:colOff>0</xdr:colOff>
      <xdr:row>35</xdr:row>
      <xdr:rowOff>26333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9F083B4-3473-4A30-BCBB-E0E4CEA78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형은" refreshedDate="45838.825625231482" createdVersion="8" refreshedVersion="8" minRefreshableVersion="3" recordCount="4581" xr:uid="{560D5F13-9D18-4B8A-9760-08C1A311C8CA}">
  <cacheSource type="worksheet">
    <worksheetSource ref="D1:Q1" sheet="RAW"/>
  </cacheSource>
  <cacheFields count="16">
    <cacheField name="구분(앱/웹)" numFmtId="0">
      <sharedItems containsBlank="1"/>
    </cacheField>
    <cacheField name="광고주" numFmtId="0">
      <sharedItems containsBlank="1" count="6">
        <s v="삼성전자"/>
        <s v="LG전자"/>
        <s v="쿠쿠전자"/>
        <s v="로보락"/>
        <s v="드리미"/>
        <m/>
      </sharedItems>
    </cacheField>
    <cacheField name="브랜드" numFmtId="0">
      <sharedItems containsBlank="1" count="34">
        <s v="삼성비스포크AI제트"/>
        <s v="LG로보킹AI올인원"/>
        <s v="쿠쿠파워클론무선청소기"/>
        <s v="쿠쿠파워클론슬림"/>
        <s v="로보락"/>
        <s v="로보락다이애드프로"/>
        <s v="로보락S8MaxVUltra"/>
        <s v="로보락플렉시프로"/>
        <s v="로보락Q레보프로"/>
        <s v="로보락H5"/>
        <s v="로보락Q레보커브"/>
        <s v="로보락S9MaxV"/>
        <s v="로보락F25Ace"/>
        <s v="로보락Q레보엣지C"/>
        <s v="로보락Q"/>
        <s v="로보락사로스Z70"/>
        <s v="드리미"/>
        <s v="드리미봇L20울트라"/>
        <s v="드리미X50울트라"/>
        <s v="드리미L40S프로울트라"/>
        <s v="드리미X50S프로울트라"/>
        <s v="삼성비스포크제트"/>
        <s v="삼성비스포크제트봇AI"/>
        <s v="비스포크AI스팀"/>
        <s v="LG코드제로"/>
        <s v="LG코드제로오브제컬렉션A9S"/>
        <s v="쿠쿠파워클론미니"/>
        <s v="로보락S8프로울트라"/>
        <s v="로보락S8플러스"/>
        <s v="로보락F25RT"/>
        <s v="드리미H12프로"/>
        <s v="드리미X50마스터"/>
        <s v="드리미Z10스테이션"/>
        <m/>
      </sharedItems>
    </cacheField>
    <cacheField name="업종(대)" numFmtId="0">
      <sharedItems containsBlank="1"/>
    </cacheField>
    <cacheField name="업종(중)" numFmtId="0">
      <sharedItems containsBlank="1"/>
    </cacheField>
    <cacheField name="업종(소)" numFmtId="0">
      <sharedItems containsBlank="1"/>
    </cacheField>
    <cacheField name="캠페인" numFmtId="0">
      <sharedItems containsBlank="1"/>
    </cacheField>
    <cacheField name="앱/매체" numFmtId="0">
      <sharedItems containsBlank="1" containsMixedTypes="1" containsNumber="1" containsInteger="1" minValue="2048" maxValue="2048" count="185">
        <s v="chosun.com"/>
        <s v="korea.com"/>
        <s v="donga.com"/>
        <s v="gajai.com"/>
        <s v="hani.co.kr"/>
        <s v="mk.co.kr"/>
        <s v="dcinside.com"/>
        <s v="yna.co.kr"/>
        <s v="hankyung.com"/>
        <s v="fnnews.com"/>
        <s v="seoul.co.kr"/>
        <s v="kmib.co.kr"/>
        <s v="etnews.com"/>
        <s v="inews24.com"/>
        <s v="ddaily.co.kr"/>
        <s v="mediatoday.co.kr"/>
        <s v="nocutnews.co.kr"/>
        <s v="diodeo.com"/>
        <s v="thinkpool.com"/>
        <s v="newdaily.co.kr"/>
        <s v="kbench.com"/>
        <s v="facebook.com"/>
        <s v="ruliweb.com"/>
        <s v="zum.com"/>
        <s v="isplus.com"/>
        <s v="gmarket.co.kr"/>
        <s v="daum.net"/>
        <s v="nate.com"/>
        <s v="dreamwiz.com"/>
        <s v="sbs.co.kr"/>
        <s v="imbc.com"/>
        <s v="sportsseoul.com"/>
        <s v="stoo.com"/>
        <s v="hankooki.com"/>
        <s v="ohmynews.com"/>
        <s v="khan.co.kr"/>
        <s v="munhwa.com"/>
        <s v="humoruniv.com"/>
        <s v="pressian.com"/>
        <s v="moneta.co.kr"/>
        <s v="cine21.com"/>
        <s v="zdnet.co.kr"/>
        <s v="mt.co.kr"/>
        <s v="metroseoul.co.kr"/>
        <s v="ytn.co.kr"/>
        <s v="edaily.co.kr"/>
        <s v="dt.co.kr"/>
        <s v="joseilbo.com"/>
        <s v="jjang0u.com"/>
        <s v="mydaily.co.kr"/>
        <s v="asiae.co.kr"/>
        <s v="inven.co.kr"/>
        <s v="gamemeca.com"/>
        <s v="bloter.net"/>
        <s v="tf.co.kr"/>
        <s v="hungryapp.co.kr"/>
        <s v="thisisgame.com"/>
        <s v="etoday.co.kr"/>
        <s v="ichannela.com"/>
        <s v="tvchosun.com"/>
        <s v="joongang.co.kr"/>
        <s v="jtbc.co.kr"/>
        <s v="11st.co.kr"/>
        <s v="naver.com"/>
        <s v="maxmovie.com"/>
        <s v="kbs.co.kr"/>
        <s v="enuri.com"/>
        <s v="MSN"/>
        <s v="haeorum.com"/>
        <s v="youtube.com"/>
        <s v="auction.co.kr"/>
        <s v="버즈빌"/>
        <s v="카카오톡"/>
        <s v="MBC mini"/>
        <s v="Instagram"/>
        <s v="Piano Perfect"/>
        <s v="미세미세"/>
        <s v="스코어센터"/>
        <s v="저절로암기 영단어"/>
        <s v="더데이"/>
        <s v="백점"/>
        <s v="알집"/>
        <s v="Hide&amp;Seek"/>
        <s v="TIViewer"/>
        <s v="계산기 모음"/>
        <s v="고급유머 개드립"/>
        <s v="의학백과사전"/>
        <s v="미미네 미니어쳐 (MIMINE)"/>
        <s v="CookingMama"/>
        <s v="트로트 메들리"/>
        <s v="간편한 경조사비 관리"/>
        <s v="프로야구 LIVE"/>
        <s v="Piano Kids - Music Songs"/>
        <s v="교통수단"/>
        <s v="마크 스킨 제작소"/>
        <s v="용돈 가계부"/>
        <s v="좋은 가계부"/>
        <s v="Wood Block Puzzle"/>
        <s v="용구 탄생의 비밀"/>
        <s v="Anime Girls"/>
        <s v="커플 테스트"/>
        <s v="대구 등산로"/>
        <s v="전라북도 등산로"/>
        <s v="카카오버스"/>
        <s v="심박수"/>
        <s v="제주 여행지도"/>
        <s v="벨소리 메이커"/>
        <s v="QR 코드 스캐너"/>
        <s v="오늘의 수호천사"/>
        <s v="TRUE대구"/>
        <s v="진주에가면"/>
        <s v="TRUE창원"/>
        <s v="나이 계산기"/>
        <s v="Smart Measure"/>
        <s v="Voice Recorder"/>
        <s v="소음측정기"/>
        <s v="곰오디오"/>
        <s v="Smash DIY SLIME - Fidget Slimy"/>
        <s v="성형견적 테스트"/>
        <s v="컬러라이트 HD"/>
        <s v="날씨나라"/>
        <s v="대기오염정보"/>
        <s v="오즈의타로"/>
        <s v="와우 라디오"/>
        <s v="편한가계부"/>
        <s v="깨진 화면"/>
        <s v="미카 자동 띄어쓰기"/>
        <s v="안들킴"/>
        <s v="주유9"/>
        <s v="수면 소리"/>
        <n v="2048"/>
        <s v="아기 재우기"/>
        <s v="나를 맞춰봐"/>
        <s v="환생을 보는 거울"/>
        <s v="외계인탐지기"/>
        <s v="세종버스 스마트"/>
        <s v="TRUE전주"/>
        <s v="TRUE포항"/>
        <s v="전국휴게소 지도"/>
        <s v="전주에가면"/>
        <s v="울산에가면"/>
        <s v="한국 정치 결투"/>
        <s v="과속 카메라 레이더"/>
        <s v="북한말 번역기"/>
        <s v="보조금24 신청가이드"/>
        <s v="Christmas Lights"/>
        <s v="순산해요"/>
        <s v="크로아티아 여행지도"/>
        <s v="옛날 옛적에: 영자 소설"/>
        <s v="일본어번역기"/>
        <s v="마다가스카르 여행지도"/>
        <s v="베트남 여행지도"/>
        <s v="서울해우소"/>
        <s v="Mc.pix"/>
        <s v="김정은 활동 기록"/>
        <s v="마네키네코 이모티콘"/>
        <s v="TRUE강릉"/>
        <s v="자"/>
        <s v="소리 퀴즈"/>
        <s v="스마트폰을 숨겼다"/>
        <s v="미로찾기의 왕"/>
        <s v="배경화면 HD"/>
        <s v="Daddy Was A Thief"/>
        <s v="7분 운동"/>
        <s v="일기 예보"/>
        <s v="다리 운동"/>
        <s v="연필 스케치"/>
        <s v="소개팅 테스트"/>
        <s v="오마이걸 퀴즈"/>
        <s v="경찰공무원 시험"/>
        <s v="경찰간부후보시험"/>
        <s v="킹덤 퀴즈"/>
        <s v="공룡모으기"/>
        <s v="미래애인을 보는 수정"/>
        <s v="혈압"/>
        <s v="Disco Lights"/>
        <s v="혈당"/>
        <s v="보수계"/>
        <s v="MANPLUS"/>
        <s v="저승식당 운영하기"/>
        <s v="약초와 나물 백과사전"/>
        <s v="Couple Photo Frame"/>
        <s v="Speed Alarm"/>
        <s v="adpacker"/>
        <m/>
      </sharedItems>
    </cacheField>
    <cacheField name="매체카테고리" numFmtId="0">
      <sharedItems containsBlank="1"/>
    </cacheField>
    <cacheField name="게재면" numFmtId="0">
      <sharedItems containsBlank="1"/>
    </cacheField>
    <cacheField name="사이즈" numFmtId="0">
      <sharedItems containsBlank="1"/>
    </cacheField>
    <cacheField name="월" numFmtId="0">
      <sharedItems count="6">
        <s v="04"/>
        <s v="05"/>
        <s v="02"/>
        <s v="01"/>
        <s v="03"/>
        <s v=""/>
      </sharedItems>
    </cacheField>
    <cacheField name="시작일" numFmtId="0">
      <sharedItems containsBlank="1"/>
    </cacheField>
    <cacheField name="종료일" numFmtId="0">
      <sharedItems containsBlank="1"/>
    </cacheField>
    <cacheField name="플랫폼" numFmtId="0">
      <sharedItems containsBlank="1"/>
    </cacheField>
    <cacheField name="광고비(천원)" numFmtId="41">
      <sharedItems containsString="0" containsBlank="1" containsNumber="1" containsInteger="1" minValue="13" maxValue="5626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위지수" refreshedDate="46044.426030555558" createdVersion="6" refreshedVersion="6" minRefreshableVersion="3" recordCount="3910" xr:uid="{8D1B01FC-3CC4-4AC7-9788-B9902AD8B762}">
  <cacheSource type="worksheet">
    <worksheetSource ref="B1:Q18" sheet="RAW"/>
  </cacheSource>
  <cacheFields count="16">
    <cacheField name="카테고리 세분화" numFmtId="0">
      <sharedItems/>
    </cacheField>
    <cacheField name="구분" numFmtId="0">
      <sharedItems/>
    </cacheField>
    <cacheField name="광고주" numFmtId="0">
      <sharedItems/>
    </cacheField>
    <cacheField name="브랜드/제품" numFmtId="0">
      <sharedItems containsBlank="1" count="103">
        <s v="아이더스에프앤비푸라닭치킨"/>
        <s v="리치빔피자나라치킨공주"/>
        <s v="장스푸드60계치킨"/>
        <s v="자담치킨"/>
        <s v="코리아델로스치킨매니아"/>
        <s v="네네치킨"/>
        <s v="교촌치킨"/>
        <s v="멕시카나치킨*"/>
        <s v="제이케이글로벌야들리애치킨"/>
        <s v="노상치킨"/>
        <s v="BBQ치킨"/>
        <s v="꼬꼬에프앤비맛닭꼬치킨"/>
        <s v="에이치푸드빌훌랄라참숯치킨"/>
        <s v="지엔푸드굽네치킨"/>
        <s v="외식전문기업제이케이꾸브라꼬숯불치킨"/>
        <s v="호식이두마리치킨"/>
        <s v="외식전문기업JK꾸브라꼬숯불두마리치킨"/>
        <s v="청정유통남썬치킨"/>
        <s v="신미식품다꾸바숯불양념치킨"/>
        <s v="에이치푸드빌훌랄라치킨"/>
        <s v="BHC"/>
        <s v="노랑푸드노랑통닭"/>
        <s v="명가참푸드명가통닭"/>
        <s v="티앤비코리아누구나홀딱반한닭"/>
        <s v="제뉴인비스트로닭강정공방"/>
        <s v="티지와이가마치통닭"/>
        <s v="BBQ"/>
        <s v="피자나라치킨공주"/>
        <s v="멕시카나"/>
        <s v="처갓집양념치킨"/>
        <s v="누나홀닭"/>
        <s v="푸라닭"/>
        <s v="움버거앤윙스"/>
        <s v="노랑통닭"/>
        <s v="가마치통닭"/>
        <s v="야들리애"/>
        <s v="치킨매니아"/>
        <s v="60계"/>
        <s v="풀리오" u="1"/>
        <m u="1"/>
        <s v="에르고바디" u="1"/>
        <s v="롯데칠성음료주류BG크러시" u="1"/>
        <s v="필라이트" u="1"/>
        <s v="하이트진로필라이트후레쉬" u="1"/>
        <s v="필라이트클리어" u="1"/>
        <s v="OB카스라이트제로슈거" u="1"/>
        <s v="풀리오리올랙스멀티체어" u="1"/>
        <s v="아사히수퍼드라이*" u="1"/>
        <s v="OB카스맥주" u="1"/>
        <s v="카스라이트" u="1"/>
        <s v="하이트진로테라" u="1"/>
        <s v="해피룸휴플러스커브건" u="1"/>
        <s v="하이트진로필라이트로우칼로리" u="1"/>
        <s v="OB스텔라아르투아" u="1"/>
        <s v="하이트진로켈리" u="1"/>
        <s v="디아지오기네스나이트로서지" u="1"/>
        <s v="아사히쇼쿠사이" u="1"/>
        <s v="하이트진로테라라이트" u="1"/>
        <s v="타이거맥주" u="1"/>
        <s v="제스파" u="1"/>
        <s v="휴플러스" u="1"/>
        <s v="스파알" u="1"/>
        <s v="제스파더툴300목어깨마사지기" u="1"/>
        <s v="복정제형코지마" u="1"/>
        <s v="OB카스레몬스퀴즈" u="1"/>
        <s v="아사히수퍼드라이생맥주" u="1"/>
        <s v="기네스" u="1"/>
        <s v="코지마" u="1"/>
        <s v="하이네켄맥주" u="1"/>
        <s v="하이네켄" u="1"/>
        <s v="클럭" u="1"/>
        <s v="하이트진로테라선물세트" u="1"/>
        <s v="카스제로" u="1"/>
        <s v="써머스비" u="1"/>
        <s v="스텔라아르투아" u="1"/>
        <s v="디아지오기네스" u="1"/>
        <s v="하이트진로필라이트클리어" u="1"/>
        <s v="OB한맥" u="1"/>
        <s v="삿포로맥주" u="1"/>
        <s v="켈리" u="1"/>
        <s v="제스파핸디어스손마사지기" u="1"/>
        <s v="복정제형코지마코지스트레칭" u="1"/>
        <s v="풀리오마사지매트" u="1"/>
        <s v="카스프레쉬" u="1"/>
        <s v="하이네켄실버" u="1"/>
        <s v="OB카스아이스" u="1"/>
        <s v="디아지오기네스콜드브루" u="1"/>
        <s v="한맥" u="1"/>
        <s v="Tigerbeer" u="1"/>
        <s v="롯데아사히쇼쿠사이" u="1"/>
        <s v="삿포로프리미엄비어" u="1"/>
        <s v="롯데아사히수퍼드라이생맥주" u="1"/>
        <s v="제스파레이지스툴발마사지기" u="1"/>
        <s v="롯데아사히수퍼드라이" u="1"/>
        <s v="하이트진로테라&amp;켈리" u="1"/>
        <s v="에이이브랜드코젤" u="1"/>
        <s v="클라우드크러시" u="1"/>
        <s v="크로넨버그1664" u="1"/>
        <s v="크로넨버그1664블랑" u="1"/>
        <s v="OB한맥엑스트라크리미생" u="1"/>
        <s v="롯데아사히주류오리온더드래프트" u="1"/>
        <s v="코젤" u="1"/>
        <s v="카스레몬스퀴즈" u="1"/>
      </sharedItems>
    </cacheField>
    <cacheField name="업종(대)" numFmtId="0">
      <sharedItems/>
    </cacheField>
    <cacheField name="업종(중)" numFmtId="0">
      <sharedItems/>
    </cacheField>
    <cacheField name="업종(소)" numFmtId="0">
      <sharedItems/>
    </cacheField>
    <cacheField name="앱/매체" numFmtId="0">
      <sharedItems/>
    </cacheField>
    <cacheField name="매체카테고리/플랫폼" numFmtId="0">
      <sharedItems/>
    </cacheField>
    <cacheField name="게재면" numFmtId="0">
      <sharedItems/>
    </cacheField>
    <cacheField name="플랫폼" numFmtId="0">
      <sharedItems/>
    </cacheField>
    <cacheField name="연" numFmtId="14">
      <sharedItems/>
    </cacheField>
    <cacheField name="월" numFmtId="14">
      <sharedItems/>
    </cacheField>
    <cacheField name="시작일" numFmtId="0">
      <sharedItems/>
    </cacheField>
    <cacheField name="종료일" numFmtId="0">
      <sharedItems/>
    </cacheField>
    <cacheField name="광고비(천원)" numFmtId="0">
      <sharedItems containsSemiMixedTypes="0" containsString="0" containsNumber="1" containsInteger="1" minValue="2" maxValue="2734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위지수" refreshedDate="46087.708158912035" createdVersion="6" refreshedVersion="6" minRefreshableVersion="3" recordCount="713" xr:uid="{1279F7EE-A888-44B9-BE74-19B33AE02CFB}">
  <cacheSource type="worksheet">
    <worksheetSource ref="A1:Q714" sheet="RAW"/>
  </cacheSource>
  <cacheFields count="17">
    <cacheField name="매체 카테고리" numFmtId="0">
      <sharedItems count="4">
        <s v="네트워크"/>
        <s v="SNS"/>
        <s v="포털"/>
        <s v="디지털 영상"/>
      </sharedItems>
    </cacheField>
    <cacheField name="카테고리 세분화" numFmtId="0">
      <sharedItems count="20">
        <s v="Taboola"/>
        <s v="SNS"/>
        <s v="크리테오"/>
        <s v="포털"/>
        <s v="네트워크"/>
        <s v="네이버"/>
        <s v="오픈마켓"/>
        <s v="모비온"/>
        <s v="카카오광고"/>
        <s v="버즈빌"/>
        <s v="디지털캠프"/>
        <s v="TARGETPICK"/>
        <s v="애드몹"/>
        <s v="NAPDSP"/>
        <s v="ADPACKER"/>
        <s v="YouTube"/>
        <s v="다음"/>
        <s v="GOMTV"/>
        <s v="Tving"/>
        <s v="Afreecatv"/>
      </sharedItems>
    </cacheField>
    <cacheField name="구분" numFmtId="0">
      <sharedItems/>
    </cacheField>
    <cacheField name="광고주" numFmtId="0">
      <sharedItems count="5">
        <s v="락앤락"/>
        <s v="코렐브랜드"/>
        <s v="글라스락"/>
        <s v="이케아코리아"/>
        <s v="SGC솔루션" u="1"/>
      </sharedItems>
    </cacheField>
    <cacheField name="브랜드/제품" numFmtId="0">
      <sharedItems/>
    </cacheField>
    <cacheField name="업종(대)" numFmtId="0">
      <sharedItems/>
    </cacheField>
    <cacheField name="업종(중)" numFmtId="0">
      <sharedItems/>
    </cacheField>
    <cacheField name="업종(소)" numFmtId="0">
      <sharedItems/>
    </cacheField>
    <cacheField name="앱/매체" numFmtId="0">
      <sharedItems/>
    </cacheField>
    <cacheField name="매체카테고리/플랫폼" numFmtId="0">
      <sharedItems/>
    </cacheField>
    <cacheField name="게재면" numFmtId="0">
      <sharedItems/>
    </cacheField>
    <cacheField name="플랫폼" numFmtId="0">
      <sharedItems/>
    </cacheField>
    <cacheField name="연" numFmtId="14">
      <sharedItems count="3">
        <s v="24"/>
        <s v="25"/>
        <s v="26"/>
      </sharedItems>
    </cacheField>
    <cacheField name="월" numFmtId="14">
      <sharedItems count="13">
        <s v="02"/>
        <s v="03"/>
        <s v="05"/>
        <s v="04"/>
        <s v="01"/>
        <s v="09"/>
        <s v="07"/>
        <s v="08"/>
        <s v="12"/>
        <s v="10"/>
        <s v="06"/>
        <s v="11"/>
        <s v="1" u="1"/>
      </sharedItems>
    </cacheField>
    <cacheField name="시작일" numFmtId="0">
      <sharedItems/>
    </cacheField>
    <cacheField name="종료일" numFmtId="0">
      <sharedItems/>
    </cacheField>
    <cacheField name="광고비(천원)" numFmtId="0">
      <sharedItems containsSemiMixedTypes="0" containsString="0" containsNumber="1" containsInteger="1" minValue="7" maxValue="1944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1">
  <r>
    <s v="PC"/>
    <x v="0"/>
    <x v="0"/>
    <s v="가정용 전기전자"/>
    <s v="가사용 전기전자"/>
    <s v="청소기"/>
    <s v="삼성비스포크AI제트"/>
    <x v="0"/>
    <s v="신문/잡지(대)종합일간지(중)"/>
    <s v="뉴스"/>
    <s v="600X12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0"/>
    <s v="신문/잡지(대)종합일간지(중)"/>
    <s v="오피니언"/>
    <s v="580X400"/>
    <x v="0"/>
    <s v="25.04.04"/>
    <s v="25.04.06"/>
    <s v="GDN"/>
    <n v="186"/>
  </r>
  <r>
    <s v="PC"/>
    <x v="0"/>
    <x v="0"/>
    <s v="가정용 전기전자"/>
    <s v="가사용 전기전자"/>
    <s v="청소기"/>
    <s v="삼성비스포크AI제트"/>
    <x v="1"/>
    <s v="포털(대)포털(중)"/>
    <s v="뉴스"/>
    <s v="1160X8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1"/>
    <s v="포털(대)포털(중)"/>
    <s v="뉴스"/>
    <s v="600X12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2"/>
    <s v="신문/잡지(대)종합일간지(중)"/>
    <s v="매거진"/>
    <s v="480X320"/>
    <x v="0"/>
    <s v="25.04.06"/>
    <s v="25.04.06"/>
    <s v="GDN"/>
    <n v="62"/>
  </r>
  <r>
    <s v="PC"/>
    <x v="0"/>
    <x v="0"/>
    <s v="가정용 전기전자"/>
    <s v="가사용 전기전자"/>
    <s v="청소기"/>
    <s v="삼성비스포크AI제트"/>
    <x v="3"/>
    <s v="검색/저장(대)검색/저장 기타(중)"/>
    <s v="메인"/>
    <s v="930X18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3"/>
    <s v="검색/저장(대)검색/저장 기타(중)"/>
    <s v="메인"/>
    <s v="930X18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4"/>
    <s v="신문/잡지(대)종합일간지(중)"/>
    <s v="스포츠"/>
    <s v="600X1200"/>
    <x v="0"/>
    <s v="25.04.04"/>
    <s v="25.04.06"/>
    <s v="GDN"/>
    <n v="186"/>
  </r>
  <r>
    <s v="PC"/>
    <x v="0"/>
    <x v="0"/>
    <s v="가정용 전기전자"/>
    <s v="가사용 전기전자"/>
    <s v="청소기"/>
    <s v="삼성비스포크AI제트"/>
    <x v="5"/>
    <s v="신문/잡지(대)경제신문(중)"/>
    <s v="동영상플레이어"/>
    <s v="300X472"/>
    <x v="0"/>
    <s v="25.04.03"/>
    <s v="25.04.06"/>
    <s v="GDN"/>
    <n v="248"/>
  </r>
  <r>
    <s v="PC"/>
    <x v="0"/>
    <x v="0"/>
    <s v="가정용 전기전자"/>
    <s v="가사용 전기전자"/>
    <s v="청소기"/>
    <s v="삼성비스포크AI제트"/>
    <x v="5"/>
    <s v="신문/잡지(대)경제신문(중)"/>
    <s v="부동산"/>
    <s v="480X8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6"/>
    <s v="생활정보(대)쇼핑/가격정보(중)"/>
    <s v="미니갤러리"/>
    <s v="250X360"/>
    <x v="0"/>
    <s v="25.04.05"/>
    <s v="25.04.06"/>
    <s v="GDN"/>
    <n v="43"/>
  </r>
  <r>
    <s v="PC"/>
    <x v="0"/>
    <x v="0"/>
    <s v="가정용 전기전자"/>
    <s v="가사용 전기전자"/>
    <s v="청소기"/>
    <s v="삼성비스포크AI제트"/>
    <x v="7"/>
    <s v="신문/잡지(대)온라인뉴스(중)"/>
    <s v="사회"/>
    <s v="480X32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7"/>
    <s v="신문/잡지(대)온라인뉴스(중)"/>
    <s v="세계"/>
    <s v="480X320"/>
    <x v="0"/>
    <s v="25.04.05"/>
    <s v="25.04.05"/>
    <s v="GDN"/>
    <n v="62"/>
  </r>
  <r>
    <s v="PC"/>
    <x v="0"/>
    <x v="0"/>
    <s v="가정용 전기전자"/>
    <s v="가사용 전기전자"/>
    <s v="청소기"/>
    <s v="삼성비스포크AI제트"/>
    <x v="8"/>
    <s v="신문/잡지(대)경제신문(중)"/>
    <s v="메인"/>
    <s v="1936X5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8"/>
    <s v="신문/잡지(대)경제신문(중)"/>
    <s v="집코노미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9"/>
    <s v="신문/잡지(대)경제신문(중)"/>
    <s v="라이프"/>
    <s v="1936X5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9"/>
    <s v="신문/잡지(대)경제신문(중)"/>
    <s v="라이프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10"/>
    <s v="신문/잡지(대)종합일간지(중)"/>
    <s v="기획"/>
    <s v="580X400"/>
    <x v="0"/>
    <s v="25.04.02"/>
    <s v="25.04.06"/>
    <s v="GDN"/>
    <n v="310"/>
  </r>
  <r>
    <s v="PC"/>
    <x v="0"/>
    <x v="0"/>
    <s v="가정용 전기전자"/>
    <s v="가사용 전기전자"/>
    <s v="청소기"/>
    <s v="삼성비스포크AI제트"/>
    <x v="10"/>
    <s v="신문/잡지(대)종합일간지(중)"/>
    <s v="기획"/>
    <s v="580X4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11"/>
    <s v="신문/잡지(대)종합일간지(중)"/>
    <s v="사회"/>
    <s v="1160X800"/>
    <x v="0"/>
    <s v="25.04.04"/>
    <s v="25.04.06"/>
    <s v="GDN"/>
    <n v="186"/>
  </r>
  <r>
    <s v="PC"/>
    <x v="0"/>
    <x v="0"/>
    <s v="가정용 전기전자"/>
    <s v="가사용 전기전자"/>
    <s v="청소기"/>
    <s v="삼성비스포크AI제트"/>
    <x v="11"/>
    <s v="신문/잡지(대)종합일간지(중)"/>
    <s v="정치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12"/>
    <s v="신문/잡지(대)IT관련 뉴스(중)"/>
    <s v="특집"/>
    <s v="600X1200"/>
    <x v="0"/>
    <s v="25.04.04"/>
    <s v="25.04.06"/>
    <s v="GDN"/>
    <n v="186"/>
  </r>
  <r>
    <s v="PC"/>
    <x v="0"/>
    <x v="0"/>
    <s v="가정용 전기전자"/>
    <s v="가사용 전기전자"/>
    <s v="청소기"/>
    <s v="삼성비스포크AI제트"/>
    <x v="12"/>
    <s v="신문/잡지(대)IT관련 뉴스(중)"/>
    <s v="특집"/>
    <s v="600X12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13"/>
    <s v="신문/잡지(대)IT관련 뉴스(중)"/>
    <s v="산업"/>
    <s v="1936X5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14"/>
    <s v="신문/잡지(대)IT관련 뉴스(중)"/>
    <s v="메인"/>
    <s v="1936X5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14"/>
    <s v="신문/잡지(대)IT관련 뉴스(중)"/>
    <s v="메인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15"/>
    <s v="신문/잡지(대)잡지(중)"/>
    <s v="메인"/>
    <s v="1936X500"/>
    <x v="0"/>
    <s v="25.04.04"/>
    <s v="25.04.06"/>
    <s v="GDN"/>
    <n v="186"/>
  </r>
  <r>
    <s v="PC"/>
    <x v="0"/>
    <x v="0"/>
    <s v="가정용 전기전자"/>
    <s v="가사용 전기전자"/>
    <s v="청소기"/>
    <s v="삼성비스포크AI제트"/>
    <x v="15"/>
    <s v="신문/잡지(대)잡지(중)"/>
    <s v="메인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16"/>
    <s v="신문/잡지(대)온라인뉴스(중)"/>
    <s v="연예"/>
    <s v="600X1200"/>
    <x v="0"/>
    <s v="25.04.04"/>
    <s v="25.04.05"/>
    <s v="GDN"/>
    <n v="52"/>
  </r>
  <r>
    <s v="PC"/>
    <x v="0"/>
    <x v="0"/>
    <s v="가정용 전기전자"/>
    <s v="가사용 전기전자"/>
    <s v="청소기"/>
    <s v="삼성비스포크AI제트"/>
    <x v="17"/>
    <s v="방송(대)방송기타(중)"/>
    <s v="메인"/>
    <s v="720X480"/>
    <x v="0"/>
    <s v="25.04.04"/>
    <s v="25.04.04"/>
    <s v="GDN"/>
    <n v="62"/>
  </r>
  <r>
    <s v="PC"/>
    <x v="0"/>
    <x v="0"/>
    <s v="가정용 전기전자"/>
    <s v="가사용 전기전자"/>
    <s v="청소기"/>
    <s v="삼성비스포크AI제트"/>
    <x v="18"/>
    <s v="금융/비즈니스(대)증권정보(중)"/>
    <s v="토론실"/>
    <s v="250X360"/>
    <x v="0"/>
    <s v="25.04.06"/>
    <s v="25.04.06"/>
    <s v="GDN"/>
    <n v="62"/>
  </r>
  <r>
    <s v="PC"/>
    <x v="0"/>
    <x v="0"/>
    <s v="가정용 전기전자"/>
    <s v="가사용 전기전자"/>
    <s v="청소기"/>
    <s v="삼성비스포크AI제트"/>
    <x v="19"/>
    <s v="신문/잡지(대)온라인뉴스(중)"/>
    <s v="사회"/>
    <s v="600X12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19"/>
    <s v="신문/잡지(대)온라인뉴스(중)"/>
    <s v="사회"/>
    <s v="600X12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20"/>
    <s v="생활정보(대)쇼핑/가격정보(중)"/>
    <s v="검색"/>
    <s v="930X180"/>
    <x v="0"/>
    <s v="25.04.02"/>
    <s v="25.04.06"/>
    <s v="GDN"/>
    <n v="310"/>
  </r>
  <r>
    <s v="PC"/>
    <x v="0"/>
    <x v="0"/>
    <s v="가정용 전기전자"/>
    <s v="가사용 전기전자"/>
    <s v="청소기"/>
    <s v="삼성비스포크AI제트"/>
    <x v="20"/>
    <s v="생활정보(대)쇼핑/가격정보(중)"/>
    <s v="메인"/>
    <s v="580X4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21"/>
    <s v="커뮤니티(대)홈페이지(중)"/>
    <s v="커뮤니케이션 기타"/>
    <s v="480X320"/>
    <x v="0"/>
    <s v="25.04.19"/>
    <s v="25.04.20"/>
    <s v="-"/>
    <n v="123"/>
  </r>
  <r>
    <s v="PC"/>
    <x v="0"/>
    <x v="0"/>
    <s v="가정용 전기전자"/>
    <s v="가사용 전기전자"/>
    <s v="청소기"/>
    <s v="삼성비스포크AI제트"/>
    <x v="21"/>
    <s v="커뮤니티(대)홈페이지(중)"/>
    <s v="커뮤니케이션 기타"/>
    <s v="480X320"/>
    <x v="0"/>
    <s v="25.04.21"/>
    <s v="25.04.21"/>
    <s v="-"/>
    <n v="62"/>
  </r>
  <r>
    <s v="PC"/>
    <x v="0"/>
    <x v="0"/>
    <s v="가정용 전기전자"/>
    <s v="가사용 전기전자"/>
    <s v="청소기"/>
    <s v="삼성비스포크AI제트"/>
    <x v="22"/>
    <s v="커뮤니티(대)게시판(중)"/>
    <s v="메인"/>
    <s v="600X1200"/>
    <x v="0"/>
    <s v="25.04.04"/>
    <s v="25.04.04"/>
    <s v="GDN"/>
    <n v="62"/>
  </r>
  <r>
    <s v="PC"/>
    <x v="0"/>
    <x v="0"/>
    <s v="가정용 전기전자"/>
    <s v="가사용 전기전자"/>
    <s v="청소기"/>
    <s v="삼성비스포크AI제트"/>
    <x v="23"/>
    <s v="포털(대)포털(중)"/>
    <s v="뉴스"/>
    <s v="1936X500"/>
    <x v="0"/>
    <s v="25.04.05"/>
    <s v="25.04.06"/>
    <s v="GDN"/>
    <n v="124"/>
  </r>
  <r>
    <s v="PC"/>
    <x v="0"/>
    <x v="0"/>
    <s v="가정용 전기전자"/>
    <s v="가사용 전기전자"/>
    <s v="청소기"/>
    <s v="삼성비스포크AI제트"/>
    <x v="23"/>
    <s v="포털(대)포털(중)"/>
    <s v="뉴스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23"/>
    <s v="포털(대)포털(중)"/>
    <s v="동영상플레이어"/>
    <s v="600X1200"/>
    <x v="0"/>
    <s v="25.04.24"/>
    <s v="25.04.24"/>
    <s v="GDN"/>
    <n v="62"/>
  </r>
  <r>
    <s v="PC"/>
    <x v="0"/>
    <x v="0"/>
    <s v="가정용 전기전자"/>
    <s v="가사용 전기전자"/>
    <s v="청소기"/>
    <s v="삼성비스포크AI제트"/>
    <x v="24"/>
    <s v="신문/잡지(대)스포츠신문(중)"/>
    <s v="동영상"/>
    <s v="1936X500"/>
    <x v="0"/>
    <s v="25.04.07"/>
    <s v="25.04.07"/>
    <s v="GDN"/>
    <n v="62"/>
  </r>
  <r>
    <s v="PC"/>
    <x v="0"/>
    <x v="0"/>
    <s v="가정용 전기전자"/>
    <s v="가사용 전기전자"/>
    <s v="청소기"/>
    <s v="삼성비스포크AI제트"/>
    <x v="24"/>
    <s v="신문/잡지(대)스포츠신문(중)"/>
    <s v="무비위크"/>
    <s v="1936X500"/>
    <x v="0"/>
    <s v="25.04.05"/>
    <s v="25.04.05"/>
    <s v="GDN"/>
    <n v="62"/>
  </r>
  <r>
    <s v="PC"/>
    <x v="1"/>
    <x v="1"/>
    <s v="가정용 전기전자"/>
    <s v="가사용 전기전자"/>
    <s v="청소기"/>
    <s v="LG로보킹AI올인원"/>
    <x v="25"/>
    <s v="생활정보(대)쇼핑/가격정보(중)"/>
    <s v="메인"/>
    <s v="182X70"/>
    <x v="1"/>
    <s v="25.05.10"/>
    <s v="25.05.10"/>
    <s v="-"/>
    <n v="346"/>
  </r>
  <r>
    <s v="PC"/>
    <x v="1"/>
    <x v="1"/>
    <s v="가정용 전기전자"/>
    <s v="가사용 전기전자"/>
    <s v="청소기"/>
    <s v="LG로보킹AI올인원"/>
    <x v="25"/>
    <s v="생활정보(대)쇼핑/가격정보(중)"/>
    <s v="메인"/>
    <s v="182X70"/>
    <x v="1"/>
    <s v="25.05.12"/>
    <s v="25.05.13"/>
    <s v="-"/>
    <n v="692"/>
  </r>
  <r>
    <s v="PC"/>
    <x v="1"/>
    <x v="1"/>
    <s v="가정용 전기전자"/>
    <s v="가사용 전기전자"/>
    <s v="청소기"/>
    <s v="LG로보킹AI올인원"/>
    <x v="25"/>
    <s v="생활정보(대)쇼핑/가격정보(중)"/>
    <s v="메인"/>
    <s v="976X400"/>
    <x v="1"/>
    <s v="25.05.07"/>
    <s v="25.05.11"/>
    <s v="-"/>
    <n v="4186"/>
  </r>
  <r>
    <s v="PC"/>
    <x v="1"/>
    <x v="1"/>
    <s v="가정용 전기전자"/>
    <s v="가사용 전기전자"/>
    <s v="청소기"/>
    <s v="LG로보킹AI올인원"/>
    <x v="25"/>
    <s v="생활정보(대)쇼핑/가격정보(중)"/>
    <s v="메인"/>
    <s v="976X400"/>
    <x v="1"/>
    <s v="25.05.12"/>
    <s v="25.05.13"/>
    <s v="-"/>
    <n v="1674"/>
  </r>
  <r>
    <s v="PC"/>
    <x v="2"/>
    <x v="2"/>
    <s v="가정용 전기전자"/>
    <s v="가사용 전기전자"/>
    <s v="청소기"/>
    <s v="쿠쿠파워클론무선청소기"/>
    <x v="21"/>
    <s v="커뮤니티(대)홈페이지(중)"/>
    <s v="커뮤니케이션 기타"/>
    <s v="480X320"/>
    <x v="2"/>
    <s v="25.02.09"/>
    <s v="25.02.09"/>
    <s v="-"/>
    <n v="62"/>
  </r>
  <r>
    <s v="PC"/>
    <x v="2"/>
    <x v="2"/>
    <s v="가정용 전기전자"/>
    <s v="가사용 전기전자"/>
    <s v="청소기"/>
    <s v="쿠쿠파워클론무선청소기"/>
    <x v="21"/>
    <s v="커뮤니티(대)홈페이지(중)"/>
    <s v="커뮤니케이션 기타"/>
    <s v="480X320"/>
    <x v="2"/>
    <s v="25.02.10"/>
    <s v="25.02.12"/>
    <s v="-"/>
    <n v="185"/>
  </r>
  <r>
    <s v="PC"/>
    <x v="2"/>
    <x v="3"/>
    <s v="가정용 전기전자"/>
    <s v="가사용 전기전자"/>
    <s v="청소기"/>
    <s v="쿠쿠파워클론슬림"/>
    <x v="21"/>
    <s v="커뮤니티(대)홈페이지(중)"/>
    <s v="커뮤니케이션 기타"/>
    <s v="480X320"/>
    <x v="3"/>
    <s v="25.01.04"/>
    <s v="25.01.04"/>
    <s v="-"/>
    <n v="62"/>
  </r>
  <r>
    <s v="PC"/>
    <x v="2"/>
    <x v="3"/>
    <s v="가정용 전기전자"/>
    <s v="가사용 전기전자"/>
    <s v="청소기"/>
    <s v="쿠쿠파워클론슬림"/>
    <x v="21"/>
    <s v="커뮤니티(대)홈페이지(중)"/>
    <s v="커뮤니케이션 기타"/>
    <s v="480X320"/>
    <x v="2"/>
    <s v="25.02.19"/>
    <s v="25.02.19"/>
    <s v="-"/>
    <n v="62"/>
  </r>
  <r>
    <s v="PC"/>
    <x v="3"/>
    <x v="4"/>
    <s v="가정용 전기전자"/>
    <s v="가사용 전기전자"/>
    <s v="청소기"/>
    <s v="로보락"/>
    <x v="26"/>
    <s v="포털(대)포털(중)"/>
    <s v="뉴스"/>
    <s v="0X0"/>
    <x v="3"/>
    <s v="25.01.13"/>
    <s v="25.01.19"/>
    <s v="카카오광고"/>
    <n v="11074"/>
  </r>
  <r>
    <s v="PC"/>
    <x v="3"/>
    <x v="4"/>
    <s v="가정용 전기전자"/>
    <s v="가사용 전기전자"/>
    <s v="청소기"/>
    <s v="로보락"/>
    <x v="26"/>
    <s v="포털(대)포털(중)"/>
    <s v="뉴스"/>
    <s v="0X0"/>
    <x v="4"/>
    <s v="25.03.06"/>
    <s v="25.03.09"/>
    <s v="카카오광고"/>
    <n v="7955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3"/>
    <s v="25.01.06"/>
    <s v="25.01.12"/>
    <s v="카카오광고"/>
    <n v="11074"/>
  </r>
  <r>
    <s v="PC"/>
    <x v="3"/>
    <x v="4"/>
    <s v="가정용 전기전자"/>
    <s v="가사용 전기전자"/>
    <s v="청소기"/>
    <s v="로보락"/>
    <x v="26"/>
    <s v="포털(대)포털(중)"/>
    <s v="메인"/>
    <s v="1200X600"/>
    <x v="3"/>
    <s v="25.01.20"/>
    <s v="25.01.23"/>
    <s v="카카오광고"/>
    <n v="6328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3"/>
    <s v="25.01.28"/>
    <s v="25.01.30"/>
    <s v="카카오광고"/>
    <n v="4746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2"/>
    <s v="25.02.02"/>
    <s v="25.02.02"/>
    <s v="카카오광고"/>
    <n v="1780"/>
  </r>
  <r>
    <s v="PC"/>
    <x v="3"/>
    <x v="4"/>
    <s v="가정용 전기전자"/>
    <s v="가사용 전기전자"/>
    <s v="청소기"/>
    <s v="로보락"/>
    <x v="26"/>
    <s v="포털(대)포털(중)"/>
    <s v="메인"/>
    <s v="1200X600"/>
    <x v="2"/>
    <s v="25.02.07"/>
    <s v="25.02.09"/>
    <s v="카카오광고"/>
    <n v="5339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2"/>
    <s v="25.02.10"/>
    <s v="25.02.16"/>
    <s v="카카오광고"/>
    <n v="12458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2"/>
    <s v="25.02.25"/>
    <s v="25.02.28"/>
    <s v="카카오광고"/>
    <n v="7119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4"/>
    <s v="25.03.19"/>
    <s v="25.03.19"/>
    <s v="카카오광고"/>
    <n v="1989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4"/>
    <s v="25.03.30"/>
    <s v="25.03.30"/>
    <s v="카카오광고"/>
    <n v="1989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0"/>
    <s v="25.04.27"/>
    <s v="25.04.27"/>
    <s v="카카오광고"/>
    <n v="1989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0"/>
    <s v="25.04.29"/>
    <s v="25.04.30"/>
    <s v="카카오광고"/>
    <n v="3978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1"/>
    <s v="25.05.02"/>
    <s v="25.05.02"/>
    <s v="카카오광고"/>
    <n v="2441"/>
  </r>
  <r>
    <s v="PC"/>
    <x v="3"/>
    <x v="4"/>
    <s v="가정용 전기전자"/>
    <s v="가사용 전기전자"/>
    <s v="청소기"/>
    <s v="로보락"/>
    <x v="26"/>
    <s v="포털(대)포털(중)"/>
    <s v="메인"/>
    <s v="300X300"/>
    <x v="1"/>
    <s v="25.05.05"/>
    <s v="25.05.10"/>
    <s v="카카오광고"/>
    <n v="14645"/>
  </r>
  <r>
    <s v="PC"/>
    <x v="3"/>
    <x v="4"/>
    <s v="가정용 전기전자"/>
    <s v="가사용 전기전자"/>
    <s v="청소기"/>
    <s v="로보락"/>
    <x v="26"/>
    <s v="포털(대)포털(중)"/>
    <s v="메인"/>
    <s v="600X314"/>
    <x v="1"/>
    <s v="25.05.07"/>
    <s v="25.05.07"/>
    <s v="GDN"/>
    <n v="701"/>
  </r>
  <r>
    <s v="PC"/>
    <x v="3"/>
    <x v="4"/>
    <s v="가정용 전기전자"/>
    <s v="가사용 전기전자"/>
    <s v="청소기"/>
    <s v="로보락"/>
    <x v="26"/>
    <s v="포털(대)포털(중)"/>
    <s v="스포츠"/>
    <s v="1200X600"/>
    <x v="2"/>
    <s v="25.02.18"/>
    <s v="25.02.23"/>
    <s v="카카오광고"/>
    <n v="10679"/>
  </r>
  <r>
    <s v="PC"/>
    <x v="3"/>
    <x v="4"/>
    <s v="가정용 전기전자"/>
    <s v="가사용 전기전자"/>
    <s v="청소기"/>
    <s v="로보락"/>
    <x v="27"/>
    <s v="포털(대)포털(중)"/>
    <s v="네이트뷰"/>
    <s v="1200X1200"/>
    <x v="2"/>
    <s v="25.02.10"/>
    <s v="25.02.13"/>
    <s v="GDN"/>
    <n v="208"/>
  </r>
  <r>
    <s v="PC"/>
    <x v="3"/>
    <x v="4"/>
    <s v="가정용 전기전자"/>
    <s v="가사용 전기전자"/>
    <s v="청소기"/>
    <s v="로보락"/>
    <x v="27"/>
    <s v="포털(대)포털(중)"/>
    <s v="네이트뷰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27"/>
    <s v="포털(대)포털(중)"/>
    <s v="네이트뷰"/>
    <s v="600X314"/>
    <x v="1"/>
    <s v="25.05.25"/>
    <s v="25.05.25"/>
    <s v="GDN"/>
    <n v="62"/>
  </r>
  <r>
    <s v="PC"/>
    <x v="3"/>
    <x v="4"/>
    <s v="가정용 전기전자"/>
    <s v="가사용 전기전자"/>
    <s v="청소기"/>
    <s v="로보락"/>
    <x v="27"/>
    <s v="포털(대)포털(중)"/>
    <s v="스포츠"/>
    <s v="1200X600"/>
    <x v="3"/>
    <s v="25.01.16"/>
    <s v="25.01.16"/>
    <s v="카카오광고"/>
    <n v="140"/>
  </r>
  <r>
    <s v="PC"/>
    <x v="3"/>
    <x v="4"/>
    <s v="가정용 전기전자"/>
    <s v="가사용 전기전자"/>
    <s v="청소기"/>
    <s v="로보락"/>
    <x v="28"/>
    <s v="포털(대)포털(중)"/>
    <s v="뉴스"/>
    <s v="1200X1200"/>
    <x v="2"/>
    <s v="25.02.12"/>
    <s v="25.02.16"/>
    <s v="GDN"/>
    <n v="260"/>
  </r>
  <r>
    <s v="PC"/>
    <x v="3"/>
    <x v="4"/>
    <s v="가정용 전기전자"/>
    <s v="가사용 전기전자"/>
    <s v="청소기"/>
    <s v="로보락"/>
    <x v="0"/>
    <s v="신문/잡지(대)종합일간지(중)"/>
    <s v="뉴스"/>
    <s v="300X3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0"/>
    <s v="신문/잡지(대)종합일간지(중)"/>
    <s v="뉴스"/>
    <s v="1200X6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0"/>
    <s v="신문/잡지(대)종합일간지(중)"/>
    <s v="뉴스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0"/>
    <s v="신문/잡지(대)종합일간지(중)"/>
    <s v="뉴스"/>
    <s v="1200X1200"/>
    <x v="2"/>
    <s v="25.02.02"/>
    <s v="25.02.02"/>
    <s v="GDN"/>
    <n v="52"/>
  </r>
  <r>
    <s v="PC"/>
    <x v="3"/>
    <x v="4"/>
    <s v="가정용 전기전자"/>
    <s v="가사용 전기전자"/>
    <s v="청소기"/>
    <s v="로보락"/>
    <x v="0"/>
    <s v="신문/잡지(대)종합일간지(중)"/>
    <s v="뉴스"/>
    <s v="1200X1200"/>
    <x v="2"/>
    <s v="25.02.22"/>
    <s v="25.02.23"/>
    <s v="GDN"/>
    <n v="104"/>
  </r>
  <r>
    <s v="PC"/>
    <x v="3"/>
    <x v="4"/>
    <s v="가정용 전기전자"/>
    <s v="가사용 전기전자"/>
    <s v="청소기"/>
    <s v="로보락"/>
    <x v="0"/>
    <s v="신문/잡지(대)종합일간지(중)"/>
    <s v="뉴스"/>
    <s v="1200X1200"/>
    <x v="2"/>
    <s v="25.02.24"/>
    <s v="25.02.27"/>
    <s v="GDN"/>
    <n v="208"/>
  </r>
  <r>
    <s v="PC"/>
    <x v="3"/>
    <x v="4"/>
    <s v="가정용 전기전자"/>
    <s v="가사용 전기전자"/>
    <s v="청소기"/>
    <s v="로보락"/>
    <x v="0"/>
    <s v="신문/잡지(대)종합일간지(중)"/>
    <s v="뉴스"/>
    <s v="300X300"/>
    <x v="2"/>
    <s v="25.02.28"/>
    <s v="25.02.28"/>
    <s v="카카오광고"/>
    <n v="158"/>
  </r>
  <r>
    <s v="PC"/>
    <x v="3"/>
    <x v="4"/>
    <s v="가정용 전기전자"/>
    <s v="가사용 전기전자"/>
    <s v="청소기"/>
    <s v="로보락"/>
    <x v="0"/>
    <s v="신문/잡지(대)종합일간지(중)"/>
    <s v="뉴스"/>
    <s v="0X0"/>
    <x v="4"/>
    <s v="25.03.06"/>
    <s v="25.03.06"/>
    <s v="카카오광고"/>
    <n v="176"/>
  </r>
  <r>
    <s v="PC"/>
    <x v="3"/>
    <x v="4"/>
    <s v="가정용 전기전자"/>
    <s v="가사용 전기전자"/>
    <s v="청소기"/>
    <s v="로보락"/>
    <x v="0"/>
    <s v="신문/잡지(대)종합일간지(중)"/>
    <s v="뉴스"/>
    <s v="0X0"/>
    <x v="4"/>
    <s v="25.03.11"/>
    <s v="25.03.11"/>
    <s v="카카오광고"/>
    <n v="176"/>
  </r>
  <r>
    <s v="PC"/>
    <x v="3"/>
    <x v="4"/>
    <s v="가정용 전기전자"/>
    <s v="가사용 전기전자"/>
    <s v="청소기"/>
    <s v="로보락"/>
    <x v="0"/>
    <s v="신문/잡지(대)종합일간지(중)"/>
    <s v="뉴스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0"/>
    <s v="신문/잡지(대)종합일간지(중)"/>
    <s v="뉴스"/>
    <s v="600X314"/>
    <x v="1"/>
    <s v="25.05.01"/>
    <s v="25.05.01"/>
    <s v="GDN"/>
    <n v="62"/>
  </r>
  <r>
    <s v="PC"/>
    <x v="3"/>
    <x v="4"/>
    <s v="가정용 전기전자"/>
    <s v="가사용 전기전자"/>
    <s v="청소기"/>
    <s v="로보락"/>
    <x v="0"/>
    <s v="신문/잡지(대)종합일간지(중)"/>
    <s v="연예"/>
    <s v="300X300"/>
    <x v="4"/>
    <s v="25.03.26"/>
    <s v="25.03.28"/>
    <s v="카카오광고"/>
    <n v="528"/>
  </r>
  <r>
    <s v="PC"/>
    <x v="3"/>
    <x v="4"/>
    <s v="가정용 전기전자"/>
    <s v="가사용 전기전자"/>
    <s v="청소기"/>
    <s v="로보락"/>
    <x v="0"/>
    <s v="신문/잡지(대)종합일간지(중)"/>
    <s v="연예"/>
    <s v="300X300"/>
    <x v="1"/>
    <s v="25.05.07"/>
    <s v="25.05.11"/>
    <s v="카카오광고"/>
    <n v="1080"/>
  </r>
  <r>
    <s v="PC"/>
    <x v="3"/>
    <x v="4"/>
    <s v="가정용 전기전자"/>
    <s v="가사용 전기전자"/>
    <s v="청소기"/>
    <s v="로보락"/>
    <x v="29"/>
    <s v="방송(대)방송국(중)"/>
    <s v="동영상플레이어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30"/>
    <s v="방송(대)방송국(중)"/>
    <s v="메인"/>
    <s v="1200X6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30"/>
    <s v="방송(대)방송국(중)"/>
    <s v="연예"/>
    <s v="1200X600"/>
    <x v="3"/>
    <s v="25.01.21"/>
    <s v="25.01.22"/>
    <s v="카카오광고"/>
    <n v="280"/>
  </r>
  <r>
    <s v="PC"/>
    <x v="3"/>
    <x v="4"/>
    <s v="가정용 전기전자"/>
    <s v="가사용 전기전자"/>
    <s v="청소기"/>
    <s v="로보락"/>
    <x v="30"/>
    <s v="방송(대)방송국(중)"/>
    <s v="연예"/>
    <s v="0X0"/>
    <x v="4"/>
    <s v="25.03.13"/>
    <s v="25.03.13"/>
    <s v="카카오광고"/>
    <n v="176"/>
  </r>
  <r>
    <s v="PC"/>
    <x v="3"/>
    <x v="4"/>
    <s v="가정용 전기전자"/>
    <s v="가사용 전기전자"/>
    <s v="청소기"/>
    <s v="로보락"/>
    <x v="30"/>
    <s v="방송(대)방송국(중)"/>
    <s v="TV"/>
    <s v="1200X600"/>
    <x v="3"/>
    <s v="25.01.14"/>
    <s v="25.01.17"/>
    <s v="카카오광고"/>
    <n v="560"/>
  </r>
  <r>
    <s v="PC"/>
    <x v="3"/>
    <x v="4"/>
    <s v="가정용 전기전자"/>
    <s v="가사용 전기전자"/>
    <s v="청소기"/>
    <s v="로보락"/>
    <x v="31"/>
    <s v="신문/잡지(대)스포츠신문(중)"/>
    <s v="만화"/>
    <s v="1200X600"/>
    <x v="3"/>
    <s v="25.01.06"/>
    <s v="25.01.11"/>
    <s v="카카오광고"/>
    <n v="840"/>
  </r>
  <r>
    <s v="PC"/>
    <x v="3"/>
    <x v="4"/>
    <s v="가정용 전기전자"/>
    <s v="가사용 전기전자"/>
    <s v="청소기"/>
    <s v="로보락"/>
    <x v="31"/>
    <s v="신문/잡지(대)스포츠신문(중)"/>
    <s v="만화"/>
    <s v="1200X600"/>
    <x v="3"/>
    <s v="25.01.13"/>
    <s v="25.01.17"/>
    <s v="카카오광고"/>
    <n v="700"/>
  </r>
  <r>
    <s v="PC"/>
    <x v="3"/>
    <x v="4"/>
    <s v="가정용 전기전자"/>
    <s v="가사용 전기전자"/>
    <s v="청소기"/>
    <s v="로보락"/>
    <x v="31"/>
    <s v="신문/잡지(대)스포츠신문(중)"/>
    <s v="스포츠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31"/>
    <s v="신문/잡지(대)스포츠신문(중)"/>
    <s v="야구"/>
    <s v="1200X1200"/>
    <x v="2"/>
    <s v="25.02.08"/>
    <s v="25.02.08"/>
    <s v="GDN"/>
    <n v="52"/>
  </r>
  <r>
    <s v="PC"/>
    <x v="3"/>
    <x v="4"/>
    <s v="가정용 전기전자"/>
    <s v="가사용 전기전자"/>
    <s v="청소기"/>
    <s v="로보락"/>
    <x v="31"/>
    <s v="신문/잡지(대)스포츠신문(중)"/>
    <s v="야구"/>
    <s v="1200X1200"/>
    <x v="2"/>
    <s v="25.02.13"/>
    <s v="25.02.13"/>
    <s v="GDN"/>
    <n v="52"/>
  </r>
  <r>
    <s v="PC"/>
    <x v="3"/>
    <x v="4"/>
    <s v="가정용 전기전자"/>
    <s v="가사용 전기전자"/>
    <s v="청소기"/>
    <s v="로보락"/>
    <x v="31"/>
    <s v="신문/잡지(대)스포츠신문(중)"/>
    <s v="연예"/>
    <s v="0X0"/>
    <x v="4"/>
    <s v="25.03.08"/>
    <s v="25.03.08"/>
    <s v="카카오광고"/>
    <n v="176"/>
  </r>
  <r>
    <s v="PC"/>
    <x v="3"/>
    <x v="4"/>
    <s v="가정용 전기전자"/>
    <s v="가사용 전기전자"/>
    <s v="청소기"/>
    <s v="로보락"/>
    <x v="31"/>
    <s v="신문/잡지(대)스포츠신문(중)"/>
    <s v="연예"/>
    <s v="0X0"/>
    <x v="4"/>
    <s v="25.03.18"/>
    <s v="25.03.18"/>
    <s v="카카오광고"/>
    <n v="176"/>
  </r>
  <r>
    <s v="PC"/>
    <x v="3"/>
    <x v="4"/>
    <s v="가정용 전기전자"/>
    <s v="가사용 전기전자"/>
    <s v="청소기"/>
    <s v="로보락"/>
    <x v="31"/>
    <s v="신문/잡지(대)스포츠신문(중)"/>
    <s v="전국"/>
    <s v="336X280"/>
    <x v="3"/>
    <s v="25.01.06"/>
    <s v="25.01.06"/>
    <s v="모비온"/>
    <n v="154"/>
  </r>
  <r>
    <s v="PC"/>
    <x v="3"/>
    <x v="4"/>
    <s v="가정용 전기전자"/>
    <s v="가사용 전기전자"/>
    <s v="청소기"/>
    <s v="로보락"/>
    <x v="31"/>
    <s v="신문/잡지(대)스포츠신문(중)"/>
    <s v="축구"/>
    <s v="0X0"/>
    <x v="4"/>
    <s v="25.03.13"/>
    <s v="25.03.15"/>
    <s v="카카오광고"/>
    <n v="528"/>
  </r>
  <r>
    <s v="PC"/>
    <x v="3"/>
    <x v="4"/>
    <s v="가정용 전기전자"/>
    <s v="가사용 전기전자"/>
    <s v="청소기"/>
    <s v="로보락"/>
    <x v="31"/>
    <s v="신문/잡지(대)스포츠신문(중)"/>
    <s v="축구"/>
    <s v="300X300"/>
    <x v="0"/>
    <s v="25.04.21"/>
    <s v="25.04.27"/>
    <s v="카카오광고"/>
    <n v="1232"/>
  </r>
  <r>
    <s v="PC"/>
    <x v="3"/>
    <x v="4"/>
    <s v="가정용 전기전자"/>
    <s v="가사용 전기전자"/>
    <s v="청소기"/>
    <s v="로보락"/>
    <x v="31"/>
    <s v="신문/잡지(대)스포츠신문(중)"/>
    <s v="축구"/>
    <s v="300X300"/>
    <x v="1"/>
    <s v="25.05.08"/>
    <s v="25.05.08"/>
    <s v="카카오광고"/>
    <n v="216"/>
  </r>
  <r>
    <s v="PC"/>
    <x v="3"/>
    <x v="4"/>
    <s v="가정용 전기전자"/>
    <s v="가사용 전기전자"/>
    <s v="청소기"/>
    <s v="로보락"/>
    <x v="32"/>
    <s v="신문/잡지(대)스포츠신문(중)"/>
    <s v="만화"/>
    <s v="1200X600"/>
    <x v="3"/>
    <s v="25.01.08"/>
    <s v="25.01.12"/>
    <s v="카카오광고"/>
    <n v="700"/>
  </r>
  <r>
    <s v="PC"/>
    <x v="3"/>
    <x v="4"/>
    <s v="가정용 전기전자"/>
    <s v="가사용 전기전자"/>
    <s v="청소기"/>
    <s v="로보락"/>
    <x v="32"/>
    <s v="신문/잡지(대)스포츠신문(중)"/>
    <s v="만화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32"/>
    <s v="신문/잡지(대)스포츠신문(중)"/>
    <s v="만화"/>
    <s v="300X300"/>
    <x v="4"/>
    <s v="25.03.21"/>
    <s v="25.03.21"/>
    <s v="카카오광고"/>
    <n v="176"/>
  </r>
  <r>
    <s v="PC"/>
    <x v="3"/>
    <x v="4"/>
    <s v="가정용 전기전자"/>
    <s v="가사용 전기전자"/>
    <s v="청소기"/>
    <s v="로보락"/>
    <x v="32"/>
    <s v="신문/잡지(대)스포츠신문(중)"/>
    <s v="만화"/>
    <s v="300X300"/>
    <x v="4"/>
    <s v="25.03.25"/>
    <s v="25.03.30"/>
    <s v="카카오광고"/>
    <n v="1056"/>
  </r>
  <r>
    <s v="PC"/>
    <x v="3"/>
    <x v="4"/>
    <s v="가정용 전기전자"/>
    <s v="가사용 전기전자"/>
    <s v="청소기"/>
    <s v="로보락"/>
    <x v="32"/>
    <s v="신문/잡지(대)스포츠신문(중)"/>
    <s v="만화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32"/>
    <s v="신문/잡지(대)스포츠신문(중)"/>
    <s v="만화"/>
    <s v="300X300"/>
    <x v="0"/>
    <s v="25.04.07"/>
    <s v="25.04.10"/>
    <s v="카카오광고"/>
    <n v="704"/>
  </r>
  <r>
    <s v="PC"/>
    <x v="3"/>
    <x v="4"/>
    <s v="가정용 전기전자"/>
    <s v="가사용 전기전자"/>
    <s v="청소기"/>
    <s v="로보락"/>
    <x v="32"/>
    <s v="신문/잡지(대)스포츠신문(중)"/>
    <s v="만화"/>
    <s v="300X300"/>
    <x v="1"/>
    <s v="25.05.05"/>
    <s v="25.05.09"/>
    <s v="카카오광고"/>
    <n v="1080"/>
  </r>
  <r>
    <s v="PC"/>
    <x v="3"/>
    <x v="4"/>
    <s v="가정용 전기전자"/>
    <s v="가사용 전기전자"/>
    <s v="청소기"/>
    <s v="로보락"/>
    <x v="32"/>
    <s v="신문/잡지(대)스포츠신문(중)"/>
    <s v="만화"/>
    <s v="300X300"/>
    <x v="1"/>
    <s v="25.05.12"/>
    <s v="25.05.12"/>
    <s v="카카오광고"/>
    <n v="216"/>
  </r>
  <r>
    <s v="PC"/>
    <x v="3"/>
    <x v="4"/>
    <s v="가정용 전기전자"/>
    <s v="가사용 전기전자"/>
    <s v="청소기"/>
    <s v="로보락"/>
    <x v="32"/>
    <s v="신문/잡지(대)스포츠신문(중)"/>
    <s v="스포츠"/>
    <s v="1200X1200"/>
    <x v="2"/>
    <s v="25.02.07"/>
    <s v="25.02.09"/>
    <s v="GDN"/>
    <n v="156"/>
  </r>
  <r>
    <s v="PC"/>
    <x v="3"/>
    <x v="4"/>
    <s v="가정용 전기전자"/>
    <s v="가사용 전기전자"/>
    <s v="청소기"/>
    <s v="로보락"/>
    <x v="32"/>
    <s v="신문/잡지(대)스포츠신문(중)"/>
    <s v="스포츠"/>
    <s v="1200X1200"/>
    <x v="2"/>
    <s v="25.02.16"/>
    <s v="25.02.16"/>
    <s v="GDN"/>
    <n v="52"/>
  </r>
  <r>
    <s v="PC"/>
    <x v="3"/>
    <x v="4"/>
    <s v="가정용 전기전자"/>
    <s v="가사용 전기전자"/>
    <s v="청소기"/>
    <s v="로보락"/>
    <x v="32"/>
    <s v="신문/잡지(대)스포츠신문(중)"/>
    <s v="연예"/>
    <s v="1200X600"/>
    <x v="4"/>
    <s v="25.03.16"/>
    <s v="25.03.16"/>
    <s v="카카오광고"/>
    <n v="176"/>
  </r>
  <r>
    <s v="PC"/>
    <x v="3"/>
    <x v="4"/>
    <s v="가정용 전기전자"/>
    <s v="가사용 전기전자"/>
    <s v="청소기"/>
    <s v="로보락"/>
    <x v="32"/>
    <s v="신문/잡지(대)스포츠신문(중)"/>
    <s v="포토"/>
    <s v="1200X600"/>
    <x v="3"/>
    <s v="25.01.13"/>
    <s v="25.01.18"/>
    <s v="카카오광고"/>
    <n v="840"/>
  </r>
  <r>
    <s v="PC"/>
    <x v="3"/>
    <x v="4"/>
    <s v="가정용 전기전자"/>
    <s v="가사용 전기전자"/>
    <s v="청소기"/>
    <s v="로보락"/>
    <x v="1"/>
    <s v="포털(대)포털(중)"/>
    <s v="뉴스"/>
    <s v="1200X1200"/>
    <x v="2"/>
    <s v="25.02.12"/>
    <s v="25.02.12"/>
    <s v="GDN"/>
    <n v="52"/>
  </r>
  <r>
    <s v="PC"/>
    <x v="3"/>
    <x v="4"/>
    <s v="가정용 전기전자"/>
    <s v="가사용 전기전자"/>
    <s v="청소기"/>
    <s v="로보락"/>
    <x v="1"/>
    <s v="포털(대)포털(중)"/>
    <s v="메인"/>
    <s v="1200X1200"/>
    <x v="1"/>
    <s v="25.05.08"/>
    <s v="25.05.08"/>
    <s v="GDN"/>
    <n v="62"/>
  </r>
  <r>
    <s v="PC"/>
    <x v="3"/>
    <x v="4"/>
    <s v="가정용 전기전자"/>
    <s v="가사용 전기전자"/>
    <s v="청소기"/>
    <s v="로보락"/>
    <x v="2"/>
    <s v="신문/잡지(대)종합일간지(중)"/>
    <s v="뉴스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2"/>
    <s v="신문/잡지(대)종합일간지(중)"/>
    <s v="메인"/>
    <s v="1200X1200"/>
    <x v="2"/>
    <s v="25.02.12"/>
    <s v="25.02.13"/>
    <s v="GDN"/>
    <n v="104"/>
  </r>
  <r>
    <s v="PC"/>
    <x v="3"/>
    <x v="4"/>
    <s v="가정용 전기전자"/>
    <s v="가사용 전기전자"/>
    <s v="청소기"/>
    <s v="로보락"/>
    <x v="2"/>
    <s v="신문/잡지(대)종합일간지(중)"/>
    <s v="메인"/>
    <s v="1200X1200"/>
    <x v="2"/>
    <s v="25.02.19"/>
    <s v="25.02.19"/>
    <s v="GDN"/>
    <n v="52"/>
  </r>
  <r>
    <s v="PC"/>
    <x v="3"/>
    <x v="4"/>
    <s v="가정용 전기전자"/>
    <s v="가사용 전기전자"/>
    <s v="청소기"/>
    <s v="로보락"/>
    <x v="2"/>
    <s v="신문/잡지(대)종합일간지(중)"/>
    <s v="스포츠"/>
    <s v="1200X6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2"/>
    <s v="신문/잡지(대)종합일간지(중)"/>
    <s v="스포츠"/>
    <s v="1200X600"/>
    <x v="3"/>
    <s v="25.01.13"/>
    <s v="25.01.17"/>
    <s v="카카오광고"/>
    <n v="700"/>
  </r>
  <r>
    <s v="PC"/>
    <x v="3"/>
    <x v="4"/>
    <s v="가정용 전기전자"/>
    <s v="가사용 전기전자"/>
    <s v="청소기"/>
    <s v="로보락"/>
    <x v="2"/>
    <s v="신문/잡지(대)종합일간지(중)"/>
    <s v="스포츠동아"/>
    <s v="300X300"/>
    <x v="3"/>
    <s v="25.01.29"/>
    <s v="25.01.31"/>
    <s v="카카오광고"/>
    <n v="420"/>
  </r>
  <r>
    <s v="PC"/>
    <x v="3"/>
    <x v="4"/>
    <s v="가정용 전기전자"/>
    <s v="가사용 전기전자"/>
    <s v="청소기"/>
    <s v="로보락"/>
    <x v="2"/>
    <s v="신문/잡지(대)종합일간지(중)"/>
    <s v="스포츠동아"/>
    <s v="500X500"/>
    <x v="4"/>
    <s v="25.03.19"/>
    <s v="25.03.19"/>
    <s v="카카오광고"/>
    <n v="176"/>
  </r>
  <r>
    <s v="PC"/>
    <x v="3"/>
    <x v="4"/>
    <s v="가정용 전기전자"/>
    <s v="가사용 전기전자"/>
    <s v="청소기"/>
    <s v="로보락"/>
    <x v="2"/>
    <s v="신문/잡지(대)종합일간지(중)"/>
    <s v="스포츠동아"/>
    <s v="300X300"/>
    <x v="0"/>
    <s v="25.04.09"/>
    <s v="25.04.09"/>
    <s v="카카오광고"/>
    <n v="176"/>
  </r>
  <r>
    <s v="PC"/>
    <x v="3"/>
    <x v="4"/>
    <s v="가정용 전기전자"/>
    <s v="가사용 전기전자"/>
    <s v="청소기"/>
    <s v="로보락"/>
    <x v="2"/>
    <s v="신문/잡지(대)종합일간지(중)"/>
    <s v="스포츠동아"/>
    <s v="300X300"/>
    <x v="1"/>
    <s v="25.05.08"/>
    <s v="25.05.11"/>
    <s v="카카오광고"/>
    <n v="864"/>
  </r>
  <r>
    <s v="PC"/>
    <x v="3"/>
    <x v="4"/>
    <s v="가정용 전기전자"/>
    <s v="가사용 전기전자"/>
    <s v="청소기"/>
    <s v="로보락"/>
    <x v="2"/>
    <s v="신문/잡지(대)종합일간지(중)"/>
    <s v="연예"/>
    <s v="0X0"/>
    <x v="4"/>
    <s v="25.03.06"/>
    <s v="25.03.09"/>
    <s v="카카오광고"/>
    <n v="704"/>
  </r>
  <r>
    <s v="PC"/>
    <x v="3"/>
    <x v="4"/>
    <s v="가정용 전기전자"/>
    <s v="가사용 전기전자"/>
    <s v="청소기"/>
    <s v="로보락"/>
    <x v="2"/>
    <s v="신문/잡지(대)종합일간지(중)"/>
    <s v="MLB파크"/>
    <s v="300X300"/>
    <x v="4"/>
    <s v="25.03.25"/>
    <s v="25.03.30"/>
    <s v="카카오광고"/>
    <n v="1056"/>
  </r>
  <r>
    <s v="PC"/>
    <x v="3"/>
    <x v="4"/>
    <s v="가정용 전기전자"/>
    <s v="가사용 전기전자"/>
    <s v="청소기"/>
    <s v="로보락"/>
    <x v="33"/>
    <s v="신문/잡지(대)종합일간지(중)"/>
    <s v="주간한국"/>
    <s v="1200X1200"/>
    <x v="2"/>
    <s v="25.02.14"/>
    <s v="25.02.14"/>
    <s v="GDN"/>
    <n v="52"/>
  </r>
  <r>
    <s v="PC"/>
    <x v="3"/>
    <x v="4"/>
    <s v="가정용 전기전자"/>
    <s v="가사용 전기전자"/>
    <s v="청소기"/>
    <s v="로보락"/>
    <x v="3"/>
    <s v="검색/저장(대)검색/저장 기타(중)"/>
    <s v="메인"/>
    <s v="1200X1200"/>
    <x v="2"/>
    <s v="25.02.16"/>
    <s v="25.02.16"/>
    <s v="GDN"/>
    <n v="52"/>
  </r>
  <r>
    <s v="PC"/>
    <x v="3"/>
    <x v="4"/>
    <s v="가정용 전기전자"/>
    <s v="가사용 전기전자"/>
    <s v="청소기"/>
    <s v="로보락"/>
    <x v="4"/>
    <s v="신문/잡지(대)종합일간지(중)"/>
    <s v="문화"/>
    <s v="1200X600"/>
    <x v="3"/>
    <s v="25.01.14"/>
    <s v="25.01.18"/>
    <s v="카카오광고"/>
    <n v="700"/>
  </r>
  <r>
    <s v="PC"/>
    <x v="3"/>
    <x v="4"/>
    <s v="가정용 전기전자"/>
    <s v="가사용 전기전자"/>
    <s v="청소기"/>
    <s v="로보락"/>
    <x v="4"/>
    <s v="신문/잡지(대)종합일간지(중)"/>
    <s v="문화"/>
    <s v="600X314"/>
    <x v="1"/>
    <s v="25.05.14"/>
    <s v="25.05.14"/>
    <s v="GDN"/>
    <n v="62"/>
  </r>
  <r>
    <s v="PC"/>
    <x v="3"/>
    <x v="4"/>
    <s v="가정용 전기전자"/>
    <s v="가사용 전기전자"/>
    <s v="청소기"/>
    <s v="로보락"/>
    <x v="4"/>
    <s v="신문/잡지(대)종합일간지(중)"/>
    <s v="방송연예"/>
    <s v="300X300"/>
    <x v="4"/>
    <s v="25.03.24"/>
    <s v="25.03.24"/>
    <s v="카카오광고"/>
    <n v="176"/>
  </r>
  <r>
    <s v="PC"/>
    <x v="3"/>
    <x v="4"/>
    <s v="가정용 전기전자"/>
    <s v="가사용 전기전자"/>
    <s v="청소기"/>
    <s v="로보락"/>
    <x v="4"/>
    <s v="신문/잡지(대)종합일간지(중)"/>
    <s v="정치"/>
    <s v="300X3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4"/>
    <s v="신문/잡지(대)종합일간지(중)"/>
    <s v="정치"/>
    <s v="1200X1200"/>
    <x v="2"/>
    <s v="25.02.04"/>
    <s v="25.02.08"/>
    <s v="GDN"/>
    <n v="260"/>
  </r>
  <r>
    <s v="PC"/>
    <x v="3"/>
    <x v="4"/>
    <s v="가정용 전기전자"/>
    <s v="가사용 전기전자"/>
    <s v="청소기"/>
    <s v="로보락"/>
    <x v="4"/>
    <s v="신문/잡지(대)종합일간지(중)"/>
    <s v="정치"/>
    <s v="1200X1200"/>
    <x v="2"/>
    <s v="25.02.17"/>
    <s v="25.02.17"/>
    <s v="GDN"/>
    <n v="52"/>
  </r>
  <r>
    <s v="PC"/>
    <x v="3"/>
    <x v="4"/>
    <s v="가정용 전기전자"/>
    <s v="가사용 전기전자"/>
    <s v="청소기"/>
    <s v="로보락"/>
    <x v="4"/>
    <s v="신문/잡지(대)종합일간지(중)"/>
    <s v="포토"/>
    <s v="1200X1200"/>
    <x v="3"/>
    <s v="25.01.01"/>
    <s v="25.01.01"/>
    <s v="GDN"/>
    <n v="52"/>
  </r>
  <r>
    <s v="PC"/>
    <x v="3"/>
    <x v="4"/>
    <s v="가정용 전기전자"/>
    <s v="가사용 전기전자"/>
    <s v="청소기"/>
    <s v="로보락"/>
    <x v="34"/>
    <s v="신문/잡지(대)온라인뉴스(중)"/>
    <s v="경제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34"/>
    <s v="신문/잡지(대)온라인뉴스(중)"/>
    <s v="사는 이야기"/>
    <s v="500X500"/>
    <x v="3"/>
    <s v="25.01.14"/>
    <s v="25.01.14"/>
    <s v="카카오광고"/>
    <n v="140"/>
  </r>
  <r>
    <s v="PC"/>
    <x v="3"/>
    <x v="4"/>
    <s v="가정용 전기전자"/>
    <s v="가사용 전기전자"/>
    <s v="청소기"/>
    <s v="로보락"/>
    <x v="34"/>
    <s v="신문/잡지(대)온라인뉴스(중)"/>
    <s v="정치"/>
    <s v="1200X600"/>
    <x v="3"/>
    <s v="25.01.06"/>
    <s v="25.01.08"/>
    <s v="카카오광고"/>
    <n v="420"/>
  </r>
  <r>
    <s v="PC"/>
    <x v="3"/>
    <x v="4"/>
    <s v="가정용 전기전자"/>
    <s v="가사용 전기전자"/>
    <s v="청소기"/>
    <s v="로보락"/>
    <x v="34"/>
    <s v="신문/잡지(대)온라인뉴스(중)"/>
    <s v="지역"/>
    <s v="300X300"/>
    <x v="4"/>
    <s v="25.03.24"/>
    <s v="25.03.30"/>
    <s v="카카오광고"/>
    <n v="1232"/>
  </r>
  <r>
    <s v="PC"/>
    <x v="3"/>
    <x v="4"/>
    <s v="가정용 전기전자"/>
    <s v="가사용 전기전자"/>
    <s v="청소기"/>
    <s v="로보락"/>
    <x v="34"/>
    <s v="신문/잡지(대)온라인뉴스(중)"/>
    <s v="지역"/>
    <s v="600X314"/>
    <x v="1"/>
    <s v="25.05.07"/>
    <s v="25.05.07"/>
    <s v="GDN"/>
    <n v="62"/>
  </r>
  <r>
    <s v="PC"/>
    <x v="3"/>
    <x v="4"/>
    <s v="가정용 전기전자"/>
    <s v="가사용 전기전자"/>
    <s v="청소기"/>
    <s v="로보락"/>
    <x v="34"/>
    <s v="신문/잡지(대)온라인뉴스(중)"/>
    <s v="책동네"/>
    <s v="300X300"/>
    <x v="1"/>
    <s v="25.05.08"/>
    <s v="25.05.08"/>
    <s v="카카오광고"/>
    <n v="216"/>
  </r>
  <r>
    <s v="PC"/>
    <x v="3"/>
    <x v="4"/>
    <s v="가정용 전기전자"/>
    <s v="가사용 전기전자"/>
    <s v="청소기"/>
    <s v="로보락"/>
    <x v="5"/>
    <s v="신문/잡지(대)경제신문(중)"/>
    <s v="뉴스"/>
    <s v="1200X600"/>
    <x v="3"/>
    <s v="25.01.10"/>
    <s v="25.01.12"/>
    <s v="카카오광고"/>
    <n v="420"/>
  </r>
  <r>
    <s v="PC"/>
    <x v="3"/>
    <x v="4"/>
    <s v="가정용 전기전자"/>
    <s v="가사용 전기전자"/>
    <s v="청소기"/>
    <s v="로보락"/>
    <x v="5"/>
    <s v="신문/잡지(대)경제신문(중)"/>
    <s v="스포츠"/>
    <s v="1200X600"/>
    <x v="3"/>
    <s v="25.01.14"/>
    <s v="25.01.18"/>
    <s v="카카오광고"/>
    <n v="700"/>
  </r>
  <r>
    <s v="PC"/>
    <x v="3"/>
    <x v="4"/>
    <s v="가정용 전기전자"/>
    <s v="가사용 전기전자"/>
    <s v="청소기"/>
    <s v="로보락"/>
    <x v="5"/>
    <s v="신문/잡지(대)경제신문(중)"/>
    <s v="스포츠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5"/>
    <s v="신문/잡지(대)경제신문(중)"/>
    <s v="스포츠"/>
    <s v="300X300"/>
    <x v="0"/>
    <s v="25.04.09"/>
    <s v="25.04.09"/>
    <s v="카카오광고"/>
    <n v="176"/>
  </r>
  <r>
    <s v="PC"/>
    <x v="3"/>
    <x v="4"/>
    <s v="가정용 전기전자"/>
    <s v="가사용 전기전자"/>
    <s v="청소기"/>
    <s v="로보락"/>
    <x v="6"/>
    <s v="생활정보(대)쇼핑/가격정보(중)"/>
    <s v="갤러리"/>
    <s v="300X300"/>
    <x v="4"/>
    <s v="25.03.26"/>
    <s v="25.03.30"/>
    <s v="카카오광고"/>
    <n v="308"/>
  </r>
  <r>
    <s v="PC"/>
    <x v="3"/>
    <x v="4"/>
    <s v="가정용 전기전자"/>
    <s v="가사용 전기전자"/>
    <s v="청소기"/>
    <s v="로보락"/>
    <x v="6"/>
    <s v="생활정보(대)쇼핑/가격정보(중)"/>
    <s v="갤러리"/>
    <s v="1200X600"/>
    <x v="1"/>
    <s v="25.05.07"/>
    <s v="25.05.08"/>
    <s v="카카오광고"/>
    <n v="151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300X300"/>
    <x v="2"/>
    <s v="25.02.09"/>
    <s v="25.02.09"/>
    <s v="카카오광고"/>
    <n v="55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300X300"/>
    <x v="2"/>
    <s v="25.02.16"/>
    <s v="25.02.16"/>
    <s v="카카오광고"/>
    <n v="55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1200X1200"/>
    <x v="2"/>
    <s v="25.02.16"/>
    <s v="25.02.16"/>
    <s v="GDN"/>
    <n v="18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300X300"/>
    <x v="2"/>
    <s v="25.02.17"/>
    <s v="25.02.17"/>
    <s v="카카오광고"/>
    <n v="55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300X300"/>
    <x v="0"/>
    <s v="25.04.14"/>
    <s v="25.04.14"/>
    <s v="카카오광고"/>
    <n v="62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300X300"/>
    <x v="1"/>
    <s v="25.05.01"/>
    <s v="25.05.01"/>
    <s v="카카오광고"/>
    <n v="76"/>
  </r>
  <r>
    <s v="PC"/>
    <x v="3"/>
    <x v="4"/>
    <s v="가정용 전기전자"/>
    <s v="가사용 전기전자"/>
    <s v="청소기"/>
    <s v="로보락"/>
    <x v="6"/>
    <s v="생활정보(대)쇼핑/가격정보(중)"/>
    <s v="마이너갤러리"/>
    <s v="300X300"/>
    <x v="1"/>
    <s v="25.05.16"/>
    <s v="25.05.16"/>
    <s v="카카오광고"/>
    <n v="76"/>
  </r>
  <r>
    <s v="PC"/>
    <x v="3"/>
    <x v="4"/>
    <s v="가정용 전기전자"/>
    <s v="가사용 전기전자"/>
    <s v="청소기"/>
    <s v="로보락"/>
    <x v="6"/>
    <s v="생활정보(대)쇼핑/가격정보(중)"/>
    <s v="메인"/>
    <s v="0X0"/>
    <x v="4"/>
    <s v="25.03.03"/>
    <s v="25.03.06"/>
    <s v="카카오광고"/>
    <n v="246"/>
  </r>
  <r>
    <s v="PC"/>
    <x v="3"/>
    <x v="4"/>
    <s v="가정용 전기전자"/>
    <s v="가사용 전기전자"/>
    <s v="청소기"/>
    <s v="로보락"/>
    <x v="6"/>
    <s v="생활정보(대)쇼핑/가격정보(중)"/>
    <s v="메인"/>
    <s v="0X0"/>
    <x v="4"/>
    <s v="25.03.10"/>
    <s v="25.03.14"/>
    <s v="카카오광고"/>
    <n v="308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3"/>
    <s v="25.01.06"/>
    <s v="25.01.12"/>
    <s v="카카오광고"/>
    <n v="343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3"/>
    <s v="25.01.13"/>
    <s v="25.01.19"/>
    <s v="카카오광고"/>
    <n v="343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500X500"/>
    <x v="3"/>
    <s v="25.01.20"/>
    <s v="25.01.23"/>
    <s v="카카오광고"/>
    <n v="196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3"/>
    <s v="25.01.31"/>
    <s v="25.01.31"/>
    <s v="카카오광고"/>
    <n v="49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4"/>
    <s v="25.03.02"/>
    <s v="25.03.02"/>
    <s v="카카오광고"/>
    <n v="62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4"/>
    <s v="25.03.18"/>
    <s v="25.03.23"/>
    <s v="카카오광고"/>
    <n v="370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4"/>
    <s v="25.03.31"/>
    <s v="25.03.31"/>
    <s v="카카오광고"/>
    <n v="62"/>
  </r>
  <r>
    <s v="PC"/>
    <x v="3"/>
    <x v="4"/>
    <s v="가정용 전기전자"/>
    <s v="가사용 전기전자"/>
    <s v="청소기"/>
    <s v="로보락"/>
    <x v="6"/>
    <s v="생활정보(대)쇼핑/가격정보(중)"/>
    <s v="미니갤러리"/>
    <s v="300X300"/>
    <x v="0"/>
    <s v="25.04.10"/>
    <s v="25.04.12"/>
    <s v="카카오광고"/>
    <n v="185"/>
  </r>
  <r>
    <s v="PC"/>
    <x v="3"/>
    <x v="4"/>
    <s v="가정용 전기전자"/>
    <s v="가사용 전기전자"/>
    <s v="청소기"/>
    <s v="로보락"/>
    <x v="7"/>
    <s v="신문/잡지(대)온라인뉴스(중)"/>
    <s v="메인"/>
    <s v="300X300"/>
    <x v="4"/>
    <s v="25.03.27"/>
    <s v="25.03.30"/>
    <s v="카카오광고"/>
    <n v="704"/>
  </r>
  <r>
    <s v="PC"/>
    <x v="3"/>
    <x v="4"/>
    <s v="가정용 전기전자"/>
    <s v="가사용 전기전자"/>
    <s v="청소기"/>
    <s v="로보락"/>
    <x v="7"/>
    <s v="신문/잡지(대)온라인뉴스(중)"/>
    <s v="메인"/>
    <s v="300X300"/>
    <x v="0"/>
    <s v="25.04.06"/>
    <s v="25.04.06"/>
    <s v="카카오광고"/>
    <n v="176"/>
  </r>
  <r>
    <s v="PC"/>
    <x v="3"/>
    <x v="4"/>
    <s v="가정용 전기전자"/>
    <s v="가사용 전기전자"/>
    <s v="청소기"/>
    <s v="로보락"/>
    <x v="7"/>
    <s v="신문/잡지(대)온라인뉴스(중)"/>
    <s v="사람들"/>
    <s v="300X3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7"/>
    <s v="신문/잡지(대)온라인뉴스(중)"/>
    <s v="사람들"/>
    <s v="1200X1200"/>
    <x v="3"/>
    <s v="25.01.30"/>
    <s v="25.01.30"/>
    <s v="GDN"/>
    <n v="52"/>
  </r>
  <r>
    <s v="PC"/>
    <x v="3"/>
    <x v="4"/>
    <s v="가정용 전기전자"/>
    <s v="가사용 전기전자"/>
    <s v="청소기"/>
    <s v="로보락"/>
    <x v="7"/>
    <s v="신문/잡지(대)온라인뉴스(중)"/>
    <s v="사람들"/>
    <s v="300X300"/>
    <x v="4"/>
    <s v="25.03.14"/>
    <s v="25.03.14"/>
    <s v="카카오광고"/>
    <n v="176"/>
  </r>
  <r>
    <s v="PC"/>
    <x v="3"/>
    <x v="4"/>
    <s v="가정용 전기전자"/>
    <s v="가사용 전기전자"/>
    <s v="청소기"/>
    <s v="로보락"/>
    <x v="7"/>
    <s v="신문/잡지(대)온라인뉴스(중)"/>
    <s v="사회"/>
    <s v="500X500"/>
    <x v="4"/>
    <s v="25.03.20"/>
    <s v="25.03.21"/>
    <s v="카카오광고"/>
    <n v="352"/>
  </r>
  <r>
    <s v="PC"/>
    <x v="3"/>
    <x v="4"/>
    <s v="가정용 전기전자"/>
    <s v="가사용 전기전자"/>
    <s v="청소기"/>
    <s v="로보락"/>
    <x v="7"/>
    <s v="신문/잡지(대)온라인뉴스(중)"/>
    <s v="스포츠"/>
    <s v="1200X600"/>
    <x v="3"/>
    <s v="25.01.15"/>
    <s v="25.01.19"/>
    <s v="카카오광고"/>
    <n v="700"/>
  </r>
  <r>
    <s v="PC"/>
    <x v="3"/>
    <x v="4"/>
    <s v="가정용 전기전자"/>
    <s v="가사용 전기전자"/>
    <s v="청소기"/>
    <s v="로보락"/>
    <x v="7"/>
    <s v="신문/잡지(대)온라인뉴스(중)"/>
    <s v="스포츠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7"/>
    <s v="신문/잡지(대)온라인뉴스(중)"/>
    <s v="여행"/>
    <s v="0X0"/>
    <x v="4"/>
    <s v="25.03.09"/>
    <s v="25.03.09"/>
    <s v="카카오광고"/>
    <n v="176"/>
  </r>
  <r>
    <s v="PC"/>
    <x v="3"/>
    <x v="4"/>
    <s v="가정용 전기전자"/>
    <s v="가사용 전기전자"/>
    <s v="청소기"/>
    <s v="로보락"/>
    <x v="7"/>
    <s v="신문/잡지(대)온라인뉴스(중)"/>
    <s v="연예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7"/>
    <s v="신문/잡지(대)온라인뉴스(중)"/>
    <s v="오피니언"/>
    <s v="300X300"/>
    <x v="0"/>
    <s v="25.04.08"/>
    <s v="25.04.12"/>
    <s v="카카오광고"/>
    <n v="880"/>
  </r>
  <r>
    <s v="PC"/>
    <x v="3"/>
    <x v="4"/>
    <s v="가정용 전기전자"/>
    <s v="가사용 전기전자"/>
    <s v="청소기"/>
    <s v="로보락"/>
    <x v="7"/>
    <s v="신문/잡지(대)온라인뉴스(중)"/>
    <s v="오피니언"/>
    <s v="300X300"/>
    <x v="0"/>
    <s v="25.04.22"/>
    <s v="25.04.22"/>
    <s v="카카오광고"/>
    <n v="176"/>
  </r>
  <r>
    <s v="PC"/>
    <x v="3"/>
    <x v="4"/>
    <s v="가정용 전기전자"/>
    <s v="가사용 전기전자"/>
    <s v="청소기"/>
    <s v="로보락"/>
    <x v="7"/>
    <s v="신문/잡지(대)온라인뉴스(중)"/>
    <s v="전국"/>
    <s v="300X300"/>
    <x v="3"/>
    <s v="25.01.03"/>
    <s v="25.01.03"/>
    <s v="카카오광고"/>
    <n v="140"/>
  </r>
  <r>
    <s v="PC"/>
    <x v="3"/>
    <x v="4"/>
    <s v="가정용 전기전자"/>
    <s v="가사용 전기전자"/>
    <s v="청소기"/>
    <s v="로보락"/>
    <x v="7"/>
    <s v="신문/잡지(대)온라인뉴스(중)"/>
    <s v="전국"/>
    <s v="300X300"/>
    <x v="1"/>
    <s v="25.05.08"/>
    <s v="25.05.08"/>
    <s v="카카오광고"/>
    <n v="216"/>
  </r>
  <r>
    <s v="PC"/>
    <x v="3"/>
    <x v="4"/>
    <s v="가정용 전기전자"/>
    <s v="가사용 전기전자"/>
    <s v="청소기"/>
    <s v="로보락"/>
    <x v="7"/>
    <s v="신문/잡지(대)온라인뉴스(중)"/>
    <s v="정치"/>
    <s v="1200X1200"/>
    <x v="2"/>
    <s v="25.02.02"/>
    <s v="25.02.02"/>
    <s v="GDN"/>
    <n v="52"/>
  </r>
  <r>
    <s v="PC"/>
    <x v="3"/>
    <x v="4"/>
    <s v="가정용 전기전자"/>
    <s v="가사용 전기전자"/>
    <s v="청소기"/>
    <s v="로보락"/>
    <x v="7"/>
    <s v="신문/잡지(대)온라인뉴스(중)"/>
    <s v="정치"/>
    <s v="1200X1200"/>
    <x v="2"/>
    <s v="25.02.11"/>
    <s v="25.02.16"/>
    <s v="GDN"/>
    <n v="312"/>
  </r>
  <r>
    <s v="PC"/>
    <x v="3"/>
    <x v="4"/>
    <s v="가정용 전기전자"/>
    <s v="가사용 전기전자"/>
    <s v="청소기"/>
    <s v="로보락"/>
    <x v="7"/>
    <s v="신문/잡지(대)온라인뉴스(중)"/>
    <s v="정치"/>
    <s v="300X300"/>
    <x v="2"/>
    <s v="25.02.13"/>
    <s v="25.02.13"/>
    <s v="카카오광고"/>
    <n v="158"/>
  </r>
  <r>
    <s v="PC"/>
    <x v="3"/>
    <x v="4"/>
    <s v="가정용 전기전자"/>
    <s v="가사용 전기전자"/>
    <s v="청소기"/>
    <s v="로보락"/>
    <x v="35"/>
    <s v="신문/잡지(대)종합일간지(중)"/>
    <s v="레이디경향"/>
    <s v="0X0"/>
    <x v="4"/>
    <s v="25.03.06"/>
    <s v="25.03.06"/>
    <s v="카카오광고"/>
    <n v="176"/>
  </r>
  <r>
    <s v="PC"/>
    <x v="3"/>
    <x v="4"/>
    <s v="가정용 전기전자"/>
    <s v="가사용 전기전자"/>
    <s v="청소기"/>
    <s v="로보락"/>
    <x v="35"/>
    <s v="신문/잡지(대)종합일간지(중)"/>
    <s v="메인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35"/>
    <s v="신문/잡지(대)종합일간지(중)"/>
    <s v="스포츠경향"/>
    <s v="1200X6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35"/>
    <s v="신문/잡지(대)종합일간지(중)"/>
    <s v="스포츠경향"/>
    <s v="300X300"/>
    <x v="3"/>
    <s v="25.01.13"/>
    <s v="25.01.18"/>
    <s v="카카오광고"/>
    <n v="840"/>
  </r>
  <r>
    <s v="PC"/>
    <x v="3"/>
    <x v="4"/>
    <s v="가정용 전기전자"/>
    <s v="가사용 전기전자"/>
    <s v="청소기"/>
    <s v="로보락"/>
    <x v="36"/>
    <s v="신문/잡지(대)종합일간지(중)"/>
    <s v="뉴스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8"/>
    <s v="신문/잡지(대)경제신문(중)"/>
    <s v="국제"/>
    <s v="300X300"/>
    <x v="4"/>
    <s v="25.03.28"/>
    <s v="25.03.28"/>
    <s v="카카오광고"/>
    <n v="176"/>
  </r>
  <r>
    <s v="PC"/>
    <x v="3"/>
    <x v="4"/>
    <s v="가정용 전기전자"/>
    <s v="가사용 전기전자"/>
    <s v="청소기"/>
    <s v="로보락"/>
    <x v="8"/>
    <s v="신문/잡지(대)경제신문(중)"/>
    <s v="보도"/>
    <s v="1200X1200"/>
    <x v="2"/>
    <s v="25.02.09"/>
    <s v="25.02.09"/>
    <s v="GDN"/>
    <n v="52"/>
  </r>
  <r>
    <s v="PC"/>
    <x v="3"/>
    <x v="4"/>
    <s v="가정용 전기전자"/>
    <s v="가사용 전기전자"/>
    <s v="청소기"/>
    <s v="로보락"/>
    <x v="8"/>
    <s v="신문/잡지(대)경제신문(중)"/>
    <s v="보도"/>
    <s v="1200X1200"/>
    <x v="2"/>
    <s v="25.02.15"/>
    <s v="25.02.16"/>
    <s v="GDN"/>
    <n v="104"/>
  </r>
  <r>
    <s v="PC"/>
    <x v="3"/>
    <x v="4"/>
    <s v="가정용 전기전자"/>
    <s v="가사용 전기전자"/>
    <s v="청소기"/>
    <s v="로보락"/>
    <x v="8"/>
    <s v="신문/잡지(대)경제신문(중)"/>
    <s v="보도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8"/>
    <s v="신문/잡지(대)경제신문(중)"/>
    <s v="보도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8"/>
    <s v="신문/잡지(대)경제신문(중)"/>
    <s v="연예"/>
    <s v="300X300"/>
    <x v="1"/>
    <s v="25.05.09"/>
    <s v="25.05.11"/>
    <s v="카카오광고"/>
    <n v="648"/>
  </r>
  <r>
    <s v="PC"/>
    <x v="3"/>
    <x v="4"/>
    <s v="가정용 전기전자"/>
    <s v="가사용 전기전자"/>
    <s v="청소기"/>
    <s v="로보락"/>
    <x v="8"/>
    <s v="신문/잡지(대)경제신문(중)"/>
    <s v="연예"/>
    <s v="300X300"/>
    <x v="1"/>
    <s v="25.05.12"/>
    <s v="25.05.17"/>
    <s v="카카오광고"/>
    <n v="1296"/>
  </r>
  <r>
    <s v="PC"/>
    <x v="3"/>
    <x v="4"/>
    <s v="가정용 전기전자"/>
    <s v="가사용 전기전자"/>
    <s v="청소기"/>
    <s v="로보락"/>
    <x v="37"/>
    <s v="엔터테인먼트(대)엔터테인먼트 기타(중)"/>
    <s v="패션"/>
    <s v="1200X600"/>
    <x v="3"/>
    <s v="25.01.12"/>
    <s v="25.01.12"/>
    <s v="카카오광고"/>
    <n v="140"/>
  </r>
  <r>
    <s v="PC"/>
    <x v="3"/>
    <x v="4"/>
    <s v="가정용 전기전자"/>
    <s v="가사용 전기전자"/>
    <s v="청소기"/>
    <s v="로보락"/>
    <x v="37"/>
    <s v="엔터테인먼트(대)엔터테인먼트 기타(중)"/>
    <s v="패션"/>
    <s v="0X0"/>
    <x v="4"/>
    <s v="25.03.07"/>
    <s v="25.03.07"/>
    <s v="카카오광고"/>
    <n v="176"/>
  </r>
  <r>
    <s v="PC"/>
    <x v="3"/>
    <x v="4"/>
    <s v="가정용 전기전자"/>
    <s v="가사용 전기전자"/>
    <s v="청소기"/>
    <s v="로보락"/>
    <x v="38"/>
    <s v="신문/잡지(대)온라인뉴스(중)"/>
    <s v="메인"/>
    <s v="1200X1200"/>
    <x v="2"/>
    <s v="25.02.16"/>
    <s v="25.02.16"/>
    <s v="GDN"/>
    <n v="52"/>
  </r>
  <r>
    <s v="PC"/>
    <x v="3"/>
    <x v="4"/>
    <s v="가정용 전기전자"/>
    <s v="가사용 전기전자"/>
    <s v="청소기"/>
    <s v="로보락"/>
    <x v="9"/>
    <s v="신문/잡지(대)경제신문(중)"/>
    <s v="경제"/>
    <s v="300X300"/>
    <x v="4"/>
    <s v="25.03.25"/>
    <s v="25.03.25"/>
    <s v="카카오광고"/>
    <n v="176"/>
  </r>
  <r>
    <s v="PC"/>
    <x v="3"/>
    <x v="4"/>
    <s v="가정용 전기전자"/>
    <s v="가사용 전기전자"/>
    <s v="청소기"/>
    <s v="로보락"/>
    <x v="9"/>
    <s v="신문/잡지(대)경제신문(중)"/>
    <s v="국제"/>
    <s v="1200X600"/>
    <x v="3"/>
    <s v="25.01.14"/>
    <s v="25.01.16"/>
    <s v="카카오광고"/>
    <n v="420"/>
  </r>
  <r>
    <s v="PC"/>
    <x v="3"/>
    <x v="4"/>
    <s v="가정용 전기전자"/>
    <s v="가사용 전기전자"/>
    <s v="청소기"/>
    <s v="로보락"/>
    <x v="9"/>
    <s v="신문/잡지(대)경제신문(중)"/>
    <s v="국제"/>
    <s v="300X300"/>
    <x v="2"/>
    <s v="25.02.11"/>
    <s v="25.02.11"/>
    <s v="카카오광고"/>
    <n v="158"/>
  </r>
  <r>
    <s v="PC"/>
    <x v="3"/>
    <x v="4"/>
    <s v="가정용 전기전자"/>
    <s v="가사용 전기전자"/>
    <s v="청소기"/>
    <s v="로보락"/>
    <x v="9"/>
    <s v="신문/잡지(대)경제신문(중)"/>
    <s v="국제"/>
    <s v="300X300"/>
    <x v="1"/>
    <s v="25.05.10"/>
    <s v="25.05.10"/>
    <s v="카카오광고"/>
    <n v="216"/>
  </r>
  <r>
    <s v="PC"/>
    <x v="3"/>
    <x v="4"/>
    <s v="가정용 전기전자"/>
    <s v="가사용 전기전자"/>
    <s v="청소기"/>
    <s v="로보락"/>
    <x v="9"/>
    <s v="신문/잡지(대)경제신문(중)"/>
    <s v="정치"/>
    <s v="0X0"/>
    <x v="4"/>
    <s v="25.03.06"/>
    <s v="25.03.06"/>
    <s v="카카오광고"/>
    <n v="176"/>
  </r>
  <r>
    <s v="PC"/>
    <x v="3"/>
    <x v="4"/>
    <s v="가정용 전기전자"/>
    <s v="가사용 전기전자"/>
    <s v="청소기"/>
    <s v="로보락"/>
    <x v="39"/>
    <s v="금융/비즈니스(대)금융정보(중)"/>
    <s v="메인"/>
    <s v="1200X1200"/>
    <x v="2"/>
    <s v="25.02.19"/>
    <s v="25.02.19"/>
    <s v="GDN"/>
    <n v="52"/>
  </r>
  <r>
    <s v="PC"/>
    <x v="3"/>
    <x v="4"/>
    <s v="가정용 전기전자"/>
    <s v="가사용 전기전자"/>
    <s v="청소기"/>
    <s v="로보락"/>
    <x v="10"/>
    <s v="신문/잡지(대)종합일간지(중)"/>
    <s v="나우뉴스"/>
    <s v="1200X600"/>
    <x v="3"/>
    <s v="25.01.07"/>
    <s v="25.01.07"/>
    <s v="카카오광고"/>
    <n v="140"/>
  </r>
  <r>
    <s v="PC"/>
    <x v="3"/>
    <x v="4"/>
    <s v="가정용 전기전자"/>
    <s v="가사용 전기전자"/>
    <s v="청소기"/>
    <s v="로보락"/>
    <x v="10"/>
    <s v="신문/잡지(대)종합일간지(중)"/>
    <s v="문화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10"/>
    <s v="신문/잡지(대)종합일간지(중)"/>
    <s v="문화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10"/>
    <s v="신문/잡지(대)종합일간지(중)"/>
    <s v="연예"/>
    <s v="1200X600"/>
    <x v="3"/>
    <s v="25.01.18"/>
    <s v="25.01.18"/>
    <s v="카카오광고"/>
    <n v="140"/>
  </r>
  <r>
    <s v="PC"/>
    <x v="3"/>
    <x v="4"/>
    <s v="가정용 전기전자"/>
    <s v="가사용 전기전자"/>
    <s v="청소기"/>
    <s v="로보락"/>
    <x v="40"/>
    <s v="신문/잡지(대)잡지(중)"/>
    <s v="이슈"/>
    <s v="600X314"/>
    <x v="1"/>
    <s v="25.05.08"/>
    <s v="25.05.08"/>
    <s v="GDN"/>
    <n v="62"/>
  </r>
  <r>
    <s v="PC"/>
    <x v="3"/>
    <x v="4"/>
    <s v="가정용 전기전자"/>
    <s v="가사용 전기전자"/>
    <s v="청소기"/>
    <s v="로보락"/>
    <x v="11"/>
    <s v="신문/잡지(대)종합일간지(중)"/>
    <s v="경제"/>
    <s v="0X0"/>
    <x v="4"/>
    <s v="25.03.06"/>
    <s v="25.03.06"/>
    <s v="카카오광고"/>
    <n v="176"/>
  </r>
  <r>
    <s v="PC"/>
    <x v="3"/>
    <x v="4"/>
    <s v="가정용 전기전자"/>
    <s v="가사용 전기전자"/>
    <s v="청소기"/>
    <s v="로보락"/>
    <x v="11"/>
    <s v="신문/잡지(대)종합일간지(중)"/>
    <s v="경제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11"/>
    <s v="신문/잡지(대)종합일간지(중)"/>
    <s v="국제"/>
    <s v="300X300"/>
    <x v="4"/>
    <s v="25.03.25"/>
    <s v="25.03.30"/>
    <s v="카카오광고"/>
    <n v="1056"/>
  </r>
  <r>
    <s v="PC"/>
    <x v="3"/>
    <x v="4"/>
    <s v="가정용 전기전자"/>
    <s v="가사용 전기전자"/>
    <s v="청소기"/>
    <s v="로보락"/>
    <x v="11"/>
    <s v="신문/잡지(대)종합일간지(중)"/>
    <s v="국제"/>
    <s v="300X300"/>
    <x v="0"/>
    <s v="25.04.09"/>
    <s v="25.04.09"/>
    <s v="카카오광고"/>
    <n v="176"/>
  </r>
  <r>
    <s v="PC"/>
    <x v="3"/>
    <x v="4"/>
    <s v="가정용 전기전자"/>
    <s v="가사용 전기전자"/>
    <s v="청소기"/>
    <s v="로보락"/>
    <x v="11"/>
    <s v="신문/잡지(대)종합일간지(중)"/>
    <s v="라이프"/>
    <s v="300X300"/>
    <x v="2"/>
    <s v="25.02.16"/>
    <s v="25.02.16"/>
    <s v="카카오광고"/>
    <n v="158"/>
  </r>
  <r>
    <s v="PC"/>
    <x v="3"/>
    <x v="4"/>
    <s v="가정용 전기전자"/>
    <s v="가사용 전기전자"/>
    <s v="청소기"/>
    <s v="로보락"/>
    <x v="11"/>
    <s v="신문/잡지(대)종합일간지(중)"/>
    <s v="라이프"/>
    <s v="300X300"/>
    <x v="4"/>
    <s v="25.03.20"/>
    <s v="25.03.21"/>
    <s v="카카오광고"/>
    <n v="352"/>
  </r>
  <r>
    <s v="PC"/>
    <x v="3"/>
    <x v="4"/>
    <s v="가정용 전기전자"/>
    <s v="가사용 전기전자"/>
    <s v="청소기"/>
    <s v="로보락"/>
    <x v="11"/>
    <s v="신문/잡지(대)종합일간지(중)"/>
    <s v="문화"/>
    <s v="300X300"/>
    <x v="2"/>
    <s v="25.02.18"/>
    <s v="25.02.18"/>
    <s v="카카오광고"/>
    <n v="158"/>
  </r>
  <r>
    <s v="PC"/>
    <x v="3"/>
    <x v="4"/>
    <s v="가정용 전기전자"/>
    <s v="가사용 전기전자"/>
    <s v="청소기"/>
    <s v="로보락"/>
    <x v="11"/>
    <s v="신문/잡지(대)종합일간지(중)"/>
    <s v="문화"/>
    <s v="300X300"/>
    <x v="1"/>
    <s v="25.05.13"/>
    <s v="25.05.17"/>
    <s v="카카오광고"/>
    <n v="1080"/>
  </r>
  <r>
    <s v="PC"/>
    <x v="3"/>
    <x v="4"/>
    <s v="가정용 전기전자"/>
    <s v="가사용 전기전자"/>
    <s v="청소기"/>
    <s v="로보락"/>
    <x v="11"/>
    <s v="신문/잡지(대)종합일간지(중)"/>
    <s v="사회"/>
    <s v="1200X600"/>
    <x v="3"/>
    <s v="25.01.22"/>
    <s v="25.01.25"/>
    <s v="카카오광고"/>
    <n v="560"/>
  </r>
  <r>
    <s v="PC"/>
    <x v="3"/>
    <x v="4"/>
    <s v="가정용 전기전자"/>
    <s v="가사용 전기전자"/>
    <s v="청소기"/>
    <s v="로보락"/>
    <x v="11"/>
    <s v="신문/잡지(대)종합일간지(중)"/>
    <s v="아살세"/>
    <s v="300X300"/>
    <x v="2"/>
    <s v="25.02.08"/>
    <s v="25.02.08"/>
    <s v="카카오광고"/>
    <n v="158"/>
  </r>
  <r>
    <s v="PC"/>
    <x v="3"/>
    <x v="4"/>
    <s v="가정용 전기전자"/>
    <s v="가사용 전기전자"/>
    <s v="청소기"/>
    <s v="로보락"/>
    <x v="11"/>
    <s v="신문/잡지(대)종합일간지(중)"/>
    <s v="연예"/>
    <s v="1200X600"/>
    <x v="3"/>
    <s v="25.01.13"/>
    <s v="25.01.18"/>
    <s v="카카오광고"/>
    <n v="840"/>
  </r>
  <r>
    <s v="PC"/>
    <x v="3"/>
    <x v="4"/>
    <s v="가정용 전기전자"/>
    <s v="가사용 전기전자"/>
    <s v="청소기"/>
    <s v="로보락"/>
    <x v="11"/>
    <s v="신문/잡지(대)종합일간지(중)"/>
    <s v="이슈"/>
    <s v="1200X1200"/>
    <x v="1"/>
    <s v="25.05.11"/>
    <s v="25.05.11"/>
    <s v="GDN"/>
    <n v="62"/>
  </r>
  <r>
    <s v="PC"/>
    <x v="3"/>
    <x v="4"/>
    <s v="가정용 전기전자"/>
    <s v="가사용 전기전자"/>
    <s v="청소기"/>
    <s v="로보락"/>
    <x v="11"/>
    <s v="신문/잡지(대)종합일간지(중)"/>
    <s v="정치"/>
    <s v="300X300"/>
    <x v="3"/>
    <s v="25.01.07"/>
    <s v="25.01.12"/>
    <s v="카카오광고"/>
    <n v="840"/>
  </r>
  <r>
    <s v="PC"/>
    <x v="3"/>
    <x v="4"/>
    <s v="가정용 전기전자"/>
    <s v="가사용 전기전자"/>
    <s v="청소기"/>
    <s v="로보락"/>
    <x v="11"/>
    <s v="신문/잡지(대)종합일간지(중)"/>
    <s v="정치"/>
    <s v="1200X1200"/>
    <x v="2"/>
    <s v="25.02.06"/>
    <s v="25.02.06"/>
    <s v="GDN"/>
    <n v="52"/>
  </r>
  <r>
    <s v="PC"/>
    <x v="3"/>
    <x v="4"/>
    <s v="가정용 전기전자"/>
    <s v="가사용 전기전자"/>
    <s v="청소기"/>
    <s v="로보락"/>
    <x v="11"/>
    <s v="신문/잡지(대)종합일간지(중)"/>
    <s v="정치"/>
    <s v="1200X1200"/>
    <x v="2"/>
    <s v="25.02.13"/>
    <s v="25.02.13"/>
    <s v="GDN"/>
    <n v="52"/>
  </r>
  <r>
    <s v="PC"/>
    <x v="3"/>
    <x v="4"/>
    <s v="가정용 전기전자"/>
    <s v="가사용 전기전자"/>
    <s v="청소기"/>
    <s v="로보락"/>
    <x v="41"/>
    <s v="신문/잡지(대)IT관련 뉴스(중)"/>
    <s v="모바일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42"/>
    <s v="신문/잡지(대)경제신문(중)"/>
    <s v="뉴스"/>
    <s v="1200X6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42"/>
    <s v="신문/잡지(대)경제신문(중)"/>
    <s v="뉴스"/>
    <s v="1200X6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42"/>
    <s v="신문/잡지(대)경제신문(중)"/>
    <s v="뉴스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42"/>
    <s v="신문/잡지(대)경제신문(중)"/>
    <s v="뉴스"/>
    <s v="300X300"/>
    <x v="2"/>
    <s v="25.02.28"/>
    <s v="25.02.28"/>
    <s v="카카오광고"/>
    <n v="158"/>
  </r>
  <r>
    <s v="PC"/>
    <x v="3"/>
    <x v="4"/>
    <s v="가정용 전기전자"/>
    <s v="가사용 전기전자"/>
    <s v="청소기"/>
    <s v="로보락"/>
    <x v="42"/>
    <s v="신문/잡지(대)경제신문(중)"/>
    <s v="뉴스"/>
    <s v="300X300"/>
    <x v="4"/>
    <s v="25.03.18"/>
    <s v="25.03.18"/>
    <s v="카카오광고"/>
    <n v="176"/>
  </r>
  <r>
    <s v="PC"/>
    <x v="3"/>
    <x v="4"/>
    <s v="가정용 전기전자"/>
    <s v="가사용 전기전자"/>
    <s v="청소기"/>
    <s v="로보락"/>
    <x v="42"/>
    <s v="신문/잡지(대)경제신문(중)"/>
    <s v="뉴스"/>
    <s v="300X300"/>
    <x v="4"/>
    <s v="25.03.25"/>
    <s v="25.03.30"/>
    <s v="카카오광고"/>
    <n v="1056"/>
  </r>
  <r>
    <s v="PC"/>
    <x v="3"/>
    <x v="4"/>
    <s v="가정용 전기전자"/>
    <s v="가사용 전기전자"/>
    <s v="청소기"/>
    <s v="로보락"/>
    <x v="42"/>
    <s v="신문/잡지(대)경제신문(중)"/>
    <s v="뉴스"/>
    <s v="300X300"/>
    <x v="0"/>
    <s v="25.04.24"/>
    <s v="25.04.24"/>
    <s v="카카오광고"/>
    <n v="176"/>
  </r>
  <r>
    <s v="PC"/>
    <x v="3"/>
    <x v="4"/>
    <s v="가정용 전기전자"/>
    <s v="가사용 전기전자"/>
    <s v="청소기"/>
    <s v="로보락"/>
    <x v="42"/>
    <s v="신문/잡지(대)경제신문(중)"/>
    <s v="포토/영상"/>
    <s v="300X300"/>
    <x v="3"/>
    <s v="25.01.03"/>
    <s v="25.01.03"/>
    <s v="카카오광고"/>
    <n v="140"/>
  </r>
  <r>
    <s v="PC"/>
    <x v="3"/>
    <x v="4"/>
    <s v="가정용 전기전자"/>
    <s v="가사용 전기전자"/>
    <s v="청소기"/>
    <s v="로보락"/>
    <x v="43"/>
    <s v="신문/잡지(대)지역신문(중)"/>
    <s v="메트로인"/>
    <s v="1200X1200"/>
    <x v="2"/>
    <s v="25.02.16"/>
    <s v="25.02.16"/>
    <s v="GDN"/>
    <n v="52"/>
  </r>
  <r>
    <s v="PC"/>
    <x v="3"/>
    <x v="4"/>
    <s v="가정용 전기전자"/>
    <s v="가사용 전기전자"/>
    <s v="청소기"/>
    <s v="로보락"/>
    <x v="43"/>
    <s v="신문/잡지(대)지역신문(중)"/>
    <s v="메트로인"/>
    <s v="1200X1200"/>
    <x v="2"/>
    <s v="25.02.18"/>
    <s v="25.02.18"/>
    <s v="GDN"/>
    <n v="52"/>
  </r>
  <r>
    <s v="PC"/>
    <x v="3"/>
    <x v="4"/>
    <s v="가정용 전기전자"/>
    <s v="가사용 전기전자"/>
    <s v="청소기"/>
    <s v="로보락"/>
    <x v="44"/>
    <s v="방송(대)케이블/위성방송(중)"/>
    <s v="경제"/>
    <s v="1200X600"/>
    <x v="3"/>
    <s v="25.01.20"/>
    <s v="25.01.22"/>
    <s v="카카오광고"/>
    <n v="420"/>
  </r>
  <r>
    <s v="PC"/>
    <x v="3"/>
    <x v="4"/>
    <s v="가정용 전기전자"/>
    <s v="가사용 전기전자"/>
    <s v="청소기"/>
    <s v="로보락"/>
    <x v="44"/>
    <s v="방송(대)케이블/위성방송(중)"/>
    <s v="경제"/>
    <s v="300X300"/>
    <x v="2"/>
    <s v="25.02.06"/>
    <s v="25.02.06"/>
    <s v="카카오광고"/>
    <n v="158"/>
  </r>
  <r>
    <s v="PC"/>
    <x v="3"/>
    <x v="4"/>
    <s v="가정용 전기전자"/>
    <s v="가사용 전기전자"/>
    <s v="청소기"/>
    <s v="로보락"/>
    <x v="44"/>
    <s v="방송(대)케이블/위성방송(중)"/>
    <s v="국제"/>
    <s v="300X300"/>
    <x v="3"/>
    <s v="25.01.02"/>
    <s v="25.01.02"/>
    <s v="카카오광고"/>
    <n v="140"/>
  </r>
  <r>
    <s v="PC"/>
    <x v="3"/>
    <x v="4"/>
    <s v="가정용 전기전자"/>
    <s v="가사용 전기전자"/>
    <s v="청소기"/>
    <s v="로보락"/>
    <x v="44"/>
    <s v="방송(대)케이블/위성방송(중)"/>
    <s v="많이 본 뉴스"/>
    <s v="300X3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44"/>
    <s v="방송(대)케이블/위성방송(중)"/>
    <s v="많이 본 뉴스"/>
    <s v="0X0"/>
    <x v="4"/>
    <s v="25.03.06"/>
    <s v="25.03.07"/>
    <s v="카카오광고"/>
    <n v="352"/>
  </r>
  <r>
    <s v="PC"/>
    <x v="3"/>
    <x v="4"/>
    <s v="가정용 전기전자"/>
    <s v="가사용 전기전자"/>
    <s v="청소기"/>
    <s v="로보락"/>
    <x v="44"/>
    <s v="방송(대)케이블/위성방송(중)"/>
    <s v="많이 본 뉴스"/>
    <s v="0X0"/>
    <x v="4"/>
    <s v="25.03.18"/>
    <s v="25.03.21"/>
    <s v="카카오광고"/>
    <n v="704"/>
  </r>
  <r>
    <s v="PC"/>
    <x v="3"/>
    <x v="4"/>
    <s v="가정용 전기전자"/>
    <s v="가사용 전기전자"/>
    <s v="청소기"/>
    <s v="로보락"/>
    <x v="44"/>
    <s v="방송(대)케이블/위성방송(중)"/>
    <s v="많이 본 뉴스"/>
    <s v="300X300"/>
    <x v="4"/>
    <s v="25.03.27"/>
    <s v="25.03.30"/>
    <s v="카카오광고"/>
    <n v="704"/>
  </r>
  <r>
    <s v="PC"/>
    <x v="3"/>
    <x v="4"/>
    <s v="가정용 전기전자"/>
    <s v="가사용 전기전자"/>
    <s v="청소기"/>
    <s v="로보락"/>
    <x v="44"/>
    <s v="방송(대)케이블/위성방송(중)"/>
    <s v="많이 본 뉴스"/>
    <s v="300X300"/>
    <x v="1"/>
    <s v="25.05.07"/>
    <s v="25.05.07"/>
    <s v="카카오광고"/>
    <n v="216"/>
  </r>
  <r>
    <s v="PC"/>
    <x v="3"/>
    <x v="4"/>
    <s v="가정용 전기전자"/>
    <s v="가사용 전기전자"/>
    <s v="청소기"/>
    <s v="로보락"/>
    <x v="44"/>
    <s v="방송(대)케이블/위성방송(중)"/>
    <s v="스포츠"/>
    <s v="1200X6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45"/>
    <s v="신문/잡지(대)신문/잡지 기타(중)"/>
    <s v="스포츠"/>
    <s v="1200X628"/>
    <x v="2"/>
    <s v="25.02.27"/>
    <s v="25.02.27"/>
    <s v="GDN"/>
    <n v="52"/>
  </r>
  <r>
    <s v="PC"/>
    <x v="3"/>
    <x v="4"/>
    <s v="가정용 전기전자"/>
    <s v="가사용 전기전자"/>
    <s v="청소기"/>
    <s v="로보락"/>
    <x v="13"/>
    <s v="신문/잡지(대)IT관련 뉴스(중)"/>
    <s v="뉴스"/>
    <s v="300X300"/>
    <x v="4"/>
    <s v="25.03.20"/>
    <s v="25.03.20"/>
    <s v="카카오광고"/>
    <n v="176"/>
  </r>
  <r>
    <s v="PC"/>
    <x v="3"/>
    <x v="4"/>
    <s v="가정용 전기전자"/>
    <s v="가사용 전기전자"/>
    <s v="청소기"/>
    <s v="로보락"/>
    <x v="13"/>
    <s v="신문/잡지(대)IT관련 뉴스(중)"/>
    <s v="산업"/>
    <s v="600X314"/>
    <x v="1"/>
    <s v="25.05.23"/>
    <s v="25.05.23"/>
    <s v="GDN"/>
    <n v="62"/>
  </r>
  <r>
    <s v="PC"/>
    <x v="3"/>
    <x v="4"/>
    <s v="가정용 전기전자"/>
    <s v="가사용 전기전자"/>
    <s v="청소기"/>
    <s v="로보락"/>
    <x v="13"/>
    <s v="신문/잡지(대)IT관련 뉴스(중)"/>
    <s v="스포츠"/>
    <s v="300X300"/>
    <x v="3"/>
    <s v="25.01.27"/>
    <s v="25.01.29"/>
    <s v="카카오광고"/>
    <n v="420"/>
  </r>
  <r>
    <s v="PC"/>
    <x v="3"/>
    <x v="4"/>
    <s v="가정용 전기전자"/>
    <s v="가사용 전기전자"/>
    <s v="청소기"/>
    <s v="로보락"/>
    <x v="13"/>
    <s v="신문/잡지(대)IT관련 뉴스(중)"/>
    <s v="스포츠"/>
    <s v="300X300"/>
    <x v="1"/>
    <s v="25.05.07"/>
    <s v="25.05.09"/>
    <s v="카카오광고"/>
    <n v="648"/>
  </r>
  <r>
    <s v="PC"/>
    <x v="3"/>
    <x v="4"/>
    <s v="가정용 전기전자"/>
    <s v="가사용 전기전자"/>
    <s v="청소기"/>
    <s v="로보락"/>
    <x v="13"/>
    <s v="신문/잡지(대)IT관련 뉴스(중)"/>
    <s v="전국"/>
    <s v="300X300"/>
    <x v="4"/>
    <s v="25.03.25"/>
    <s v="25.03.30"/>
    <s v="카카오광고"/>
    <n v="1056"/>
  </r>
  <r>
    <s v="PC"/>
    <x v="3"/>
    <x v="4"/>
    <s v="가정용 전기전자"/>
    <s v="가사용 전기전자"/>
    <s v="청소기"/>
    <s v="로보락"/>
    <x v="13"/>
    <s v="신문/잡지(대)IT관련 뉴스(중)"/>
    <s v="전국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13"/>
    <s v="신문/잡지(대)IT관련 뉴스(중)"/>
    <s v="조이뉴스24"/>
    <s v="1200X600"/>
    <x v="3"/>
    <s v="25.01.13"/>
    <s v="25.01.18"/>
    <s v="카카오광고"/>
    <n v="840"/>
  </r>
  <r>
    <s v="PC"/>
    <x v="3"/>
    <x v="4"/>
    <s v="가정용 전기전자"/>
    <s v="가사용 전기전자"/>
    <s v="청소기"/>
    <s v="로보락"/>
    <x v="13"/>
    <s v="신문/잡지(대)IT관련 뉴스(중)"/>
    <s v="조이뉴스24"/>
    <s v="1200X600"/>
    <x v="3"/>
    <s v="25.01.20"/>
    <s v="25.01.20"/>
    <s v="카카오광고"/>
    <n v="140"/>
  </r>
  <r>
    <s v="PC"/>
    <x v="3"/>
    <x v="4"/>
    <s v="가정용 전기전자"/>
    <s v="가사용 전기전자"/>
    <s v="청소기"/>
    <s v="로보락"/>
    <x v="13"/>
    <s v="신문/잡지(대)IT관련 뉴스(중)"/>
    <s v="IT정책"/>
    <s v="1200X600"/>
    <x v="3"/>
    <s v="25.01.06"/>
    <s v="25.01.11"/>
    <s v="카카오광고"/>
    <n v="840"/>
  </r>
  <r>
    <s v="PC"/>
    <x v="3"/>
    <x v="4"/>
    <s v="가정용 전기전자"/>
    <s v="가사용 전기전자"/>
    <s v="청소기"/>
    <s v="로보락"/>
    <x v="46"/>
    <s v="신문/잡지(대)IT관련 뉴스(중)"/>
    <s v="국제"/>
    <s v="1200X1200"/>
    <x v="2"/>
    <s v="25.02.13"/>
    <s v="25.02.13"/>
    <s v="GDN"/>
    <n v="52"/>
  </r>
  <r>
    <s v="PC"/>
    <x v="3"/>
    <x v="4"/>
    <s v="가정용 전기전자"/>
    <s v="가사용 전기전자"/>
    <s v="청소기"/>
    <s v="로보락"/>
    <x v="14"/>
    <s v="신문/잡지(대)IT관련 뉴스(중)"/>
    <s v="메인"/>
    <s v="1200X1200"/>
    <x v="2"/>
    <s v="25.02.10"/>
    <s v="25.02.10"/>
    <s v="GDN"/>
    <n v="52"/>
  </r>
  <r>
    <s v="PC"/>
    <x v="3"/>
    <x v="4"/>
    <s v="가정용 전기전자"/>
    <s v="가사용 전기전자"/>
    <s v="청소기"/>
    <s v="로보락"/>
    <x v="14"/>
    <s v="신문/잡지(대)IT관련 뉴스(중)"/>
    <s v="메인"/>
    <s v="1200X1200"/>
    <x v="2"/>
    <s v="25.02.17"/>
    <s v="25.02.23"/>
    <s v="GDN"/>
    <n v="364"/>
  </r>
  <r>
    <s v="PC"/>
    <x v="3"/>
    <x v="4"/>
    <s v="가정용 전기전자"/>
    <s v="가사용 전기전자"/>
    <s v="청소기"/>
    <s v="로보락"/>
    <x v="14"/>
    <s v="신문/잡지(대)IT관련 뉴스(중)"/>
    <s v="메인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16"/>
    <s v="신문/잡지(대)온라인뉴스(중)"/>
    <s v="경제"/>
    <s v="1200X1200"/>
    <x v="2"/>
    <s v="25.02.11"/>
    <s v="25.02.11"/>
    <s v="GDN"/>
    <n v="22"/>
  </r>
  <r>
    <s v="PC"/>
    <x v="3"/>
    <x v="4"/>
    <s v="가정용 전기전자"/>
    <s v="가사용 전기전자"/>
    <s v="청소기"/>
    <s v="로보락"/>
    <x v="16"/>
    <s v="신문/잡지(대)온라인뉴스(중)"/>
    <s v="경제"/>
    <s v="1200X1200"/>
    <x v="2"/>
    <s v="25.02.17"/>
    <s v="25.02.17"/>
    <s v="GDN"/>
    <n v="22"/>
  </r>
  <r>
    <s v="PC"/>
    <x v="3"/>
    <x v="4"/>
    <s v="가정용 전기전자"/>
    <s v="가사용 전기전자"/>
    <s v="청소기"/>
    <s v="로보락"/>
    <x v="16"/>
    <s v="신문/잡지(대)온라인뉴스(중)"/>
    <s v="사회"/>
    <s v="600X314"/>
    <x v="1"/>
    <s v="25.05.08"/>
    <s v="25.05.08"/>
    <s v="GDN"/>
    <n v="26"/>
  </r>
  <r>
    <s v="PC"/>
    <x v="3"/>
    <x v="4"/>
    <s v="가정용 전기전자"/>
    <s v="가사용 전기전자"/>
    <s v="청소기"/>
    <s v="로보락"/>
    <x v="47"/>
    <s v="신문/잡지(대)온라인뉴스(중)"/>
    <s v="뉴스"/>
    <s v="300X300"/>
    <x v="3"/>
    <s v="25.01.06"/>
    <s v="25.01.06"/>
    <s v="카카오광고"/>
    <n v="140"/>
  </r>
  <r>
    <s v="PC"/>
    <x v="3"/>
    <x v="4"/>
    <s v="가정용 전기전자"/>
    <s v="가사용 전기전자"/>
    <s v="청소기"/>
    <s v="로보락"/>
    <x v="47"/>
    <s v="신문/잡지(대)온라인뉴스(중)"/>
    <s v="뉴스"/>
    <s v="300X300"/>
    <x v="3"/>
    <s v="25.01.15"/>
    <s v="25.01.15"/>
    <s v="카카오광고"/>
    <n v="140"/>
  </r>
  <r>
    <s v="PC"/>
    <x v="3"/>
    <x v="4"/>
    <s v="가정용 전기전자"/>
    <s v="가사용 전기전자"/>
    <s v="청소기"/>
    <s v="로보락"/>
    <x v="47"/>
    <s v="신문/잡지(대)온라인뉴스(중)"/>
    <s v="뉴스"/>
    <s v="300X300"/>
    <x v="4"/>
    <s v="25.03.25"/>
    <s v="25.03.25"/>
    <s v="카카오광고"/>
    <n v="176"/>
  </r>
  <r>
    <s v="PC"/>
    <x v="3"/>
    <x v="4"/>
    <s v="가정용 전기전자"/>
    <s v="가사용 전기전자"/>
    <s v="청소기"/>
    <s v="로보락"/>
    <x v="47"/>
    <s v="신문/잡지(대)온라인뉴스(중)"/>
    <s v="뉴스"/>
    <s v="300X300"/>
    <x v="0"/>
    <s v="25.04.23"/>
    <s v="25.04.23"/>
    <s v="카카오광고"/>
    <n v="176"/>
  </r>
  <r>
    <s v="PC"/>
    <x v="3"/>
    <x v="4"/>
    <s v="가정용 전기전자"/>
    <s v="가사용 전기전자"/>
    <s v="청소기"/>
    <s v="로보락"/>
    <x v="17"/>
    <s v="방송(대)방송기타(중)"/>
    <s v="국제"/>
    <s v="600X314"/>
    <x v="1"/>
    <s v="25.05.23"/>
    <s v="25.05.23"/>
    <s v="GDN"/>
    <n v="62"/>
  </r>
  <r>
    <s v="PC"/>
    <x v="3"/>
    <x v="4"/>
    <s v="가정용 전기전자"/>
    <s v="가사용 전기전자"/>
    <s v="청소기"/>
    <s v="로보락"/>
    <x v="17"/>
    <s v="방송(대)방송기타(중)"/>
    <s v="메인"/>
    <s v="1200X1200"/>
    <x v="2"/>
    <s v="25.02.13"/>
    <s v="25.02.15"/>
    <s v="GDN"/>
    <n v="156"/>
  </r>
  <r>
    <s v="PC"/>
    <x v="3"/>
    <x v="4"/>
    <s v="가정용 전기전자"/>
    <s v="가사용 전기전자"/>
    <s v="청소기"/>
    <s v="로보락"/>
    <x v="48"/>
    <s v="엔터테인먼트(대)엔터테인먼트 기타(중)"/>
    <s v="셀럽영상"/>
    <s v="1200X1200"/>
    <x v="2"/>
    <s v="25.02.02"/>
    <s v="25.02.02"/>
    <s v="GDN"/>
    <n v="52"/>
  </r>
  <r>
    <s v="PC"/>
    <x v="3"/>
    <x v="4"/>
    <s v="가정용 전기전자"/>
    <s v="가사용 전기전자"/>
    <s v="청소기"/>
    <s v="로보락"/>
    <x v="49"/>
    <s v="신문/잡지(대)온라인뉴스(중)"/>
    <s v="패션"/>
    <s v="1200X1200"/>
    <x v="2"/>
    <s v="25.02.14"/>
    <s v="25.02.14"/>
    <s v="GDN"/>
    <n v="52"/>
  </r>
  <r>
    <s v="PC"/>
    <x v="3"/>
    <x v="4"/>
    <s v="가정용 전기전자"/>
    <s v="가사용 전기전자"/>
    <s v="청소기"/>
    <s v="로보락"/>
    <x v="49"/>
    <s v="신문/잡지(대)온라인뉴스(중)"/>
    <s v="패션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50"/>
    <s v="신문/잡지(대)경제신문(중)"/>
    <s v="뉴스"/>
    <s v="300X300"/>
    <x v="2"/>
    <s v="25.02.09"/>
    <s v="25.02.09"/>
    <s v="카카오광고"/>
    <n v="68"/>
  </r>
  <r>
    <s v="PC"/>
    <x v="3"/>
    <x v="4"/>
    <s v="가정용 전기전자"/>
    <s v="가사용 전기전자"/>
    <s v="청소기"/>
    <s v="로보락"/>
    <x v="50"/>
    <s v="신문/잡지(대)경제신문(중)"/>
    <s v="뉴스"/>
    <s v="300X300"/>
    <x v="2"/>
    <s v="25.02.27"/>
    <s v="25.02.27"/>
    <s v="카카오광고"/>
    <n v="68"/>
  </r>
  <r>
    <s v="PC"/>
    <x v="3"/>
    <x v="4"/>
    <s v="가정용 전기전자"/>
    <s v="가사용 전기전자"/>
    <s v="청소기"/>
    <s v="로보락"/>
    <x v="50"/>
    <s v="신문/잡지(대)경제신문(중)"/>
    <s v="라이프"/>
    <s v="500X500"/>
    <x v="3"/>
    <s v="25.01.07"/>
    <s v="25.01.07"/>
    <s v="카카오광고"/>
    <n v="60"/>
  </r>
  <r>
    <s v="PC"/>
    <x v="3"/>
    <x v="4"/>
    <s v="가정용 전기전자"/>
    <s v="가사용 전기전자"/>
    <s v="청소기"/>
    <s v="로보락"/>
    <x v="50"/>
    <s v="신문/잡지(대)경제신문(중)"/>
    <s v="사회"/>
    <s v="500X500"/>
    <x v="3"/>
    <s v="25.01.16"/>
    <s v="25.01.16"/>
    <s v="카카오광고"/>
    <n v="60"/>
  </r>
  <r>
    <s v="PC"/>
    <x v="3"/>
    <x v="4"/>
    <s v="가정용 전기전자"/>
    <s v="가사용 전기전자"/>
    <s v="청소기"/>
    <s v="로보락"/>
    <x v="51"/>
    <s v="신문/잡지(대)온라인뉴스(중)"/>
    <s v="핫벤"/>
    <s v="300X300"/>
    <x v="3"/>
    <s v="25.01.08"/>
    <s v="25.01.11"/>
    <s v="카카오광고"/>
    <n v="560"/>
  </r>
  <r>
    <s v="PC"/>
    <x v="3"/>
    <x v="4"/>
    <s v="가정용 전기전자"/>
    <s v="가사용 전기전자"/>
    <s v="청소기"/>
    <s v="로보락"/>
    <x v="51"/>
    <s v="신문/잡지(대)온라인뉴스(중)"/>
    <s v="핫벤"/>
    <s v="1200X6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51"/>
    <s v="신문/잡지(대)온라인뉴스(중)"/>
    <s v="핫벤"/>
    <s v="1200X600"/>
    <x v="3"/>
    <s v="25.01.22"/>
    <s v="25.01.23"/>
    <s v="카카오광고"/>
    <n v="280"/>
  </r>
  <r>
    <s v="PC"/>
    <x v="3"/>
    <x v="4"/>
    <s v="가정용 전기전자"/>
    <s v="가사용 전기전자"/>
    <s v="청소기"/>
    <s v="로보락"/>
    <x v="51"/>
    <s v="신문/잡지(대)온라인뉴스(중)"/>
    <s v="핫벤"/>
    <s v="1200X600"/>
    <x v="4"/>
    <s v="25.03.16"/>
    <s v="25.03.16"/>
    <s v="카카오광고"/>
    <n v="176"/>
  </r>
  <r>
    <s v="PC"/>
    <x v="3"/>
    <x v="4"/>
    <s v="가정용 전기전자"/>
    <s v="가사용 전기전자"/>
    <s v="청소기"/>
    <s v="로보락"/>
    <x v="51"/>
    <s v="신문/잡지(대)온라인뉴스(중)"/>
    <s v="핫벤"/>
    <s v="300X300"/>
    <x v="1"/>
    <s v="25.05.09"/>
    <s v="25.05.09"/>
    <s v="카카오광고"/>
    <n v="216"/>
  </r>
  <r>
    <s v="PC"/>
    <x v="3"/>
    <x v="4"/>
    <s v="가정용 전기전자"/>
    <s v="가사용 전기전자"/>
    <s v="청소기"/>
    <s v="로보락"/>
    <x v="52"/>
    <s v="신문/잡지(대)온라인뉴스(중)"/>
    <s v="뉴스"/>
    <s v="1200X1200"/>
    <x v="2"/>
    <s v="25.02.16"/>
    <s v="25.02.16"/>
    <s v="GDN"/>
    <n v="52"/>
  </r>
  <r>
    <s v="PC"/>
    <x v="3"/>
    <x v="4"/>
    <s v="가정용 전기전자"/>
    <s v="가사용 전기전자"/>
    <s v="청소기"/>
    <s v="로보락"/>
    <x v="20"/>
    <s v="생활정보(대)쇼핑/가격정보(중)"/>
    <s v="라이프"/>
    <s v="1200X1200"/>
    <x v="2"/>
    <s v="25.02.11"/>
    <s v="25.02.16"/>
    <s v="GDN"/>
    <n v="312"/>
  </r>
  <r>
    <s v="PC"/>
    <x v="3"/>
    <x v="4"/>
    <s v="가정용 전기전자"/>
    <s v="가사용 전기전자"/>
    <s v="청소기"/>
    <s v="로보락"/>
    <x v="20"/>
    <s v="생활정보(대)쇼핑/가격정보(중)"/>
    <s v="라이프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20"/>
    <s v="생활정보(대)쇼핑/가격정보(중)"/>
    <s v="메인"/>
    <s v="1200X1200"/>
    <x v="2"/>
    <s v="25.02.09"/>
    <s v="25.02.09"/>
    <s v="GDN"/>
    <n v="52"/>
  </r>
  <r>
    <s v="PC"/>
    <x v="3"/>
    <x v="4"/>
    <s v="가정용 전기전자"/>
    <s v="가사용 전기전자"/>
    <s v="청소기"/>
    <s v="로보락"/>
    <x v="21"/>
    <s v="커뮤니티(대)홈페이지(중)"/>
    <s v="커뮤니케이션 기타"/>
    <s v="480X320"/>
    <x v="4"/>
    <s v="25.03.12"/>
    <s v="25.03.13"/>
    <s v="-"/>
    <n v="123"/>
  </r>
  <r>
    <s v="PC"/>
    <x v="3"/>
    <x v="4"/>
    <s v="가정용 전기전자"/>
    <s v="가사용 전기전자"/>
    <s v="청소기"/>
    <s v="로보락"/>
    <x v="21"/>
    <s v="커뮤니티(대)홈페이지(중)"/>
    <s v="커뮤니케이션 기타"/>
    <s v="480X320"/>
    <x v="4"/>
    <s v="25.03.18"/>
    <s v="25.03.18"/>
    <s v="-"/>
    <n v="62"/>
  </r>
  <r>
    <s v="PC"/>
    <x v="3"/>
    <x v="4"/>
    <s v="가정용 전기전자"/>
    <s v="가사용 전기전자"/>
    <s v="청소기"/>
    <s v="로보락"/>
    <x v="21"/>
    <s v="커뮤니티(대)홈페이지(중)"/>
    <s v="커뮤니케이션 기타"/>
    <s v="480X320"/>
    <x v="1"/>
    <s v="25.05.13"/>
    <s v="25.05.15"/>
    <s v="-"/>
    <n v="185"/>
  </r>
  <r>
    <s v="PC"/>
    <x v="3"/>
    <x v="4"/>
    <s v="가정용 전기전자"/>
    <s v="가사용 전기전자"/>
    <s v="청소기"/>
    <s v="로보락"/>
    <x v="25"/>
    <s v="생활정보(대)쇼핑/가격정보(중)"/>
    <s v="메인"/>
    <s v="976X400"/>
    <x v="3"/>
    <s v="25.01.01"/>
    <s v="25.01.01"/>
    <s v="-"/>
    <n v="837"/>
  </r>
  <r>
    <s v="PC"/>
    <x v="3"/>
    <x v="4"/>
    <s v="가정용 전기전자"/>
    <s v="가사용 전기전자"/>
    <s v="청소기"/>
    <s v="로보락"/>
    <x v="25"/>
    <s v="생활정보(대)쇼핑/가격정보(중)"/>
    <s v="메인"/>
    <s v="976X400"/>
    <x v="3"/>
    <s v="25.01.02"/>
    <s v="25.01.05"/>
    <s v="-"/>
    <n v="3349"/>
  </r>
  <r>
    <s v="PC"/>
    <x v="3"/>
    <x v="4"/>
    <s v="가정용 전기전자"/>
    <s v="가사용 전기전자"/>
    <s v="청소기"/>
    <s v="로보락"/>
    <x v="25"/>
    <s v="생활정보(대)쇼핑/가격정보(중)"/>
    <s v="메인"/>
    <s v="976X400"/>
    <x v="3"/>
    <s v="25.01.06"/>
    <s v="25.01.06"/>
    <s v="-"/>
    <n v="837"/>
  </r>
  <r>
    <s v="PC"/>
    <x v="3"/>
    <x v="4"/>
    <s v="가정용 전기전자"/>
    <s v="가사용 전기전자"/>
    <s v="청소기"/>
    <s v="로보락"/>
    <x v="25"/>
    <s v="생활정보(대)쇼핑/가격정보(중)"/>
    <s v="메인"/>
    <s v="976X400"/>
    <x v="2"/>
    <s v="25.02.03"/>
    <s v="25.02.09"/>
    <s v="-"/>
    <n v="5860"/>
  </r>
  <r>
    <s v="PC"/>
    <x v="3"/>
    <x v="4"/>
    <s v="가정용 전기전자"/>
    <s v="가사용 전기전자"/>
    <s v="청소기"/>
    <s v="로보락"/>
    <x v="22"/>
    <s v="커뮤니티(대)게시판(중)"/>
    <s v="노트북/PC"/>
    <s v="1200X600"/>
    <x v="3"/>
    <s v="25.01.13"/>
    <s v="25.01.18"/>
    <s v="카카오광고"/>
    <n v="840"/>
  </r>
  <r>
    <s v="PC"/>
    <x v="3"/>
    <x v="4"/>
    <s v="가정용 전기전자"/>
    <s v="가사용 전기전자"/>
    <s v="청소기"/>
    <s v="로보락"/>
    <x v="22"/>
    <s v="커뮤니티(대)게시판(중)"/>
    <s v="노트북/PC"/>
    <s v="300X300"/>
    <x v="1"/>
    <s v="25.05.03"/>
    <s v="25.05.03"/>
    <s v="카카오광고"/>
    <n v="216"/>
  </r>
  <r>
    <s v="PC"/>
    <x v="3"/>
    <x v="4"/>
    <s v="가정용 전기전자"/>
    <s v="가사용 전기전자"/>
    <s v="청소기"/>
    <s v="로보락"/>
    <x v="22"/>
    <s v="커뮤니티(대)게시판(중)"/>
    <s v="노트북/PC"/>
    <s v="300X300"/>
    <x v="1"/>
    <s v="25.05.08"/>
    <s v="25.05.11"/>
    <s v="카카오광고"/>
    <n v="864"/>
  </r>
  <r>
    <s v="PC"/>
    <x v="3"/>
    <x v="4"/>
    <s v="가정용 전기전자"/>
    <s v="가사용 전기전자"/>
    <s v="청소기"/>
    <s v="로보락"/>
    <x v="22"/>
    <s v="커뮤니티(대)게시판(중)"/>
    <s v="노트북/PC"/>
    <s v="300X300"/>
    <x v="1"/>
    <s v="25.05.13"/>
    <s v="25.05.13"/>
    <s v="카카오광고"/>
    <n v="216"/>
  </r>
  <r>
    <s v="PC"/>
    <x v="3"/>
    <x v="4"/>
    <s v="가정용 전기전자"/>
    <s v="가사용 전기전자"/>
    <s v="청소기"/>
    <s v="로보락"/>
    <x v="22"/>
    <s v="커뮤니티(대)게시판(중)"/>
    <s v="뉴스"/>
    <s v="500X500"/>
    <x v="0"/>
    <s v="25.04.07"/>
    <s v="25.04.12"/>
    <s v="카카오광고"/>
    <n v="1056"/>
  </r>
  <r>
    <s v="PC"/>
    <x v="3"/>
    <x v="4"/>
    <s v="가정용 전기전자"/>
    <s v="가사용 전기전자"/>
    <s v="청소기"/>
    <s v="로보락"/>
    <x v="22"/>
    <s v="커뮤니티(대)게시판(중)"/>
    <s v="메인"/>
    <s v="300X300"/>
    <x v="4"/>
    <s v="25.03.29"/>
    <s v="25.03.29"/>
    <s v="카카오광고"/>
    <n v="176"/>
  </r>
  <r>
    <s v="PC"/>
    <x v="3"/>
    <x v="4"/>
    <s v="가정용 전기전자"/>
    <s v="가사용 전기전자"/>
    <s v="청소기"/>
    <s v="로보락"/>
    <x v="22"/>
    <s v="커뮤니티(대)게시판(중)"/>
    <s v="메인"/>
    <s v="300X300"/>
    <x v="0"/>
    <s v="25.04.22"/>
    <s v="25.04.25"/>
    <s v="카카오광고"/>
    <n v="704"/>
  </r>
  <r>
    <s v="PC"/>
    <x v="3"/>
    <x v="4"/>
    <s v="가정용 전기전자"/>
    <s v="가사용 전기전자"/>
    <s v="청소기"/>
    <s v="로보락"/>
    <x v="22"/>
    <s v="커뮤니티(대)게시판(중)"/>
    <s v="취미갤러리"/>
    <s v="1200X6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22"/>
    <s v="커뮤니티(대)게시판(중)"/>
    <s v="취미갤러리"/>
    <s v="0X0"/>
    <x v="4"/>
    <s v="25.03.09"/>
    <s v="25.03.09"/>
    <s v="카카오광고"/>
    <n v="176"/>
  </r>
  <r>
    <s v="PC"/>
    <x v="3"/>
    <x v="4"/>
    <s v="가정용 전기전자"/>
    <s v="가사용 전기전자"/>
    <s v="청소기"/>
    <s v="로보락"/>
    <x v="22"/>
    <s v="커뮤니티(대)게시판(중)"/>
    <s v="취미갤러리"/>
    <s v="0X0"/>
    <x v="4"/>
    <s v="25.03.18"/>
    <s v="25.03.18"/>
    <s v="카카오광고"/>
    <n v="176"/>
  </r>
  <r>
    <s v="PC"/>
    <x v="3"/>
    <x v="4"/>
    <s v="가정용 전기전자"/>
    <s v="가사용 전기전자"/>
    <s v="청소기"/>
    <s v="로보락"/>
    <x v="22"/>
    <s v="커뮤니티(대)게시판(중)"/>
    <s v="취미갤러리"/>
    <s v="300X300"/>
    <x v="0"/>
    <s v="25.04.14"/>
    <s v="25.04.15"/>
    <s v="카카오광고"/>
    <n v="352"/>
  </r>
  <r>
    <s v="PC"/>
    <x v="3"/>
    <x v="4"/>
    <s v="가정용 전기전자"/>
    <s v="가사용 전기전자"/>
    <s v="청소기"/>
    <s v="로보락"/>
    <x v="22"/>
    <s v="커뮤니티(대)게시판(중)"/>
    <s v="트위치"/>
    <s v="500X500"/>
    <x v="3"/>
    <s v="25.01.21"/>
    <s v="25.01.23"/>
    <s v="카카오광고"/>
    <n v="420"/>
  </r>
  <r>
    <s v="PC"/>
    <x v="3"/>
    <x v="4"/>
    <s v="가정용 전기전자"/>
    <s v="가사용 전기전자"/>
    <s v="청소기"/>
    <s v="로보락"/>
    <x v="22"/>
    <s v="커뮤니티(대)게시판(중)"/>
    <s v="PS4"/>
    <s v="1200X1200"/>
    <x v="2"/>
    <s v="25.02.19"/>
    <s v="25.02.19"/>
    <s v="GDN"/>
    <n v="52"/>
  </r>
  <r>
    <s v="PC"/>
    <x v="3"/>
    <x v="4"/>
    <s v="가정용 전기전자"/>
    <s v="가사용 전기전자"/>
    <s v="청소기"/>
    <s v="로보락"/>
    <x v="53"/>
    <s v="신문/잡지(대)IT관련 뉴스(중)"/>
    <s v="메인"/>
    <s v="1200X628"/>
    <x v="2"/>
    <s v="25.02.26"/>
    <s v="25.02.27"/>
    <s v="GDN"/>
    <n v="104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2"/>
    <s v="25.02.13"/>
    <s v="25.02.16"/>
    <s v="카카오광고"/>
    <n v="630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2"/>
    <s v="25.02.17"/>
    <s v="25.02.17"/>
    <s v="카카오광고"/>
    <n v="158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2"/>
    <s v="25.02.25"/>
    <s v="25.02.25"/>
    <s v="카카오광고"/>
    <n v="158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0X0"/>
    <x v="4"/>
    <s v="25.03.07"/>
    <s v="25.03.07"/>
    <s v="카카오광고"/>
    <n v="176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4"/>
    <s v="25.03.19"/>
    <s v="25.03.21"/>
    <s v="카카오광고"/>
    <n v="528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4"/>
    <s v="25.03.24"/>
    <s v="25.03.30"/>
    <s v="카카오광고"/>
    <n v="1232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500X500"/>
    <x v="0"/>
    <s v="25.04.08"/>
    <s v="25.04.12"/>
    <s v="카카오광고"/>
    <n v="880"/>
  </r>
  <r>
    <s v="PC"/>
    <x v="3"/>
    <x v="4"/>
    <s v="가정용 전기전자"/>
    <s v="가사용 전기전자"/>
    <s v="청소기"/>
    <s v="로보락"/>
    <x v="54"/>
    <s v="신문/잡지(대)스포츠신문(중)"/>
    <s v="비즈포커스"/>
    <s v="1200X600"/>
    <x v="1"/>
    <s v="25.05.06"/>
    <s v="25.05.11"/>
    <s v="카카오광고"/>
    <n v="1296"/>
  </r>
  <r>
    <s v="PC"/>
    <x v="3"/>
    <x v="4"/>
    <s v="가정용 전기전자"/>
    <s v="가사용 전기전자"/>
    <s v="청소기"/>
    <s v="로보락"/>
    <x v="54"/>
    <s v="신문/잡지(대)스포츠신문(중)"/>
    <s v="사회"/>
    <s v="1200X600"/>
    <x v="2"/>
    <s v="25.02.08"/>
    <s v="25.02.09"/>
    <s v="카카오광고"/>
    <n v="315"/>
  </r>
  <r>
    <s v="PC"/>
    <x v="3"/>
    <x v="4"/>
    <s v="가정용 전기전자"/>
    <s v="가사용 전기전자"/>
    <s v="청소기"/>
    <s v="로보락"/>
    <x v="54"/>
    <s v="신문/잡지(대)스포츠신문(중)"/>
    <s v="스포츠"/>
    <s v="300X300"/>
    <x v="3"/>
    <s v="25.01.02"/>
    <s v="25.01.02"/>
    <s v="카카오광고"/>
    <n v="140"/>
  </r>
  <r>
    <s v="PC"/>
    <x v="3"/>
    <x v="4"/>
    <s v="가정용 전기전자"/>
    <s v="가사용 전기전자"/>
    <s v="청소기"/>
    <s v="로보락"/>
    <x v="54"/>
    <s v="신문/잡지(대)스포츠신문(중)"/>
    <s v="정치"/>
    <s v="1200X600"/>
    <x v="4"/>
    <s v="25.03.11"/>
    <s v="25.03.16"/>
    <s v="카카오광고"/>
    <n v="1056"/>
  </r>
  <r>
    <s v="PC"/>
    <x v="3"/>
    <x v="4"/>
    <s v="가정용 전기전자"/>
    <s v="가사용 전기전자"/>
    <s v="청소기"/>
    <s v="로보락"/>
    <x v="54"/>
    <s v="신문/잡지(대)스포츠신문(중)"/>
    <s v="팬앤스타"/>
    <s v="300X300"/>
    <x v="0"/>
    <s v="25.04.05"/>
    <s v="25.04.05"/>
    <s v="카카오광고"/>
    <n v="176"/>
  </r>
  <r>
    <s v="PC"/>
    <x v="3"/>
    <x v="4"/>
    <s v="가정용 전기전자"/>
    <s v="가사용 전기전자"/>
    <s v="청소기"/>
    <s v="로보락"/>
    <x v="55"/>
    <s v="엔터테인먼트(대)게임(중)"/>
    <s v="스마트 게임센터"/>
    <s v="1200X1200"/>
    <x v="2"/>
    <s v="25.02.09"/>
    <s v="25.02.09"/>
    <s v="GDN"/>
    <n v="52"/>
  </r>
  <r>
    <s v="PC"/>
    <x v="3"/>
    <x v="4"/>
    <s v="가정용 전기전자"/>
    <s v="가사용 전기전자"/>
    <s v="청소기"/>
    <s v="로보락"/>
    <x v="55"/>
    <s v="엔터테인먼트(대)게임(중)"/>
    <s v="스마트 게임센터"/>
    <s v="1200X1200"/>
    <x v="2"/>
    <s v="25.02.17"/>
    <s v="25.02.17"/>
    <s v="GDN"/>
    <n v="52"/>
  </r>
  <r>
    <s v="PC"/>
    <x v="3"/>
    <x v="4"/>
    <s v="가정용 전기전자"/>
    <s v="가사용 전기전자"/>
    <s v="청소기"/>
    <s v="로보락"/>
    <x v="23"/>
    <s v="포털(대)포털(중)"/>
    <s v="동영상플레이어"/>
    <s v="1200X1200"/>
    <x v="3"/>
    <s v="25.01.27"/>
    <s v="25.01.27"/>
    <s v="GDN"/>
    <n v="52"/>
  </r>
  <r>
    <s v="PC"/>
    <x v="3"/>
    <x v="4"/>
    <s v="가정용 전기전자"/>
    <s v="가사용 전기전자"/>
    <s v="청소기"/>
    <s v="로보락"/>
    <x v="23"/>
    <s v="포털(대)포털(중)"/>
    <s v="동영상플레이어"/>
    <s v="1200X1200"/>
    <x v="2"/>
    <s v="25.02.09"/>
    <s v="25.02.09"/>
    <s v="GDN"/>
    <n v="52"/>
  </r>
  <r>
    <s v="PC"/>
    <x v="3"/>
    <x v="4"/>
    <s v="가정용 전기전자"/>
    <s v="가사용 전기전자"/>
    <s v="청소기"/>
    <s v="로보락"/>
    <x v="23"/>
    <s v="포털(대)포털(중)"/>
    <s v="동영상플레이어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23"/>
    <s v="포털(대)포털(중)"/>
    <s v="동영상플레이어"/>
    <s v="300X300"/>
    <x v="0"/>
    <s v="25.04.23"/>
    <s v="25.04.26"/>
    <s v="카카오광고"/>
    <n v="704"/>
  </r>
  <r>
    <s v="PC"/>
    <x v="3"/>
    <x v="4"/>
    <s v="가정용 전기전자"/>
    <s v="가사용 전기전자"/>
    <s v="청소기"/>
    <s v="로보락"/>
    <x v="23"/>
    <s v="포털(대)포털(중)"/>
    <s v="동영상플레이어"/>
    <s v="1200X1200"/>
    <x v="1"/>
    <s v="25.05.01"/>
    <s v="25.05.01"/>
    <s v="GDN"/>
    <n v="62"/>
  </r>
  <r>
    <s v="PC"/>
    <x v="3"/>
    <x v="4"/>
    <s v="가정용 전기전자"/>
    <s v="가사용 전기전자"/>
    <s v="청소기"/>
    <s v="로보락"/>
    <x v="23"/>
    <s v="포털(대)포털(중)"/>
    <s v="동영상플레이어"/>
    <s v="300X300"/>
    <x v="1"/>
    <s v="25.05.03"/>
    <s v="25.05.03"/>
    <s v="카카오광고"/>
    <n v="216"/>
  </r>
  <r>
    <s v="PC"/>
    <x v="3"/>
    <x v="4"/>
    <s v="가정용 전기전자"/>
    <s v="가사용 전기전자"/>
    <s v="청소기"/>
    <s v="로보락"/>
    <x v="23"/>
    <s v="포털(대)포털(중)"/>
    <s v="동영상플레이어"/>
    <s v="1200X600"/>
    <x v="1"/>
    <s v="25.05.07"/>
    <s v="25.05.11"/>
    <s v="카카오광고"/>
    <n v="1080"/>
  </r>
  <r>
    <s v="PC"/>
    <x v="3"/>
    <x v="4"/>
    <s v="가정용 전기전자"/>
    <s v="가사용 전기전자"/>
    <s v="청소기"/>
    <s v="로보락"/>
    <x v="23"/>
    <s v="포털(대)포털(중)"/>
    <s v="동영상플레이어"/>
    <s v="1200X600"/>
    <x v="1"/>
    <s v="25.05.12"/>
    <s v="25.05.17"/>
    <s v="카카오광고"/>
    <n v="1296"/>
  </r>
  <r>
    <s v="PC"/>
    <x v="3"/>
    <x v="4"/>
    <s v="가정용 전기전자"/>
    <s v="가사용 전기전자"/>
    <s v="청소기"/>
    <s v="로보락"/>
    <x v="23"/>
    <s v="포털(대)포털(중)"/>
    <s v="메인"/>
    <s v="600X314"/>
    <x v="1"/>
    <s v="25.05.07"/>
    <s v="25.05.07"/>
    <s v="GDN"/>
    <n v="62"/>
  </r>
  <r>
    <s v="PC"/>
    <x v="3"/>
    <x v="4"/>
    <s v="가정용 전기전자"/>
    <s v="가사용 전기전자"/>
    <s v="청소기"/>
    <s v="로보락"/>
    <x v="56"/>
    <s v="엔터테인먼트(대)게임(중)"/>
    <s v="기획"/>
    <s v="1200X1200"/>
    <x v="2"/>
    <s v="25.02.20"/>
    <s v="25.02.20"/>
    <s v="GDN"/>
    <n v="52"/>
  </r>
  <r>
    <s v="PC"/>
    <x v="3"/>
    <x v="4"/>
    <s v="가정용 전기전자"/>
    <s v="가사용 전기전자"/>
    <s v="청소기"/>
    <s v="로보락"/>
    <x v="57"/>
    <s v="신문/잡지(대)온라인뉴스(중)"/>
    <s v="기업"/>
    <s v="1200X1200"/>
    <x v="2"/>
    <s v="25.02.17"/>
    <s v="25.02.17"/>
    <s v="GDN"/>
    <n v="52"/>
  </r>
  <r>
    <s v="PC"/>
    <x v="3"/>
    <x v="4"/>
    <s v="가정용 전기전자"/>
    <s v="가사용 전기전자"/>
    <s v="청소기"/>
    <s v="로보락"/>
    <x v="57"/>
    <s v="신문/잡지(대)온라인뉴스(중)"/>
    <s v="정치"/>
    <s v="1200X600"/>
    <x v="3"/>
    <s v="25.01.23"/>
    <s v="25.01.23"/>
    <s v="카카오광고"/>
    <n v="140"/>
  </r>
  <r>
    <s v="PC"/>
    <x v="3"/>
    <x v="4"/>
    <s v="가정용 전기전자"/>
    <s v="가사용 전기전자"/>
    <s v="청소기"/>
    <s v="로보락"/>
    <x v="57"/>
    <s v="신문/잡지(대)온라인뉴스(중)"/>
    <s v="증권/금융"/>
    <s v="1200X600"/>
    <x v="3"/>
    <s v="25.01.14"/>
    <s v="25.01.14"/>
    <s v="카카오광고"/>
    <n v="140"/>
  </r>
  <r>
    <s v="PC"/>
    <x v="3"/>
    <x v="4"/>
    <s v="가정용 전기전자"/>
    <s v="가사용 전기전자"/>
    <s v="청소기"/>
    <s v="로보락"/>
    <x v="58"/>
    <s v="방송(대)방송기타(중)"/>
    <s v="날씨"/>
    <s v="300X300"/>
    <x v="4"/>
    <s v="25.03.25"/>
    <s v="25.03.25"/>
    <s v="카카오광고"/>
    <n v="176"/>
  </r>
  <r>
    <s v="PC"/>
    <x v="3"/>
    <x v="4"/>
    <s v="가정용 전기전자"/>
    <s v="가사용 전기전자"/>
    <s v="청소기"/>
    <s v="로보락"/>
    <x v="58"/>
    <s v="방송(대)방송기타(중)"/>
    <s v="뉴스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58"/>
    <s v="방송(대)방송기타(중)"/>
    <s v="동영상플레이어"/>
    <s v="1200X1200"/>
    <x v="2"/>
    <s v="25.02.12"/>
    <s v="25.02.12"/>
    <s v="GDN"/>
    <n v="52"/>
  </r>
  <r>
    <s v="PC"/>
    <x v="3"/>
    <x v="4"/>
    <s v="가정용 전기전자"/>
    <s v="가사용 전기전자"/>
    <s v="청소기"/>
    <s v="로보락"/>
    <x v="58"/>
    <s v="방송(대)방송기타(중)"/>
    <s v="동영상플레이어"/>
    <s v="300X300"/>
    <x v="1"/>
    <s v="25.05.11"/>
    <s v="25.05.11"/>
    <s v="카카오광고"/>
    <n v="216"/>
  </r>
  <r>
    <s v="PC"/>
    <x v="3"/>
    <x v="4"/>
    <s v="가정용 전기전자"/>
    <s v="가사용 전기전자"/>
    <s v="청소기"/>
    <s v="로보락"/>
    <x v="58"/>
    <s v="방송(대)방송기타(중)"/>
    <s v="동영상플레이어"/>
    <s v="300X300"/>
    <x v="1"/>
    <s v="25.05.12"/>
    <s v="25.05.12"/>
    <s v="카카오광고"/>
    <n v="216"/>
  </r>
  <r>
    <s v="PC"/>
    <x v="3"/>
    <x v="4"/>
    <s v="가정용 전기전자"/>
    <s v="가사용 전기전자"/>
    <s v="청소기"/>
    <s v="로보락"/>
    <x v="58"/>
    <s v="방송(대)방송기타(중)"/>
    <s v="동영상플레이어"/>
    <s v="300X300"/>
    <x v="1"/>
    <s v="25.05.20"/>
    <s v="25.05.20"/>
    <s v="카카오광고"/>
    <n v="216"/>
  </r>
  <r>
    <s v="PC"/>
    <x v="3"/>
    <x v="4"/>
    <s v="가정용 전기전자"/>
    <s v="가사용 전기전자"/>
    <s v="청소기"/>
    <s v="로보락"/>
    <x v="58"/>
    <s v="방송(대)방송기타(중)"/>
    <s v="메인"/>
    <s v="0X0"/>
    <x v="4"/>
    <s v="25.03.13"/>
    <s v="25.03.13"/>
    <s v="카카오광고"/>
    <n v="176"/>
  </r>
  <r>
    <s v="PC"/>
    <x v="3"/>
    <x v="4"/>
    <s v="가정용 전기전자"/>
    <s v="가사용 전기전자"/>
    <s v="청소기"/>
    <s v="로보락"/>
    <x v="58"/>
    <s v="방송(대)방송기타(중)"/>
    <s v="메인"/>
    <s v="0X0"/>
    <x v="4"/>
    <s v="25.03.17"/>
    <s v="25.03.19"/>
    <s v="카카오광고"/>
    <n v="528"/>
  </r>
  <r>
    <s v="PC"/>
    <x v="3"/>
    <x v="4"/>
    <s v="가정용 전기전자"/>
    <s v="가사용 전기전자"/>
    <s v="청소기"/>
    <s v="로보락"/>
    <x v="59"/>
    <s v="방송(대)방송기타(중)"/>
    <s v="뉴스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24"/>
    <s v="신문/잡지(대)스포츠신문(중)"/>
    <s v="게임"/>
    <s v="300X300"/>
    <x v="0"/>
    <s v="25.04.11"/>
    <s v="25.04.11"/>
    <s v="카카오광고"/>
    <n v="176"/>
  </r>
  <r>
    <s v="PC"/>
    <x v="3"/>
    <x v="4"/>
    <s v="가정용 전기전자"/>
    <s v="가사용 전기전자"/>
    <s v="청소기"/>
    <s v="로보락"/>
    <x v="24"/>
    <s v="신문/잡지(대)스포츠신문(중)"/>
    <s v="경제"/>
    <s v="300X300"/>
    <x v="2"/>
    <s v="25.02.24"/>
    <s v="25.02.24"/>
    <s v="카카오광고"/>
    <n v="158"/>
  </r>
  <r>
    <s v="PC"/>
    <x v="3"/>
    <x v="4"/>
    <s v="가정용 전기전자"/>
    <s v="가사용 전기전자"/>
    <s v="청소기"/>
    <s v="로보락"/>
    <x v="24"/>
    <s v="신문/잡지(대)스포츠신문(중)"/>
    <s v="무비위크"/>
    <s v="1200X6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24"/>
    <s v="신문/잡지(대)스포츠신문(중)"/>
    <s v="무비위크"/>
    <s v="1200X600"/>
    <x v="3"/>
    <s v="25.01.20"/>
    <s v="25.01.23"/>
    <s v="카카오광고"/>
    <n v="560"/>
  </r>
  <r>
    <s v="PC"/>
    <x v="3"/>
    <x v="4"/>
    <s v="가정용 전기전자"/>
    <s v="가사용 전기전자"/>
    <s v="청소기"/>
    <s v="로보락"/>
    <x v="24"/>
    <s v="신문/잡지(대)스포츠신문(중)"/>
    <s v="스포츠"/>
    <s v="300X300"/>
    <x v="3"/>
    <s v="25.01.02"/>
    <s v="25.01.04"/>
    <s v="카카오광고"/>
    <n v="420"/>
  </r>
  <r>
    <s v="PC"/>
    <x v="3"/>
    <x v="4"/>
    <s v="가정용 전기전자"/>
    <s v="가사용 전기전자"/>
    <s v="청소기"/>
    <s v="로보락"/>
    <x v="24"/>
    <s v="신문/잡지(대)스포츠신문(중)"/>
    <s v="스포츠"/>
    <s v="1200X6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24"/>
    <s v="신문/잡지(대)스포츠신문(중)"/>
    <s v="스포츠"/>
    <s v="300X300"/>
    <x v="4"/>
    <s v="25.03.01"/>
    <s v="25.03.01"/>
    <s v="카카오광고"/>
    <n v="176"/>
  </r>
  <r>
    <s v="PC"/>
    <x v="3"/>
    <x v="4"/>
    <s v="가정용 전기전자"/>
    <s v="가사용 전기전자"/>
    <s v="청소기"/>
    <s v="로보락"/>
    <x v="24"/>
    <s v="신문/잡지(대)스포츠신문(중)"/>
    <s v="스포츠"/>
    <s v="300X300"/>
    <x v="4"/>
    <s v="25.03.27"/>
    <s v="25.03.30"/>
    <s v="카카오광고"/>
    <n v="704"/>
  </r>
  <r>
    <s v="PC"/>
    <x v="3"/>
    <x v="4"/>
    <s v="가정용 전기전자"/>
    <s v="가사용 전기전자"/>
    <s v="청소기"/>
    <s v="로보락"/>
    <x v="24"/>
    <s v="신문/잡지(대)스포츠신문(중)"/>
    <s v="스포츠"/>
    <s v="300X300"/>
    <x v="4"/>
    <s v="25.03.31"/>
    <s v="25.03.31"/>
    <s v="카카오광고"/>
    <n v="176"/>
  </r>
  <r>
    <s v="PC"/>
    <x v="3"/>
    <x v="4"/>
    <s v="가정용 전기전자"/>
    <s v="가사용 전기전자"/>
    <s v="청소기"/>
    <s v="로보락"/>
    <x v="24"/>
    <s v="신문/잡지(대)스포츠신문(중)"/>
    <s v="야구"/>
    <s v="1200X1200"/>
    <x v="2"/>
    <s v="25.02.02"/>
    <s v="25.02.02"/>
    <s v="GDN"/>
    <n v="52"/>
  </r>
  <r>
    <s v="PC"/>
    <x v="3"/>
    <x v="4"/>
    <s v="가정용 전기전자"/>
    <s v="가사용 전기전자"/>
    <s v="청소기"/>
    <s v="로보락"/>
    <x v="24"/>
    <s v="신문/잡지(대)스포츠신문(중)"/>
    <s v="야구"/>
    <s v="1200X1200"/>
    <x v="2"/>
    <s v="25.02.14"/>
    <s v="25.02.14"/>
    <s v="GDN"/>
    <n v="52"/>
  </r>
  <r>
    <s v="PC"/>
    <x v="3"/>
    <x v="4"/>
    <s v="가정용 전기전자"/>
    <s v="가사용 전기전자"/>
    <s v="청소기"/>
    <s v="로보락"/>
    <x v="24"/>
    <s v="신문/잡지(대)스포츠신문(중)"/>
    <s v="야구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24"/>
    <s v="신문/잡지(대)스포츠신문(중)"/>
    <s v="야구"/>
    <s v="300X300"/>
    <x v="4"/>
    <s v="25.03.15"/>
    <s v="25.03.15"/>
    <s v="카카오광고"/>
    <n v="176"/>
  </r>
  <r>
    <s v="PC"/>
    <x v="3"/>
    <x v="4"/>
    <s v="가정용 전기전자"/>
    <s v="가사용 전기전자"/>
    <s v="청소기"/>
    <s v="로보락"/>
    <x v="24"/>
    <s v="신문/잡지(대)스포츠신문(중)"/>
    <s v="연예"/>
    <s v="500X500"/>
    <x v="4"/>
    <s v="25.03.18"/>
    <s v="25.03.18"/>
    <s v="카카오광고"/>
    <n v="176"/>
  </r>
  <r>
    <s v="PC"/>
    <x v="3"/>
    <x v="4"/>
    <s v="가정용 전기전자"/>
    <s v="가사용 전기전자"/>
    <s v="청소기"/>
    <s v="로보락"/>
    <x v="24"/>
    <s v="신문/잡지(대)스포츠신문(중)"/>
    <s v="오피니언"/>
    <s v="300X300"/>
    <x v="1"/>
    <s v="25.05.11"/>
    <s v="25.05.11"/>
    <s v="카카오광고"/>
    <n v="216"/>
  </r>
  <r>
    <s v="PC"/>
    <x v="3"/>
    <x v="4"/>
    <s v="가정용 전기전자"/>
    <s v="가사용 전기전자"/>
    <s v="청소기"/>
    <s v="로보락"/>
    <x v="60"/>
    <s v="신문/잡지(대)종합일간지(중)"/>
    <s v="부동산"/>
    <s v="1200X1200"/>
    <x v="2"/>
    <s v="25.02.22"/>
    <s v="25.02.22"/>
    <s v="GDN"/>
    <n v="52"/>
  </r>
  <r>
    <s v="PC"/>
    <x v="3"/>
    <x v="4"/>
    <s v="가정용 전기전자"/>
    <s v="가사용 전기전자"/>
    <s v="청소기"/>
    <s v="로보락"/>
    <x v="60"/>
    <s v="신문/잡지(대)종합일간지(중)"/>
    <s v="부동산"/>
    <s v="300X300"/>
    <x v="4"/>
    <s v="25.03.20"/>
    <s v="25.03.21"/>
    <s v="카카오광고"/>
    <n v="352"/>
  </r>
  <r>
    <s v="PC"/>
    <x v="3"/>
    <x v="4"/>
    <s v="가정용 전기전자"/>
    <s v="가사용 전기전자"/>
    <s v="청소기"/>
    <s v="로보락"/>
    <x v="60"/>
    <s v="신문/잡지(대)종합일간지(중)"/>
    <s v="여행"/>
    <s v="300X300"/>
    <x v="3"/>
    <s v="25.01.06"/>
    <s v="25.01.12"/>
    <s v="카카오광고"/>
    <n v="980"/>
  </r>
  <r>
    <s v="PC"/>
    <x v="3"/>
    <x v="4"/>
    <s v="가정용 전기전자"/>
    <s v="가사용 전기전자"/>
    <s v="청소기"/>
    <s v="로보락"/>
    <x v="60"/>
    <s v="신문/잡지(대)종합일간지(중)"/>
    <s v="오피니언"/>
    <s v="300X300"/>
    <x v="0"/>
    <s v="25.04.04"/>
    <s v="25.04.04"/>
    <s v="카카오광고"/>
    <n v="176"/>
  </r>
  <r>
    <s v="PC"/>
    <x v="3"/>
    <x v="4"/>
    <s v="가정용 전기전자"/>
    <s v="가사용 전기전자"/>
    <s v="청소기"/>
    <s v="로보락"/>
    <x v="60"/>
    <s v="신문/잡지(대)종합일간지(중)"/>
    <s v="정치"/>
    <s v="1200X1200"/>
    <x v="2"/>
    <s v="25.02.26"/>
    <s v="25.02.26"/>
    <s v="GDN"/>
    <n v="52"/>
  </r>
  <r>
    <s v="PC"/>
    <x v="3"/>
    <x v="4"/>
    <s v="가정용 전기전자"/>
    <s v="가사용 전기전자"/>
    <s v="청소기"/>
    <s v="로보락"/>
    <x v="60"/>
    <s v="신문/잡지(대)종합일간지(중)"/>
    <s v="중앙선데이"/>
    <s v="1200X600"/>
    <x v="3"/>
    <s v="25.01.13"/>
    <s v="25.01.19"/>
    <s v="카카오광고"/>
    <n v="980"/>
  </r>
  <r>
    <s v="PC"/>
    <x v="3"/>
    <x v="4"/>
    <s v="가정용 전기전자"/>
    <s v="가사용 전기전자"/>
    <s v="청소기"/>
    <s v="로보락"/>
    <x v="60"/>
    <s v="신문/잡지(대)종합일간지(중)"/>
    <s v="중앙선데이"/>
    <s v="1200X600"/>
    <x v="3"/>
    <s v="25.01.20"/>
    <s v="25.01.20"/>
    <s v="카카오광고"/>
    <n v="140"/>
  </r>
  <r>
    <s v="PC"/>
    <x v="3"/>
    <x v="4"/>
    <s v="가정용 전기전자"/>
    <s v="가사용 전기전자"/>
    <s v="청소기"/>
    <s v="로보락"/>
    <x v="60"/>
    <s v="신문/잡지(대)종합일간지(중)"/>
    <s v="중앙선데이"/>
    <s v="300X300"/>
    <x v="2"/>
    <s v="25.02.19"/>
    <s v="25.02.19"/>
    <s v="카카오광고"/>
    <n v="158"/>
  </r>
  <r>
    <s v="PC"/>
    <x v="3"/>
    <x v="4"/>
    <s v="가정용 전기전자"/>
    <s v="가사용 전기전자"/>
    <s v="청소기"/>
    <s v="로보락"/>
    <x v="60"/>
    <s v="신문/잡지(대)종합일간지(중)"/>
    <s v="중앙선데이"/>
    <s v="0X0"/>
    <x v="4"/>
    <s v="25.03.06"/>
    <s v="25.03.06"/>
    <s v="카카오광고"/>
    <n v="176"/>
  </r>
  <r>
    <s v="PC"/>
    <x v="3"/>
    <x v="4"/>
    <s v="가정용 전기전자"/>
    <s v="가사용 전기전자"/>
    <s v="청소기"/>
    <s v="로보락"/>
    <x v="61"/>
    <s v="방송(대)방송기타(중)"/>
    <s v="검색"/>
    <s v="1200X600"/>
    <x v="3"/>
    <s v="25.01.08"/>
    <s v="25.01.10"/>
    <s v="카카오광고"/>
    <n v="420"/>
  </r>
  <r>
    <s v="PC"/>
    <x v="3"/>
    <x v="4"/>
    <s v="가정용 전기전자"/>
    <s v="가사용 전기전자"/>
    <s v="청소기"/>
    <s v="로보락"/>
    <x v="61"/>
    <s v="방송(대)방송기타(중)"/>
    <s v="동영상플레이어"/>
    <s v="1200X1200"/>
    <x v="2"/>
    <s v="25.02.09"/>
    <s v="25.02.09"/>
    <s v="GDN"/>
    <n v="52"/>
  </r>
  <r>
    <s v="PC"/>
    <x v="3"/>
    <x v="4"/>
    <s v="가정용 전기전자"/>
    <s v="가사용 전기전자"/>
    <s v="청소기"/>
    <s v="로보락"/>
    <x v="61"/>
    <s v="방송(대)방송기타(중)"/>
    <s v="동영상플레이어"/>
    <s v="1200X1200"/>
    <x v="2"/>
    <s v="25.02.12"/>
    <s v="25.02.12"/>
    <s v="GDN"/>
    <n v="52"/>
  </r>
  <r>
    <s v="PC"/>
    <x v="3"/>
    <x v="5"/>
    <s v="가정용 전기전자"/>
    <s v="가사용 전기전자"/>
    <s v="청소기"/>
    <s v="로보락다이애드프로"/>
    <x v="26"/>
    <s v="포털(대)포털(중)"/>
    <s v="메인"/>
    <s v="1200X600"/>
    <x v="3"/>
    <s v="25.01.15"/>
    <s v="25.01.15"/>
    <s v="카카오광고"/>
    <n v="1582"/>
  </r>
  <r>
    <s v="PC"/>
    <x v="3"/>
    <x v="5"/>
    <s v="가정용 전기전자"/>
    <s v="가사용 전기전자"/>
    <s v="청소기"/>
    <s v="로보락다이애드프로"/>
    <x v="26"/>
    <s v="포털(대)포털(중)"/>
    <s v="메인"/>
    <s v="1200X600"/>
    <x v="2"/>
    <s v="25.02.02"/>
    <s v="25.02.02"/>
    <s v="카카오광고"/>
    <n v="1780"/>
  </r>
  <r>
    <s v="PC"/>
    <x v="3"/>
    <x v="5"/>
    <s v="가정용 전기전자"/>
    <s v="가사용 전기전자"/>
    <s v="청소기"/>
    <s v="로보락다이애드프로"/>
    <x v="0"/>
    <s v="신문/잡지(대)종합일간지(중)"/>
    <s v="뉴스"/>
    <s v="600X314"/>
    <x v="2"/>
    <s v="25.02.07"/>
    <s v="25.02.07"/>
    <s v="GDN"/>
    <n v="52"/>
  </r>
  <r>
    <s v="PC"/>
    <x v="3"/>
    <x v="5"/>
    <s v="가정용 전기전자"/>
    <s v="가사용 전기전자"/>
    <s v="청소기"/>
    <s v="로보락다이애드프로"/>
    <x v="0"/>
    <s v="신문/잡지(대)종합일간지(중)"/>
    <s v="주간조선"/>
    <s v="600X314"/>
    <x v="2"/>
    <s v="25.02.02"/>
    <s v="25.02.02"/>
    <s v="GDN"/>
    <n v="52"/>
  </r>
  <r>
    <s v="PC"/>
    <x v="3"/>
    <x v="5"/>
    <s v="가정용 전기전자"/>
    <s v="가사용 전기전자"/>
    <s v="청소기"/>
    <s v="로보락다이애드프로"/>
    <x v="2"/>
    <s v="신문/잡지(대)종합일간지(중)"/>
    <s v="연예"/>
    <s v="600X314"/>
    <x v="2"/>
    <s v="25.02.02"/>
    <s v="25.02.02"/>
    <s v="GDN"/>
    <n v="52"/>
  </r>
  <r>
    <s v="PC"/>
    <x v="3"/>
    <x v="5"/>
    <s v="가정용 전기전자"/>
    <s v="가사용 전기전자"/>
    <s v="청소기"/>
    <s v="로보락다이애드프로"/>
    <x v="33"/>
    <s v="신문/잡지(대)종합일간지(중)"/>
    <s v="주간한국"/>
    <s v="600X314"/>
    <x v="2"/>
    <s v="25.02.02"/>
    <s v="25.02.02"/>
    <s v="GDN"/>
    <n v="52"/>
  </r>
  <r>
    <s v="PC"/>
    <x v="3"/>
    <x v="5"/>
    <s v="가정용 전기전자"/>
    <s v="가사용 전기전자"/>
    <s v="청소기"/>
    <s v="로보락다이애드프로"/>
    <x v="4"/>
    <s v="신문/잡지(대)종합일간지(중)"/>
    <s v="정치"/>
    <s v="600X314"/>
    <x v="2"/>
    <s v="25.02.04"/>
    <s v="25.02.07"/>
    <s v="GDN"/>
    <n v="208"/>
  </r>
  <r>
    <s v="PC"/>
    <x v="3"/>
    <x v="5"/>
    <s v="가정용 전기전자"/>
    <s v="가사용 전기전자"/>
    <s v="청소기"/>
    <s v="로보락다이애드프로"/>
    <x v="34"/>
    <s v="신문/잡지(대)온라인뉴스(중)"/>
    <s v="정치"/>
    <s v="600X314"/>
    <x v="2"/>
    <s v="25.02.03"/>
    <s v="25.02.03"/>
    <s v="GDN"/>
    <n v="52"/>
  </r>
  <r>
    <s v="PC"/>
    <x v="3"/>
    <x v="5"/>
    <s v="가정용 전기전자"/>
    <s v="가사용 전기전자"/>
    <s v="청소기"/>
    <s v="로보락다이애드프로"/>
    <x v="5"/>
    <s v="신문/잡지(대)경제신문(중)"/>
    <s v="레이더P"/>
    <s v="600X314"/>
    <x v="2"/>
    <s v="25.02.02"/>
    <s v="25.02.02"/>
    <s v="GDN"/>
    <n v="52"/>
  </r>
  <r>
    <s v="PC"/>
    <x v="3"/>
    <x v="5"/>
    <s v="가정용 전기전자"/>
    <s v="가사용 전기전자"/>
    <s v="청소기"/>
    <s v="로보락다이애드프로"/>
    <x v="7"/>
    <s v="신문/잡지(대)온라인뉴스(중)"/>
    <s v="사람들"/>
    <s v="600X314"/>
    <x v="2"/>
    <s v="25.02.02"/>
    <s v="25.02.02"/>
    <s v="GDN"/>
    <n v="52"/>
  </r>
  <r>
    <s v="PC"/>
    <x v="3"/>
    <x v="5"/>
    <s v="가정용 전기전자"/>
    <s v="가사용 전기전자"/>
    <s v="청소기"/>
    <s v="로보락다이애드프로"/>
    <x v="8"/>
    <s v="신문/잡지(대)경제신문(중)"/>
    <s v="골프"/>
    <s v="600X314"/>
    <x v="2"/>
    <s v="25.02.15"/>
    <s v="25.02.16"/>
    <s v="GDN"/>
    <n v="104"/>
  </r>
  <r>
    <s v="PC"/>
    <x v="3"/>
    <x v="5"/>
    <s v="가정용 전기전자"/>
    <s v="가사용 전기전자"/>
    <s v="청소기"/>
    <s v="로보락다이애드프로"/>
    <x v="38"/>
    <s v="신문/잡지(대)온라인뉴스(중)"/>
    <s v="메인"/>
    <s v="900X1800"/>
    <x v="2"/>
    <s v="25.02.15"/>
    <s v="25.02.15"/>
    <s v="GDN"/>
    <n v="52"/>
  </r>
  <r>
    <s v="PC"/>
    <x v="3"/>
    <x v="5"/>
    <s v="가정용 전기전자"/>
    <s v="가사용 전기전자"/>
    <s v="청소기"/>
    <s v="로보락다이애드프로"/>
    <x v="11"/>
    <s v="신문/잡지(대)종합일간지(중)"/>
    <s v="연예"/>
    <s v="600X314"/>
    <x v="2"/>
    <s v="25.02.06"/>
    <s v="25.02.06"/>
    <s v="GDN"/>
    <n v="52"/>
  </r>
  <r>
    <s v="PC"/>
    <x v="3"/>
    <x v="5"/>
    <s v="가정용 전기전자"/>
    <s v="가사용 전기전자"/>
    <s v="청소기"/>
    <s v="로보락다이애드프로"/>
    <x v="12"/>
    <s v="신문/잡지(대)IT관련 뉴스(중)"/>
    <s v="특집"/>
    <s v="600X314"/>
    <x v="2"/>
    <s v="25.02.02"/>
    <s v="25.02.02"/>
    <s v="GDN"/>
    <n v="52"/>
  </r>
  <r>
    <s v="PC"/>
    <x v="3"/>
    <x v="5"/>
    <s v="가정용 전기전자"/>
    <s v="가사용 전기전자"/>
    <s v="청소기"/>
    <s v="로보락다이애드프로"/>
    <x v="42"/>
    <s v="신문/잡지(대)경제신문(중)"/>
    <s v="뉴스"/>
    <s v="1200X600"/>
    <x v="3"/>
    <s v="25.01.06"/>
    <s v="25.01.06"/>
    <s v="카카오광고"/>
    <n v="140"/>
  </r>
  <r>
    <s v="PC"/>
    <x v="3"/>
    <x v="5"/>
    <s v="가정용 전기전자"/>
    <s v="가사용 전기전자"/>
    <s v="청소기"/>
    <s v="로보락다이애드프로"/>
    <x v="15"/>
    <s v="신문/잡지(대)잡지(중)"/>
    <s v="메인"/>
    <s v="600X314"/>
    <x v="2"/>
    <s v="25.02.05"/>
    <s v="25.02.05"/>
    <s v="GDN"/>
    <n v="52"/>
  </r>
  <r>
    <s v="PC"/>
    <x v="3"/>
    <x v="5"/>
    <s v="가정용 전기전자"/>
    <s v="가사용 전기전자"/>
    <s v="청소기"/>
    <s v="로보락다이애드프로"/>
    <x v="49"/>
    <s v="신문/잡지(대)온라인뉴스(중)"/>
    <s v="패션"/>
    <s v="900X1600"/>
    <x v="2"/>
    <s v="25.02.03"/>
    <s v="25.02.09"/>
    <s v="GDN"/>
    <n v="364"/>
  </r>
  <r>
    <s v="PC"/>
    <x v="3"/>
    <x v="5"/>
    <s v="가정용 전기전자"/>
    <s v="가사용 전기전자"/>
    <s v="청소기"/>
    <s v="로보락다이애드프로"/>
    <x v="49"/>
    <s v="신문/잡지(대)온라인뉴스(중)"/>
    <s v="패션"/>
    <s v="900X1800"/>
    <x v="2"/>
    <s v="25.02.15"/>
    <s v="25.02.15"/>
    <s v="GDN"/>
    <n v="52"/>
  </r>
  <r>
    <s v="PC"/>
    <x v="3"/>
    <x v="5"/>
    <s v="가정용 전기전자"/>
    <s v="가사용 전기전자"/>
    <s v="청소기"/>
    <s v="로보락다이애드프로"/>
    <x v="23"/>
    <s v="포털(대)포털(중)"/>
    <s v="동영상플레이어"/>
    <s v="600X314"/>
    <x v="2"/>
    <s v="25.02.17"/>
    <s v="25.02.17"/>
    <s v="GDN"/>
    <n v="52"/>
  </r>
  <r>
    <s v="PC"/>
    <x v="3"/>
    <x v="5"/>
    <s v="가정용 전기전자"/>
    <s v="가사용 전기전자"/>
    <s v="청소기"/>
    <s v="로보락다이애드프로"/>
    <x v="24"/>
    <s v="신문/잡지(대)스포츠신문(중)"/>
    <s v="연예"/>
    <s v="1200X600"/>
    <x v="3"/>
    <s v="25.01.02"/>
    <s v="25.01.02"/>
    <s v="카카오광고"/>
    <n v="140"/>
  </r>
  <r>
    <s v="PC"/>
    <x v="3"/>
    <x v="5"/>
    <s v="가정용 전기전자"/>
    <s v="가사용 전기전자"/>
    <s v="청소기"/>
    <s v="로보락다이애드프로"/>
    <x v="60"/>
    <s v="신문/잡지(대)종합일간지(중)"/>
    <s v="중앙선데이"/>
    <s v="900X1800"/>
    <x v="2"/>
    <s v="25.02.15"/>
    <s v="25.02.15"/>
    <s v="GDN"/>
    <n v="52"/>
  </r>
  <r>
    <s v="PC"/>
    <x v="3"/>
    <x v="6"/>
    <s v="가정용 전기전자"/>
    <s v="가사용 전기전자"/>
    <s v="청소기"/>
    <s v="로보락S8MaxVUltra"/>
    <x v="26"/>
    <s v="포털(대)포털(중)"/>
    <s v="메인"/>
    <s v="1200X600"/>
    <x v="3"/>
    <s v="25.01.14"/>
    <s v="25.01.18"/>
    <s v="카카오광고"/>
    <n v="7910"/>
  </r>
  <r>
    <s v="PC"/>
    <x v="3"/>
    <x v="6"/>
    <s v="가정용 전기전자"/>
    <s v="가사용 전기전자"/>
    <s v="청소기"/>
    <s v="로보락S8MaxVUltra"/>
    <x v="26"/>
    <s v="포털(대)포털(중)"/>
    <s v="메인"/>
    <s v="1200X600"/>
    <x v="3"/>
    <s v="25.01.20"/>
    <s v="25.01.20"/>
    <s v="카카오광고"/>
    <n v="1582"/>
  </r>
  <r>
    <s v="PC"/>
    <x v="3"/>
    <x v="6"/>
    <s v="가정용 전기전자"/>
    <s v="가사용 전기전자"/>
    <s v="청소기"/>
    <s v="로보락S8MaxVUltra"/>
    <x v="26"/>
    <s v="포털(대)포털(중)"/>
    <s v="메인"/>
    <s v="1200X600"/>
    <x v="3"/>
    <s v="25.01.31"/>
    <s v="25.01.31"/>
    <s v="카카오광고"/>
    <n v="1582"/>
  </r>
  <r>
    <s v="PC"/>
    <x v="3"/>
    <x v="6"/>
    <s v="가정용 전기전자"/>
    <s v="가사용 전기전자"/>
    <s v="청소기"/>
    <s v="로보락S8MaxVUltra"/>
    <x v="26"/>
    <s v="포털(대)포털(중)"/>
    <s v="메인"/>
    <s v="1200X600"/>
    <x v="2"/>
    <s v="25.02.01"/>
    <s v="25.02.02"/>
    <s v="카카오광고"/>
    <n v="3559"/>
  </r>
  <r>
    <s v="PC"/>
    <x v="3"/>
    <x v="6"/>
    <s v="가정용 전기전자"/>
    <s v="가사용 전기전자"/>
    <s v="청소기"/>
    <s v="로보락S8MaxVUltra"/>
    <x v="26"/>
    <s v="포털(대)포털(중)"/>
    <s v="메인"/>
    <s v="1200X600"/>
    <x v="2"/>
    <s v="25.02.05"/>
    <s v="25.02.05"/>
    <s v="카카오광고"/>
    <n v="1780"/>
  </r>
  <r>
    <s v="PC"/>
    <x v="3"/>
    <x v="6"/>
    <s v="가정용 전기전자"/>
    <s v="가사용 전기전자"/>
    <s v="청소기"/>
    <s v="로보락S8MaxVUltra"/>
    <x v="26"/>
    <s v="포털(대)포털(중)"/>
    <s v="메인"/>
    <s v="1643X860"/>
    <x v="2"/>
    <s v="25.02.08"/>
    <s v="25.02.08"/>
    <s v="GDN"/>
    <n v="588"/>
  </r>
  <r>
    <s v="PC"/>
    <x v="3"/>
    <x v="6"/>
    <s v="가정용 전기전자"/>
    <s v="가사용 전기전자"/>
    <s v="청소기"/>
    <s v="로보락S8MaxVUltra"/>
    <x v="27"/>
    <s v="포털(대)포털(중)"/>
    <s v="네이트뷰"/>
    <s v="600X314"/>
    <x v="3"/>
    <s v="25.01.28"/>
    <s v="25.01.28"/>
    <s v="GDN"/>
    <n v="52"/>
  </r>
  <r>
    <s v="PC"/>
    <x v="3"/>
    <x v="6"/>
    <s v="가정용 전기전자"/>
    <s v="가사용 전기전자"/>
    <s v="청소기"/>
    <s v="로보락S8MaxVUltra"/>
    <x v="27"/>
    <s v="포털(대)포털(중)"/>
    <s v="네이트뷰"/>
    <s v="1643X860"/>
    <x v="2"/>
    <s v="25.02.12"/>
    <s v="25.02.12"/>
    <s v="GDN"/>
    <n v="52"/>
  </r>
  <r>
    <s v="PC"/>
    <x v="3"/>
    <x v="6"/>
    <s v="가정용 전기전자"/>
    <s v="가사용 전기전자"/>
    <s v="청소기"/>
    <s v="로보락S8MaxVUltra"/>
    <x v="27"/>
    <s v="포털(대)포털(중)"/>
    <s v="스포츠"/>
    <s v="250X250"/>
    <x v="2"/>
    <s v="25.02.05"/>
    <s v="25.02.05"/>
    <s v="모비온"/>
    <n v="154"/>
  </r>
  <r>
    <s v="PC"/>
    <x v="3"/>
    <x v="6"/>
    <s v="가정용 전기전자"/>
    <s v="가사용 전기전자"/>
    <s v="청소기"/>
    <s v="로보락S8MaxVUltra"/>
    <x v="0"/>
    <s v="신문/잡지(대)종합일간지(중)"/>
    <s v="뉴스"/>
    <s v="600X314"/>
    <x v="3"/>
    <s v="25.01.23"/>
    <s v="25.01.24"/>
    <s v="GDN"/>
    <n v="104"/>
  </r>
  <r>
    <s v="PC"/>
    <x v="3"/>
    <x v="6"/>
    <s v="가정용 전기전자"/>
    <s v="가사용 전기전자"/>
    <s v="청소기"/>
    <s v="로보락S8MaxVUltra"/>
    <x v="0"/>
    <s v="신문/잡지(대)종합일간지(중)"/>
    <s v="스포츠"/>
    <s v="1200X600"/>
    <x v="3"/>
    <s v="25.01.16"/>
    <s v="25.01.16"/>
    <s v="카카오광고"/>
    <n v="140"/>
  </r>
  <r>
    <s v="PC"/>
    <x v="3"/>
    <x v="6"/>
    <s v="가정용 전기전자"/>
    <s v="가사용 전기전자"/>
    <s v="청소기"/>
    <s v="로보락S8MaxVUltra"/>
    <x v="0"/>
    <s v="신문/잡지(대)종합일간지(중)"/>
    <s v="오피니언"/>
    <s v="600X314"/>
    <x v="3"/>
    <s v="25.01.31"/>
    <s v="25.01.31"/>
    <s v="GDN"/>
    <n v="52"/>
  </r>
  <r>
    <s v="PC"/>
    <x v="3"/>
    <x v="6"/>
    <s v="가정용 전기전자"/>
    <s v="가사용 전기전자"/>
    <s v="청소기"/>
    <s v="로보락S8MaxVUltra"/>
    <x v="30"/>
    <s v="방송(대)방송국(중)"/>
    <s v="동영상플레이어"/>
    <s v="1200X600"/>
    <x v="3"/>
    <s v="25.01.09"/>
    <s v="25.01.09"/>
    <s v="카카오광고"/>
    <n v="140"/>
  </r>
  <r>
    <s v="PC"/>
    <x v="3"/>
    <x v="6"/>
    <s v="가정용 전기전자"/>
    <s v="가사용 전기전자"/>
    <s v="청소기"/>
    <s v="로보락S8MaxVUltra"/>
    <x v="30"/>
    <s v="방송(대)방송국(중)"/>
    <s v="동영상플레이어"/>
    <s v="1200X600"/>
    <x v="3"/>
    <s v="25.01.15"/>
    <s v="25.01.15"/>
    <s v="카카오광고"/>
    <n v="140"/>
  </r>
  <r>
    <s v="PC"/>
    <x v="3"/>
    <x v="6"/>
    <s v="가정용 전기전자"/>
    <s v="가사용 전기전자"/>
    <s v="청소기"/>
    <s v="로보락S8MaxVUltra"/>
    <x v="31"/>
    <s v="신문/잡지(대)스포츠신문(중)"/>
    <s v="메인"/>
    <s v="600X314"/>
    <x v="3"/>
    <s v="25.01.29"/>
    <s v="25.01.29"/>
    <s v="GDN"/>
    <n v="52"/>
  </r>
  <r>
    <s v="PC"/>
    <x v="3"/>
    <x v="6"/>
    <s v="가정용 전기전자"/>
    <s v="가사용 전기전자"/>
    <s v="청소기"/>
    <s v="로보락S8MaxVUltra"/>
    <x v="32"/>
    <s v="신문/잡지(대)스포츠신문(중)"/>
    <s v="스포츠"/>
    <s v="1200X600"/>
    <x v="3"/>
    <s v="25.01.12"/>
    <s v="25.01.12"/>
    <s v="카카오광고"/>
    <n v="140"/>
  </r>
  <r>
    <s v="PC"/>
    <x v="3"/>
    <x v="6"/>
    <s v="가정용 전기전자"/>
    <s v="가사용 전기전자"/>
    <s v="청소기"/>
    <s v="로보락S8MaxVUltra"/>
    <x v="2"/>
    <s v="신문/잡지(대)종합일간지(중)"/>
    <s v="뉴스"/>
    <s v="1200X600"/>
    <x v="3"/>
    <s v="25.01.10"/>
    <s v="25.01.10"/>
    <s v="카카오광고"/>
    <n v="140"/>
  </r>
  <r>
    <s v="PC"/>
    <x v="3"/>
    <x v="6"/>
    <s v="가정용 전기전자"/>
    <s v="가사용 전기전자"/>
    <s v="청소기"/>
    <s v="로보락S8MaxVUltra"/>
    <x v="2"/>
    <s v="신문/잡지(대)종합일간지(중)"/>
    <s v="뉴스"/>
    <s v="600X314"/>
    <x v="3"/>
    <s v="25.01.26"/>
    <s v="25.01.26"/>
    <s v="GDN"/>
    <n v="52"/>
  </r>
  <r>
    <s v="PC"/>
    <x v="3"/>
    <x v="6"/>
    <s v="가정용 전기전자"/>
    <s v="가사용 전기전자"/>
    <s v="청소기"/>
    <s v="로보락S8MaxVUltra"/>
    <x v="2"/>
    <s v="신문/잡지(대)종합일간지(중)"/>
    <s v="뉴스"/>
    <s v="600X314"/>
    <x v="3"/>
    <s v="25.01.29"/>
    <s v="25.01.29"/>
    <s v="GDN"/>
    <n v="52"/>
  </r>
  <r>
    <s v="PC"/>
    <x v="3"/>
    <x v="6"/>
    <s v="가정용 전기전자"/>
    <s v="가사용 전기전자"/>
    <s v="청소기"/>
    <s v="로보락S8MaxVUltra"/>
    <x v="4"/>
    <s v="신문/잡지(대)종합일간지(중)"/>
    <s v="스포츠"/>
    <s v="600X314"/>
    <x v="3"/>
    <s v="25.01.22"/>
    <s v="25.01.22"/>
    <s v="GDN"/>
    <n v="52"/>
  </r>
  <r>
    <s v="PC"/>
    <x v="3"/>
    <x v="6"/>
    <s v="가정용 전기전자"/>
    <s v="가사용 전기전자"/>
    <s v="청소기"/>
    <s v="로보락S8MaxVUltra"/>
    <x v="4"/>
    <s v="신문/잡지(대)종합일간지(중)"/>
    <s v="스포츠"/>
    <s v="600X314"/>
    <x v="3"/>
    <s v="25.01.28"/>
    <s v="25.01.31"/>
    <s v="GDN"/>
    <n v="208"/>
  </r>
  <r>
    <s v="PC"/>
    <x v="3"/>
    <x v="6"/>
    <s v="가정용 전기전자"/>
    <s v="가사용 전기전자"/>
    <s v="청소기"/>
    <s v="로보락S8MaxVUltra"/>
    <x v="4"/>
    <s v="신문/잡지(대)종합일간지(중)"/>
    <s v="스포츠"/>
    <s v="1643X860"/>
    <x v="2"/>
    <s v="25.02.03"/>
    <s v="25.02.03"/>
    <s v="GDN"/>
    <n v="52"/>
  </r>
  <r>
    <s v="PC"/>
    <x v="3"/>
    <x v="6"/>
    <s v="가정용 전기전자"/>
    <s v="가사용 전기전자"/>
    <s v="청소기"/>
    <s v="로보락S8MaxVUltra"/>
    <x v="4"/>
    <s v="신문/잡지(대)종합일간지(중)"/>
    <s v="스포츠"/>
    <s v="1643X860"/>
    <x v="2"/>
    <s v="25.02.14"/>
    <s v="25.02.15"/>
    <s v="GDN"/>
    <n v="104"/>
  </r>
  <r>
    <s v="PC"/>
    <x v="3"/>
    <x v="6"/>
    <s v="가정용 전기전자"/>
    <s v="가사용 전기전자"/>
    <s v="청소기"/>
    <s v="로보락S8MaxVUltra"/>
    <x v="34"/>
    <s v="신문/잡지(대)온라인뉴스(중)"/>
    <s v="사는 이야기"/>
    <s v="600X314"/>
    <x v="3"/>
    <s v="25.01.25"/>
    <s v="25.01.25"/>
    <s v="GDN"/>
    <n v="52"/>
  </r>
  <r>
    <s v="PC"/>
    <x v="3"/>
    <x v="6"/>
    <s v="가정용 전기전자"/>
    <s v="가사용 전기전자"/>
    <s v="청소기"/>
    <s v="로보락S8MaxVUltra"/>
    <x v="34"/>
    <s v="신문/잡지(대)온라인뉴스(중)"/>
    <s v="책동네"/>
    <s v="1643X860"/>
    <x v="2"/>
    <s v="25.02.08"/>
    <s v="25.02.08"/>
    <s v="GDN"/>
    <n v="52"/>
  </r>
  <r>
    <s v="PC"/>
    <x v="3"/>
    <x v="6"/>
    <s v="가정용 전기전자"/>
    <s v="가사용 전기전자"/>
    <s v="청소기"/>
    <s v="로보락S8MaxVUltra"/>
    <x v="5"/>
    <s v="신문/잡지(대)경제신문(중)"/>
    <s v="메인"/>
    <s v="600X314"/>
    <x v="3"/>
    <s v="25.01.24"/>
    <s v="25.01.24"/>
    <s v="GDN"/>
    <n v="52"/>
  </r>
  <r>
    <s v="PC"/>
    <x v="3"/>
    <x v="6"/>
    <s v="가정용 전기전자"/>
    <s v="가사용 전기전자"/>
    <s v="청소기"/>
    <s v="로보락S8MaxVUltra"/>
    <x v="5"/>
    <s v="신문/잡지(대)경제신문(중)"/>
    <s v="메인"/>
    <s v="600X314"/>
    <x v="3"/>
    <s v="25.01.27"/>
    <s v="25.01.31"/>
    <s v="GDN"/>
    <n v="260"/>
  </r>
  <r>
    <s v="PC"/>
    <x v="3"/>
    <x v="6"/>
    <s v="가정용 전기전자"/>
    <s v="가사용 전기전자"/>
    <s v="청소기"/>
    <s v="로보락S8MaxVUltra"/>
    <x v="5"/>
    <s v="신문/잡지(대)경제신문(중)"/>
    <s v="메인"/>
    <s v="1643X860"/>
    <x v="2"/>
    <s v="25.02.03"/>
    <s v="25.02.03"/>
    <s v="GDN"/>
    <n v="52"/>
  </r>
  <r>
    <s v="PC"/>
    <x v="3"/>
    <x v="6"/>
    <s v="가정용 전기전자"/>
    <s v="가사용 전기전자"/>
    <s v="청소기"/>
    <s v="로보락S8MaxVUltra"/>
    <x v="5"/>
    <s v="신문/잡지(대)경제신문(중)"/>
    <s v="메인"/>
    <s v="1643X860"/>
    <x v="2"/>
    <s v="25.02.12"/>
    <s v="25.02.12"/>
    <s v="GDN"/>
    <n v="52"/>
  </r>
  <r>
    <s v="PC"/>
    <x v="3"/>
    <x v="6"/>
    <s v="가정용 전기전자"/>
    <s v="가사용 전기전자"/>
    <s v="청소기"/>
    <s v="로보락S8MaxVUltra"/>
    <x v="5"/>
    <s v="신문/잡지(대)경제신문(중)"/>
    <s v="스타투데이"/>
    <s v="600X314"/>
    <x v="3"/>
    <s v="25.01.01"/>
    <s v="25.01.01"/>
    <s v="GDN"/>
    <n v="52"/>
  </r>
  <r>
    <s v="PC"/>
    <x v="3"/>
    <x v="6"/>
    <s v="가정용 전기전자"/>
    <s v="가사용 전기전자"/>
    <s v="청소기"/>
    <s v="로보락S8MaxVUltra"/>
    <x v="6"/>
    <s v="생활정보(대)쇼핑/가격정보(중)"/>
    <s v="로그인"/>
    <s v="1200X600"/>
    <x v="3"/>
    <s v="25.01.11"/>
    <s v="25.01.11"/>
    <s v="카카오광고"/>
    <n v="49"/>
  </r>
  <r>
    <s v="PC"/>
    <x v="3"/>
    <x v="6"/>
    <s v="가정용 전기전자"/>
    <s v="가사용 전기전자"/>
    <s v="청소기"/>
    <s v="로보락S8MaxVUltra"/>
    <x v="6"/>
    <s v="생활정보(대)쇼핑/가격정보(중)"/>
    <s v="로그인"/>
    <s v="1200X600"/>
    <x v="3"/>
    <s v="25.01.15"/>
    <s v="25.01.15"/>
    <s v="카카오광고"/>
    <n v="49"/>
  </r>
  <r>
    <s v="PC"/>
    <x v="3"/>
    <x v="6"/>
    <s v="가정용 전기전자"/>
    <s v="가사용 전기전자"/>
    <s v="청소기"/>
    <s v="로보락S8MaxVUltra"/>
    <x v="6"/>
    <s v="생활정보(대)쇼핑/가격정보(중)"/>
    <s v="미니갤러리"/>
    <s v="1200X600"/>
    <x v="3"/>
    <s v="25.01.28"/>
    <s v="25.01.28"/>
    <s v="카카오광고"/>
    <n v="49"/>
  </r>
  <r>
    <s v="PC"/>
    <x v="3"/>
    <x v="6"/>
    <s v="가정용 전기전자"/>
    <s v="가사용 전기전자"/>
    <s v="청소기"/>
    <s v="로보락S8MaxVUltra"/>
    <x v="7"/>
    <s v="신문/잡지(대)온라인뉴스(중)"/>
    <s v="세계"/>
    <s v="600X314"/>
    <x v="3"/>
    <s v="25.01.30"/>
    <s v="25.01.30"/>
    <s v="GDN"/>
    <n v="52"/>
  </r>
  <r>
    <s v="PC"/>
    <x v="3"/>
    <x v="6"/>
    <s v="가정용 전기전자"/>
    <s v="가사용 전기전자"/>
    <s v="청소기"/>
    <s v="로보락S8MaxVUltra"/>
    <x v="7"/>
    <s v="신문/잡지(대)온라인뉴스(중)"/>
    <s v="여행"/>
    <s v="1643X860"/>
    <x v="2"/>
    <s v="25.02.07"/>
    <s v="25.02.08"/>
    <s v="GDN"/>
    <n v="104"/>
  </r>
  <r>
    <s v="PC"/>
    <x v="3"/>
    <x v="6"/>
    <s v="가정용 전기전자"/>
    <s v="가사용 전기전자"/>
    <s v="청소기"/>
    <s v="로보락S8MaxVUltra"/>
    <x v="7"/>
    <s v="신문/잡지(대)온라인뉴스(중)"/>
    <s v="전국"/>
    <s v="1200X600"/>
    <x v="3"/>
    <s v="25.01.03"/>
    <s v="25.01.03"/>
    <s v="카카오광고"/>
    <n v="140"/>
  </r>
  <r>
    <s v="PC"/>
    <x v="3"/>
    <x v="6"/>
    <s v="가정용 전기전자"/>
    <s v="가사용 전기전자"/>
    <s v="청소기"/>
    <s v="로보락S8MaxVUltra"/>
    <x v="35"/>
    <s v="신문/잡지(대)종합일간지(중)"/>
    <s v="스포츠"/>
    <s v="1643X860"/>
    <x v="2"/>
    <s v="25.02.03"/>
    <s v="25.02.03"/>
    <s v="GDN"/>
    <n v="52"/>
  </r>
  <r>
    <s v="PC"/>
    <x v="3"/>
    <x v="6"/>
    <s v="가정용 전기전자"/>
    <s v="가사용 전기전자"/>
    <s v="청소기"/>
    <s v="로보락S8MaxVUltra"/>
    <x v="36"/>
    <s v="신문/잡지(대)종합일간지(중)"/>
    <s v="정치"/>
    <s v="1643X860"/>
    <x v="2"/>
    <s v="25.02.08"/>
    <s v="25.02.08"/>
    <s v="GDN"/>
    <n v="52"/>
  </r>
  <r>
    <s v="PC"/>
    <x v="3"/>
    <x v="6"/>
    <s v="가정용 전기전자"/>
    <s v="가사용 전기전자"/>
    <s v="청소기"/>
    <s v="로보락S8MaxVUltra"/>
    <x v="8"/>
    <s v="신문/잡지(대)경제신문(중)"/>
    <s v="메인"/>
    <s v="600X314"/>
    <x v="3"/>
    <s v="25.01.28"/>
    <s v="25.01.30"/>
    <s v="GDN"/>
    <n v="156"/>
  </r>
  <r>
    <s v="PC"/>
    <x v="3"/>
    <x v="6"/>
    <s v="가정용 전기전자"/>
    <s v="가사용 전기전자"/>
    <s v="청소기"/>
    <s v="로보락S8MaxVUltra"/>
    <x v="11"/>
    <s v="신문/잡지(대)종합일간지(중)"/>
    <s v="문화"/>
    <s v="1200X600"/>
    <x v="3"/>
    <s v="25.01.13"/>
    <s v="25.01.13"/>
    <s v="카카오광고"/>
    <n v="140"/>
  </r>
  <r>
    <s v="PC"/>
    <x v="3"/>
    <x v="6"/>
    <s v="가정용 전기전자"/>
    <s v="가사용 전기전자"/>
    <s v="청소기"/>
    <s v="로보락S8MaxVUltra"/>
    <x v="12"/>
    <s v="신문/잡지(대)IT관련 뉴스(중)"/>
    <s v="뉴스"/>
    <s v="600X314"/>
    <x v="3"/>
    <s v="25.01.27"/>
    <s v="25.01.27"/>
    <s v="GDN"/>
    <n v="52"/>
  </r>
  <r>
    <s v="PC"/>
    <x v="3"/>
    <x v="6"/>
    <s v="가정용 전기전자"/>
    <s v="가사용 전기전자"/>
    <s v="청소기"/>
    <s v="로보락S8MaxVUltra"/>
    <x v="12"/>
    <s v="신문/잡지(대)IT관련 뉴스(중)"/>
    <s v="특집"/>
    <s v="600X314"/>
    <x v="3"/>
    <s v="25.01.24"/>
    <s v="25.01.24"/>
    <s v="GDN"/>
    <n v="52"/>
  </r>
  <r>
    <s v="PC"/>
    <x v="3"/>
    <x v="6"/>
    <s v="가정용 전기전자"/>
    <s v="가사용 전기전자"/>
    <s v="청소기"/>
    <s v="로보락S8MaxVUltra"/>
    <x v="44"/>
    <s v="방송(대)케이블/위성방송(중)"/>
    <s v="국제"/>
    <s v="1200X600"/>
    <x v="3"/>
    <s v="25.01.02"/>
    <s v="25.01.02"/>
    <s v="카카오광고"/>
    <n v="140"/>
  </r>
  <r>
    <s v="PC"/>
    <x v="3"/>
    <x v="6"/>
    <s v="가정용 전기전자"/>
    <s v="가사용 전기전자"/>
    <s v="청소기"/>
    <s v="로보락S8MaxVUltra"/>
    <x v="13"/>
    <s v="신문/잡지(대)IT관련 뉴스(중)"/>
    <s v="스포츠"/>
    <s v="1200X600"/>
    <x v="3"/>
    <s v="25.01.29"/>
    <s v="25.01.29"/>
    <s v="카카오광고"/>
    <n v="140"/>
  </r>
  <r>
    <s v="PC"/>
    <x v="3"/>
    <x v="6"/>
    <s v="가정용 전기전자"/>
    <s v="가사용 전기전자"/>
    <s v="청소기"/>
    <s v="로보락S8MaxVUltra"/>
    <x v="14"/>
    <s v="신문/잡지(대)IT관련 뉴스(중)"/>
    <s v="오피니언"/>
    <s v="600X314"/>
    <x v="3"/>
    <s v="25.01.29"/>
    <s v="25.01.29"/>
    <s v="GDN"/>
    <n v="52"/>
  </r>
  <r>
    <s v="PC"/>
    <x v="3"/>
    <x v="6"/>
    <s v="가정용 전기전자"/>
    <s v="가사용 전기전자"/>
    <s v="청소기"/>
    <s v="로보락S8MaxVUltra"/>
    <x v="15"/>
    <s v="신문/잡지(대)잡지(중)"/>
    <s v="사회"/>
    <s v="1643X860"/>
    <x v="2"/>
    <s v="25.02.07"/>
    <s v="25.02.08"/>
    <s v="GDN"/>
    <n v="104"/>
  </r>
  <r>
    <s v="PC"/>
    <x v="3"/>
    <x v="6"/>
    <s v="가정용 전기전자"/>
    <s v="가사용 전기전자"/>
    <s v="청소기"/>
    <s v="로보락S8MaxVUltra"/>
    <x v="15"/>
    <s v="신문/잡지(대)잡지(중)"/>
    <s v="사회"/>
    <s v="1643X860"/>
    <x v="2"/>
    <s v="25.02.14"/>
    <s v="25.02.14"/>
    <s v="GDN"/>
    <n v="52"/>
  </r>
  <r>
    <s v="PC"/>
    <x v="3"/>
    <x v="6"/>
    <s v="가정용 전기전자"/>
    <s v="가사용 전기전자"/>
    <s v="청소기"/>
    <s v="로보락S8MaxVUltra"/>
    <x v="16"/>
    <s v="신문/잡지(대)온라인뉴스(중)"/>
    <s v="메인"/>
    <s v="600X314"/>
    <x v="3"/>
    <s v="25.01.27"/>
    <s v="25.01.27"/>
    <s v="GDN"/>
    <n v="22"/>
  </r>
  <r>
    <s v="PC"/>
    <x v="3"/>
    <x v="6"/>
    <s v="가정용 전기전자"/>
    <s v="가사용 전기전자"/>
    <s v="청소기"/>
    <s v="로보락S8MaxVUltra"/>
    <x v="49"/>
    <s v="신문/잡지(대)온라인뉴스(중)"/>
    <s v="금융"/>
    <s v="900X1600"/>
    <x v="2"/>
    <s v="25.02.08"/>
    <s v="25.02.08"/>
    <s v="GDN"/>
    <n v="52"/>
  </r>
  <r>
    <s v="PC"/>
    <x v="3"/>
    <x v="6"/>
    <s v="가정용 전기전자"/>
    <s v="가사용 전기전자"/>
    <s v="청소기"/>
    <s v="로보락S8MaxVUltra"/>
    <x v="50"/>
    <s v="신문/잡지(대)경제신문(중)"/>
    <s v="뉴스"/>
    <s v="336X280"/>
    <x v="2"/>
    <s v="25.02.05"/>
    <s v="25.02.05"/>
    <s v="모비온"/>
    <n v="66"/>
  </r>
  <r>
    <s v="PC"/>
    <x v="3"/>
    <x v="6"/>
    <s v="가정용 전기전자"/>
    <s v="가사용 전기전자"/>
    <s v="청소기"/>
    <s v="로보락S8MaxVUltra"/>
    <x v="19"/>
    <s v="신문/잡지(대)온라인뉴스(중)"/>
    <s v="건강"/>
    <s v="600X314"/>
    <x v="3"/>
    <s v="25.01.28"/>
    <s v="25.01.28"/>
    <s v="GDN"/>
    <n v="52"/>
  </r>
  <r>
    <s v="PC"/>
    <x v="3"/>
    <x v="6"/>
    <s v="가정용 전기전자"/>
    <s v="가사용 전기전자"/>
    <s v="청소기"/>
    <s v="로보락S8MaxVUltra"/>
    <x v="22"/>
    <s v="커뮤니티(대)게시판(중)"/>
    <s v="트위치"/>
    <s v="1200X600"/>
    <x v="3"/>
    <s v="25.01.14"/>
    <s v="25.01.14"/>
    <s v="카카오광고"/>
    <n v="140"/>
  </r>
  <r>
    <s v="PC"/>
    <x v="3"/>
    <x v="6"/>
    <s v="가정용 전기전자"/>
    <s v="가사용 전기전자"/>
    <s v="청소기"/>
    <s v="로보락S8MaxVUltra"/>
    <x v="54"/>
    <s v="신문/잡지(대)스포츠신문(중)"/>
    <s v="비즈포커스"/>
    <s v="1200X600"/>
    <x v="3"/>
    <s v="25.01.24"/>
    <s v="25.01.24"/>
    <s v="카카오광고"/>
    <n v="140"/>
  </r>
  <r>
    <s v="PC"/>
    <x v="3"/>
    <x v="6"/>
    <s v="가정용 전기전자"/>
    <s v="가사용 전기전자"/>
    <s v="청소기"/>
    <s v="로보락S8MaxVUltra"/>
    <x v="23"/>
    <s v="포털(대)포털(중)"/>
    <s v="동영상플레이어"/>
    <s v="600X314"/>
    <x v="3"/>
    <s v="25.01.25"/>
    <s v="25.01.25"/>
    <s v="GDN"/>
    <n v="52"/>
  </r>
  <r>
    <s v="PC"/>
    <x v="3"/>
    <x v="6"/>
    <s v="가정용 전기전자"/>
    <s v="가사용 전기전자"/>
    <s v="청소기"/>
    <s v="로보락S8MaxVUltra"/>
    <x v="23"/>
    <s v="포털(대)포털(중)"/>
    <s v="동영상플레이어"/>
    <s v="600X314"/>
    <x v="3"/>
    <s v="25.01.27"/>
    <s v="25.01.27"/>
    <s v="GDN"/>
    <n v="52"/>
  </r>
  <r>
    <s v="PC"/>
    <x v="3"/>
    <x v="6"/>
    <s v="가정용 전기전자"/>
    <s v="가사용 전기전자"/>
    <s v="청소기"/>
    <s v="로보락S8MaxVUltra"/>
    <x v="24"/>
    <s v="신문/잡지(대)스포츠신문(중)"/>
    <s v="야구"/>
    <s v="1200X600"/>
    <x v="3"/>
    <s v="25.01.02"/>
    <s v="25.01.02"/>
    <s v="카카오광고"/>
    <n v="140"/>
  </r>
  <r>
    <s v="PC"/>
    <x v="3"/>
    <x v="6"/>
    <s v="가정용 전기전자"/>
    <s v="가사용 전기전자"/>
    <s v="청소기"/>
    <s v="로보락S8MaxVUltra"/>
    <x v="60"/>
    <s v="신문/잡지(대)종합일간지(중)"/>
    <s v="메인"/>
    <s v="1643X860"/>
    <x v="2"/>
    <s v="25.02.12"/>
    <s v="25.02.12"/>
    <s v="GDN"/>
    <n v="52"/>
  </r>
  <r>
    <s v="PC"/>
    <x v="3"/>
    <x v="6"/>
    <s v="가정용 전기전자"/>
    <s v="가사용 전기전자"/>
    <s v="청소기"/>
    <s v="로보락S8MaxVUltra"/>
    <x v="60"/>
    <s v="신문/잡지(대)종합일간지(중)"/>
    <s v="중앙선데이"/>
    <s v="1200X600"/>
    <x v="3"/>
    <s v="25.01.10"/>
    <s v="25.01.10"/>
    <s v="카카오광고"/>
    <n v="140"/>
  </r>
  <r>
    <s v="PC"/>
    <x v="3"/>
    <x v="7"/>
    <s v="가정용 전기전자"/>
    <s v="가사용 전기전자"/>
    <s v="청소기"/>
    <s v="로보락플렉시프로"/>
    <x v="26"/>
    <s v="포털(대)포털(중)"/>
    <s v="메인"/>
    <s v="1200X600"/>
    <x v="3"/>
    <s v="25.01.28"/>
    <s v="25.01.31"/>
    <s v="카카오광고"/>
    <n v="6328"/>
  </r>
  <r>
    <s v="PC"/>
    <x v="3"/>
    <x v="7"/>
    <s v="가정용 전기전자"/>
    <s v="가사용 전기전자"/>
    <s v="청소기"/>
    <s v="로보락플렉시프로"/>
    <x v="0"/>
    <s v="신문/잡지(대)종합일간지(중)"/>
    <s v="스포츠"/>
    <s v="1200X600"/>
    <x v="3"/>
    <s v="25.01.16"/>
    <s v="25.01.16"/>
    <s v="카카오광고"/>
    <n v="140"/>
  </r>
  <r>
    <s v="PC"/>
    <x v="3"/>
    <x v="7"/>
    <s v="가정용 전기전자"/>
    <s v="가사용 전기전자"/>
    <s v="청소기"/>
    <s v="로보락플렉시프로"/>
    <x v="30"/>
    <s v="방송(대)방송국(중)"/>
    <s v="라이프"/>
    <s v="1200X600"/>
    <x v="3"/>
    <s v="25.01.03"/>
    <s v="25.01.03"/>
    <s v="카카오광고"/>
    <n v="140"/>
  </r>
  <r>
    <s v="PC"/>
    <x v="3"/>
    <x v="7"/>
    <s v="가정용 전기전자"/>
    <s v="가사용 전기전자"/>
    <s v="청소기"/>
    <s v="로보락플렉시프로"/>
    <x v="30"/>
    <s v="방송(대)방송국(중)"/>
    <s v="연예"/>
    <s v="1200X600"/>
    <x v="3"/>
    <s v="25.01.18"/>
    <s v="25.01.18"/>
    <s v="카카오광고"/>
    <n v="140"/>
  </r>
  <r>
    <s v="PC"/>
    <x v="3"/>
    <x v="7"/>
    <s v="가정용 전기전자"/>
    <s v="가사용 전기전자"/>
    <s v="청소기"/>
    <s v="로보락플렉시프로"/>
    <x v="31"/>
    <s v="신문/잡지(대)스포츠신문(중)"/>
    <s v="만화"/>
    <s v="1200X600"/>
    <x v="3"/>
    <s v="25.01.16"/>
    <s v="25.01.16"/>
    <s v="카카오광고"/>
    <n v="140"/>
  </r>
  <r>
    <s v="PC"/>
    <x v="3"/>
    <x v="7"/>
    <s v="가정용 전기전자"/>
    <s v="가사용 전기전자"/>
    <s v="청소기"/>
    <s v="로보락플렉시프로"/>
    <x v="2"/>
    <s v="신문/잡지(대)종합일간지(중)"/>
    <s v="뉴스"/>
    <s v="1200X600"/>
    <x v="3"/>
    <s v="25.01.13"/>
    <s v="25.01.13"/>
    <s v="카카오광고"/>
    <n v="140"/>
  </r>
  <r>
    <s v="PC"/>
    <x v="3"/>
    <x v="7"/>
    <s v="가정용 전기전자"/>
    <s v="가사용 전기전자"/>
    <s v="청소기"/>
    <s v="로보락플렉시프로"/>
    <x v="6"/>
    <s v="생활정보(대)쇼핑/가격정보(중)"/>
    <s v="갤러리"/>
    <s v="1200X600"/>
    <x v="3"/>
    <s v="25.01.13"/>
    <s v="25.01.13"/>
    <s v="카카오광고"/>
    <n v="49"/>
  </r>
  <r>
    <s v="PC"/>
    <x v="3"/>
    <x v="7"/>
    <s v="가정용 전기전자"/>
    <s v="가사용 전기전자"/>
    <s v="청소기"/>
    <s v="로보락플렉시프로"/>
    <x v="6"/>
    <s v="생활정보(대)쇼핑/가격정보(중)"/>
    <s v="갤러리"/>
    <s v="1200X600"/>
    <x v="3"/>
    <s v="25.01.31"/>
    <s v="25.01.31"/>
    <s v="카카오광고"/>
    <n v="49"/>
  </r>
  <r>
    <s v="PC"/>
    <x v="3"/>
    <x v="7"/>
    <s v="가정용 전기전자"/>
    <s v="가사용 전기전자"/>
    <s v="청소기"/>
    <s v="로보락플렉시프로"/>
    <x v="11"/>
    <s v="신문/잡지(대)종합일간지(중)"/>
    <s v="오피니언"/>
    <s v="1200X600"/>
    <x v="3"/>
    <s v="25.01.14"/>
    <s v="25.01.14"/>
    <s v="카카오광고"/>
    <n v="140"/>
  </r>
  <r>
    <s v="PC"/>
    <x v="3"/>
    <x v="7"/>
    <s v="가정용 전기전자"/>
    <s v="가사용 전기전자"/>
    <s v="청소기"/>
    <s v="로보락플렉시프로"/>
    <x v="11"/>
    <s v="신문/잡지(대)종합일간지(중)"/>
    <s v="왱"/>
    <s v="1200X600"/>
    <x v="3"/>
    <s v="25.01.01"/>
    <s v="25.01.01"/>
    <s v="카카오광고"/>
    <n v="140"/>
  </r>
  <r>
    <s v="PC"/>
    <x v="3"/>
    <x v="7"/>
    <s v="가정용 전기전자"/>
    <s v="가사용 전기전자"/>
    <s v="청소기"/>
    <s v="로보락플렉시프로"/>
    <x v="11"/>
    <s v="신문/잡지(대)종합일간지(중)"/>
    <s v="왱"/>
    <s v="1200X600"/>
    <x v="3"/>
    <s v="25.01.07"/>
    <s v="25.01.07"/>
    <s v="카카오광고"/>
    <n v="140"/>
  </r>
  <r>
    <s v="PC"/>
    <x v="3"/>
    <x v="7"/>
    <s v="가정용 전기전자"/>
    <s v="가사용 전기전자"/>
    <s v="청소기"/>
    <s v="로보락플렉시프로"/>
    <x v="11"/>
    <s v="신문/잡지(대)종합일간지(중)"/>
    <s v="왱"/>
    <s v="1200X600"/>
    <x v="3"/>
    <s v="25.01.25"/>
    <s v="25.01.25"/>
    <s v="카카오광고"/>
    <n v="140"/>
  </r>
  <r>
    <s v="PC"/>
    <x v="3"/>
    <x v="7"/>
    <s v="가정용 전기전자"/>
    <s v="가사용 전기전자"/>
    <s v="청소기"/>
    <s v="로보락플렉시프로"/>
    <x v="47"/>
    <s v="신문/잡지(대)온라인뉴스(중)"/>
    <s v="뉴스"/>
    <s v="1200X600"/>
    <x v="3"/>
    <s v="25.01.06"/>
    <s v="25.01.06"/>
    <s v="카카오광고"/>
    <n v="140"/>
  </r>
  <r>
    <s v="PC"/>
    <x v="3"/>
    <x v="7"/>
    <s v="가정용 전기전자"/>
    <s v="가사용 전기전자"/>
    <s v="청소기"/>
    <s v="로보락플렉시프로"/>
    <x v="54"/>
    <s v="신문/잡지(대)스포츠신문(중)"/>
    <s v="비즈포커스"/>
    <s v="1200X600"/>
    <x v="3"/>
    <s v="25.01.23"/>
    <s v="25.01.23"/>
    <s v="카카오광고"/>
    <n v="140"/>
  </r>
  <r>
    <s v="PC"/>
    <x v="3"/>
    <x v="7"/>
    <s v="가정용 전기전자"/>
    <s v="가사용 전기전자"/>
    <s v="청소기"/>
    <s v="로보락플렉시프로"/>
    <x v="54"/>
    <s v="신문/잡지(대)스포츠신문(중)"/>
    <s v="스포츠"/>
    <s v="1200X600"/>
    <x v="3"/>
    <s v="25.01.17"/>
    <s v="25.01.17"/>
    <s v="카카오광고"/>
    <n v="140"/>
  </r>
  <r>
    <s v="PC"/>
    <x v="3"/>
    <x v="7"/>
    <s v="가정용 전기전자"/>
    <s v="가사용 전기전자"/>
    <s v="청소기"/>
    <s v="로보락플렉시프로"/>
    <x v="24"/>
    <s v="신문/잡지(대)스포츠신문(중)"/>
    <s v="게임"/>
    <s v="1200X600"/>
    <x v="3"/>
    <s v="25.01.16"/>
    <s v="25.01.17"/>
    <s v="카카오광고"/>
    <n v="280"/>
  </r>
  <r>
    <s v="PC"/>
    <x v="3"/>
    <x v="7"/>
    <s v="가정용 전기전자"/>
    <s v="가사용 전기전자"/>
    <s v="청소기"/>
    <s v="로보락플렉시프로"/>
    <x v="24"/>
    <s v="신문/잡지(대)스포츠신문(중)"/>
    <s v="연예"/>
    <s v="1200X600"/>
    <x v="3"/>
    <s v="25.01.07"/>
    <s v="25.01.07"/>
    <s v="카카오광고"/>
    <n v="140"/>
  </r>
  <r>
    <s v="PC"/>
    <x v="3"/>
    <x v="7"/>
    <s v="가정용 전기전자"/>
    <s v="가사용 전기전자"/>
    <s v="청소기"/>
    <s v="로보락플렉시프로"/>
    <x v="61"/>
    <s v="방송(대)방송기타(중)"/>
    <s v="검색"/>
    <s v="1200X600"/>
    <x v="3"/>
    <s v="25.01.23"/>
    <s v="25.01.23"/>
    <s v="카카오광고"/>
    <n v="140"/>
  </r>
  <r>
    <s v="PC"/>
    <x v="3"/>
    <x v="8"/>
    <s v="가정용 전기전자"/>
    <s v="가사용 전기전자"/>
    <s v="청소기"/>
    <s v="로보락Q레보프로"/>
    <x v="26"/>
    <s v="포털(대)포털(중)"/>
    <s v="메인"/>
    <s v="1200X600"/>
    <x v="3"/>
    <s v="25.01.14"/>
    <s v="25.01.19"/>
    <s v="카카오광고"/>
    <n v="9492"/>
  </r>
  <r>
    <s v="PC"/>
    <x v="3"/>
    <x v="8"/>
    <s v="가정용 전기전자"/>
    <s v="가사용 전기전자"/>
    <s v="청소기"/>
    <s v="로보락Q레보프로"/>
    <x v="26"/>
    <s v="포털(대)포털(중)"/>
    <s v="메인"/>
    <s v="1200X600"/>
    <x v="3"/>
    <s v="25.01.20"/>
    <s v="25.01.20"/>
    <s v="카카오광고"/>
    <n v="1582"/>
  </r>
  <r>
    <s v="PC"/>
    <x v="3"/>
    <x v="8"/>
    <s v="가정용 전기전자"/>
    <s v="가사용 전기전자"/>
    <s v="청소기"/>
    <s v="로보락Q레보프로"/>
    <x v="26"/>
    <s v="포털(대)포털(중)"/>
    <s v="메인"/>
    <s v="1200X600"/>
    <x v="3"/>
    <s v="25.01.31"/>
    <s v="25.01.31"/>
    <s v="카카오광고"/>
    <n v="1582"/>
  </r>
  <r>
    <s v="PC"/>
    <x v="3"/>
    <x v="8"/>
    <s v="가정용 전기전자"/>
    <s v="가사용 전기전자"/>
    <s v="청소기"/>
    <s v="로보락Q레보프로"/>
    <x v="30"/>
    <s v="방송(대)방송국(중)"/>
    <s v="시사교양"/>
    <s v="1200X600"/>
    <x v="3"/>
    <s v="25.01.05"/>
    <s v="25.01.05"/>
    <s v="카카오광고"/>
    <n v="140"/>
  </r>
  <r>
    <s v="PC"/>
    <x v="3"/>
    <x v="8"/>
    <s v="가정용 전기전자"/>
    <s v="가사용 전기전자"/>
    <s v="청소기"/>
    <s v="로보락Q레보프로"/>
    <x v="30"/>
    <s v="방송(대)방송국(중)"/>
    <s v="시사교양"/>
    <s v="1200X600"/>
    <x v="3"/>
    <s v="25.01.09"/>
    <s v="25.01.09"/>
    <s v="카카오광고"/>
    <n v="140"/>
  </r>
  <r>
    <s v="PC"/>
    <x v="3"/>
    <x v="8"/>
    <s v="가정용 전기전자"/>
    <s v="가사용 전기전자"/>
    <s v="청소기"/>
    <s v="로보락Q레보프로"/>
    <x v="31"/>
    <s v="신문/잡지(대)스포츠신문(중)"/>
    <s v="만화"/>
    <s v="1200X600"/>
    <x v="3"/>
    <s v="25.01.31"/>
    <s v="25.01.31"/>
    <s v="카카오광고"/>
    <n v="140"/>
  </r>
  <r>
    <s v="PC"/>
    <x v="3"/>
    <x v="8"/>
    <s v="가정용 전기전자"/>
    <s v="가사용 전기전자"/>
    <s v="청소기"/>
    <s v="로보락Q레보프로"/>
    <x v="31"/>
    <s v="신문/잡지(대)스포츠신문(중)"/>
    <s v="축구"/>
    <s v="1200X600"/>
    <x v="3"/>
    <s v="25.01.07"/>
    <s v="25.01.07"/>
    <s v="카카오광고"/>
    <n v="140"/>
  </r>
  <r>
    <s v="PC"/>
    <x v="3"/>
    <x v="8"/>
    <s v="가정용 전기전자"/>
    <s v="가사용 전기전자"/>
    <s v="청소기"/>
    <s v="로보락Q레보프로"/>
    <x v="32"/>
    <s v="신문/잡지(대)스포츠신문(중)"/>
    <s v="라이프"/>
    <s v="1200X600"/>
    <x v="3"/>
    <s v="25.01.02"/>
    <s v="25.01.02"/>
    <s v="카카오광고"/>
    <n v="140"/>
  </r>
  <r>
    <s v="PC"/>
    <x v="3"/>
    <x v="8"/>
    <s v="가정용 전기전자"/>
    <s v="가사용 전기전자"/>
    <s v="청소기"/>
    <s v="로보락Q레보프로"/>
    <x v="2"/>
    <s v="신문/잡지(대)종합일간지(중)"/>
    <s v="스포츠"/>
    <s v="1200X600"/>
    <x v="3"/>
    <s v="25.01.29"/>
    <s v="25.01.29"/>
    <s v="카카오광고"/>
    <n v="140"/>
  </r>
  <r>
    <s v="PC"/>
    <x v="3"/>
    <x v="8"/>
    <s v="가정용 전기전자"/>
    <s v="가사용 전기전자"/>
    <s v="청소기"/>
    <s v="로보락Q레보프로"/>
    <x v="11"/>
    <s v="신문/잡지(대)종합일간지(중)"/>
    <s v="경제"/>
    <s v="1200X600"/>
    <x v="3"/>
    <s v="25.01.04"/>
    <s v="25.01.04"/>
    <s v="카카오광고"/>
    <n v="140"/>
  </r>
  <r>
    <s v="PC"/>
    <x v="3"/>
    <x v="8"/>
    <s v="가정용 전기전자"/>
    <s v="가사용 전기전자"/>
    <s v="청소기"/>
    <s v="로보락Q레보프로"/>
    <x v="11"/>
    <s v="신문/잡지(대)종합일간지(중)"/>
    <s v="경제"/>
    <s v="1200X600"/>
    <x v="3"/>
    <s v="25.01.07"/>
    <s v="25.01.07"/>
    <s v="카카오광고"/>
    <n v="140"/>
  </r>
  <r>
    <s v="PC"/>
    <x v="3"/>
    <x v="8"/>
    <s v="가정용 전기전자"/>
    <s v="가사용 전기전자"/>
    <s v="청소기"/>
    <s v="로보락Q레보프로"/>
    <x v="42"/>
    <s v="신문/잡지(대)경제신문(중)"/>
    <s v="포토/영상"/>
    <s v="1200X600"/>
    <x v="3"/>
    <s v="25.01.03"/>
    <s v="25.01.03"/>
    <s v="카카오광고"/>
    <n v="140"/>
  </r>
  <r>
    <s v="PC"/>
    <x v="3"/>
    <x v="8"/>
    <s v="가정용 전기전자"/>
    <s v="가사용 전기전자"/>
    <s v="청소기"/>
    <s v="로보락Q레보프로"/>
    <x v="22"/>
    <s v="커뮤니티(대)게시판(중)"/>
    <s v="취미갤러리"/>
    <s v="1200X600"/>
    <x v="3"/>
    <s v="25.01.01"/>
    <s v="25.01.01"/>
    <s v="카카오광고"/>
    <n v="140"/>
  </r>
  <r>
    <s v="PC"/>
    <x v="3"/>
    <x v="8"/>
    <s v="가정용 전기전자"/>
    <s v="가사용 전기전자"/>
    <s v="청소기"/>
    <s v="로보락Q레보프로"/>
    <x v="24"/>
    <s v="신문/잡지(대)스포츠신문(중)"/>
    <s v="오피니언"/>
    <s v="1200X600"/>
    <x v="3"/>
    <s v="25.01.02"/>
    <s v="25.01.04"/>
    <s v="카카오광고"/>
    <n v="420"/>
  </r>
  <r>
    <s v="PC"/>
    <x v="3"/>
    <x v="8"/>
    <s v="가정용 전기전자"/>
    <s v="가사용 전기전자"/>
    <s v="청소기"/>
    <s v="로보락Q레보프로"/>
    <x v="24"/>
    <s v="신문/잡지(대)스포츠신문(중)"/>
    <s v="오피니언"/>
    <s v="1200X600"/>
    <x v="3"/>
    <s v="25.01.27"/>
    <s v="25.01.27"/>
    <s v="카카오광고"/>
    <n v="140"/>
  </r>
  <r>
    <s v="PC"/>
    <x v="3"/>
    <x v="9"/>
    <s v="가정용 전기전자"/>
    <s v="가사용 전기전자"/>
    <s v="청소기"/>
    <s v="로보락H5"/>
    <x v="62"/>
    <s v="생활정보(대)쇼핑/가격정보(중)"/>
    <s v="디지털/가전"/>
    <s v="605X220"/>
    <x v="0"/>
    <s v="25.04.11"/>
    <s v="25.04.11"/>
    <s v="-"/>
    <n v="16"/>
  </r>
  <r>
    <s v="PC"/>
    <x v="3"/>
    <x v="10"/>
    <s v="가정용 전기전자"/>
    <s v="가사용 전기전자"/>
    <s v="청소기"/>
    <s v="로보락Q레보커브"/>
    <x v="26"/>
    <s v="포털(대)포털(중)"/>
    <s v="메인"/>
    <s v="1200X600"/>
    <x v="3"/>
    <s v="25.01.14"/>
    <s v="25.01.15"/>
    <s v="카카오광고"/>
    <n v="3164"/>
  </r>
  <r>
    <s v="PC"/>
    <x v="3"/>
    <x v="10"/>
    <s v="가정용 전기전자"/>
    <s v="가사용 전기전자"/>
    <s v="청소기"/>
    <s v="로보락Q레보커브"/>
    <x v="32"/>
    <s v="신문/잡지(대)스포츠신문(중)"/>
    <s v="스포츠"/>
    <s v="1200X600"/>
    <x v="3"/>
    <s v="25.01.17"/>
    <s v="25.01.17"/>
    <s v="카카오광고"/>
    <n v="140"/>
  </r>
  <r>
    <s v="PC"/>
    <x v="3"/>
    <x v="10"/>
    <s v="가정용 전기전자"/>
    <s v="가사용 전기전자"/>
    <s v="청소기"/>
    <s v="로보락Q레보커브"/>
    <x v="2"/>
    <s v="신문/잡지(대)종합일간지(중)"/>
    <s v="스포츠동아"/>
    <s v="1200X600"/>
    <x v="3"/>
    <s v="25.01.31"/>
    <s v="25.01.31"/>
    <s v="카카오광고"/>
    <n v="140"/>
  </r>
  <r>
    <s v="PC"/>
    <x v="3"/>
    <x v="10"/>
    <s v="가정용 전기전자"/>
    <s v="가사용 전기전자"/>
    <s v="청소기"/>
    <s v="로보락Q레보커브"/>
    <x v="4"/>
    <s v="신문/잡지(대)종합일간지(중)"/>
    <s v="정치"/>
    <s v="600X314"/>
    <x v="3"/>
    <s v="25.01.01"/>
    <s v="25.01.02"/>
    <s v="GDN"/>
    <n v="104"/>
  </r>
  <r>
    <s v="PC"/>
    <x v="3"/>
    <x v="10"/>
    <s v="가정용 전기전자"/>
    <s v="가사용 전기전자"/>
    <s v="청소기"/>
    <s v="로보락Q레보커브"/>
    <x v="6"/>
    <s v="생활정보(대)쇼핑/가격정보(중)"/>
    <s v="마이너갤러리"/>
    <s v="1200X600"/>
    <x v="3"/>
    <s v="25.01.29"/>
    <s v="25.01.31"/>
    <s v="카카오광고"/>
    <n v="147"/>
  </r>
  <r>
    <s v="PC"/>
    <x v="3"/>
    <x v="10"/>
    <s v="가정용 전기전자"/>
    <s v="가사용 전기전자"/>
    <s v="청소기"/>
    <s v="로보락Q레보커브"/>
    <x v="13"/>
    <s v="신문/잡지(대)IT관련 뉴스(중)"/>
    <s v="산업"/>
    <s v="1200X600"/>
    <x v="3"/>
    <s v="25.01.27"/>
    <s v="25.01.27"/>
    <s v="카카오광고"/>
    <n v="140"/>
  </r>
  <r>
    <s v="PC"/>
    <x v="3"/>
    <x v="10"/>
    <s v="가정용 전기전자"/>
    <s v="가사용 전기전자"/>
    <s v="청소기"/>
    <s v="로보락Q레보커브"/>
    <x v="58"/>
    <s v="방송(대)방송기타(중)"/>
    <s v="로그인"/>
    <s v="1200X600"/>
    <x v="3"/>
    <s v="25.01.29"/>
    <s v="25.01.29"/>
    <s v="카카오광고"/>
    <n v="140"/>
  </r>
  <r>
    <s v="PC"/>
    <x v="3"/>
    <x v="10"/>
    <s v="가정용 전기전자"/>
    <s v="가사용 전기전자"/>
    <s v="청소기"/>
    <s v="로보락Q레보커브"/>
    <x v="24"/>
    <s v="신문/잡지(대)스포츠신문(중)"/>
    <s v="경제"/>
    <s v="1200X600"/>
    <x v="3"/>
    <s v="25.01.31"/>
    <s v="25.01.31"/>
    <s v="카카오광고"/>
    <n v="140"/>
  </r>
  <r>
    <s v="PC"/>
    <x v="3"/>
    <x v="10"/>
    <s v="가정용 전기전자"/>
    <s v="가사용 전기전자"/>
    <s v="청소기"/>
    <s v="로보락Q레보커브"/>
    <x v="24"/>
    <s v="신문/잡지(대)스포츠신문(중)"/>
    <s v="스포츠"/>
    <s v="1200X600"/>
    <x v="3"/>
    <s v="25.01.13"/>
    <s v="25.01.13"/>
    <s v="카카오광고"/>
    <n v="140"/>
  </r>
  <r>
    <s v="PC"/>
    <x v="3"/>
    <x v="11"/>
    <s v="가정용 전기전자"/>
    <s v="가사용 전기전자"/>
    <s v="청소기"/>
    <s v="로보락S9MaxV"/>
    <x v="26"/>
    <s v="포털(대)포털(중)"/>
    <s v="금융"/>
    <s v="500X500"/>
    <x v="4"/>
    <s v="25.03.25"/>
    <s v="25.03.27"/>
    <s v="카카오광고"/>
    <n v="5966"/>
  </r>
  <r>
    <s v="PC"/>
    <x v="3"/>
    <x v="11"/>
    <s v="가정용 전기전자"/>
    <s v="가사용 전기전자"/>
    <s v="청소기"/>
    <s v="로보락S9MaxV"/>
    <x v="26"/>
    <s v="포털(대)포털(중)"/>
    <s v="메인"/>
    <s v="1200X600"/>
    <x v="2"/>
    <s v="25.02.05"/>
    <s v="25.02.09"/>
    <s v="카카오광고"/>
    <n v="8899"/>
  </r>
  <r>
    <s v="PC"/>
    <x v="3"/>
    <x v="11"/>
    <s v="가정용 전기전자"/>
    <s v="가사용 전기전자"/>
    <s v="청소기"/>
    <s v="로보락S9MaxV"/>
    <x v="26"/>
    <s v="포털(대)포털(중)"/>
    <s v="메인"/>
    <s v="1200X600"/>
    <x v="2"/>
    <s v="25.02.10"/>
    <s v="25.02.16"/>
    <s v="카카오광고"/>
    <n v="12458"/>
  </r>
  <r>
    <s v="PC"/>
    <x v="3"/>
    <x v="11"/>
    <s v="가정용 전기전자"/>
    <s v="가사용 전기전자"/>
    <s v="청소기"/>
    <s v="로보락S9MaxV"/>
    <x v="26"/>
    <s v="포털(대)포털(중)"/>
    <s v="메인"/>
    <s v="1200X600"/>
    <x v="2"/>
    <s v="25.02.18"/>
    <s v="25.02.23"/>
    <s v="카카오광고"/>
    <n v="10679"/>
  </r>
  <r>
    <s v="PC"/>
    <x v="3"/>
    <x v="11"/>
    <s v="가정용 전기전자"/>
    <s v="가사용 전기전자"/>
    <s v="청소기"/>
    <s v="로보락S9MaxV"/>
    <x v="26"/>
    <s v="포털(대)포털(중)"/>
    <s v="메인"/>
    <s v="1200X600"/>
    <x v="2"/>
    <s v="25.02.24"/>
    <s v="25.02.28"/>
    <s v="카카오광고"/>
    <n v="8899"/>
  </r>
  <r>
    <s v="PC"/>
    <x v="3"/>
    <x v="11"/>
    <s v="가정용 전기전자"/>
    <s v="가사용 전기전자"/>
    <s v="청소기"/>
    <s v="로보락S9MaxV"/>
    <x v="26"/>
    <s v="포털(대)포털(중)"/>
    <s v="메인"/>
    <s v="1200X600"/>
    <x v="4"/>
    <s v="25.03.19"/>
    <s v="25.03.19"/>
    <s v="카카오광고"/>
    <n v="1989"/>
  </r>
  <r>
    <s v="PC"/>
    <x v="3"/>
    <x v="11"/>
    <s v="가정용 전기전자"/>
    <s v="가사용 전기전자"/>
    <s v="청소기"/>
    <s v="로보락S9MaxV"/>
    <x v="26"/>
    <s v="포털(대)포털(중)"/>
    <s v="메인"/>
    <s v="1200X600"/>
    <x v="0"/>
    <s v="25.04.08"/>
    <s v="25.04.08"/>
    <s v="카카오광고"/>
    <n v="1989"/>
  </r>
  <r>
    <s v="PC"/>
    <x v="3"/>
    <x v="11"/>
    <s v="가정용 전기전자"/>
    <s v="가사용 전기전자"/>
    <s v="청소기"/>
    <s v="로보락S9MaxV"/>
    <x v="63"/>
    <s v="포털(대)포털(중)"/>
    <s v="메인"/>
    <s v="640X360"/>
    <x v="2"/>
    <s v="25.02.21"/>
    <s v="25.02.21"/>
    <s v="-"/>
    <n v="27"/>
  </r>
  <r>
    <s v="PC"/>
    <x v="3"/>
    <x v="11"/>
    <s v="가정용 전기전자"/>
    <s v="가사용 전기전자"/>
    <s v="청소기"/>
    <s v="로보락S9MaxV"/>
    <x v="63"/>
    <s v="포털(대)포털(중)"/>
    <s v="메인"/>
    <s v="750X100"/>
    <x v="2"/>
    <s v="25.02.21"/>
    <s v="25.02.21"/>
    <s v="-"/>
    <n v="28577"/>
  </r>
  <r>
    <s v="PC"/>
    <x v="3"/>
    <x v="11"/>
    <s v="가정용 전기전자"/>
    <s v="가사용 전기전자"/>
    <s v="청소기"/>
    <s v="로보락S9MaxV"/>
    <x v="27"/>
    <s v="포털(대)포털(중)"/>
    <s v="네이트뷰"/>
    <s v="1200X1200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27"/>
    <s v="포털(대)포털(중)"/>
    <s v="네이트뷰"/>
    <s v="600X314"/>
    <x v="0"/>
    <s v="25.04.11"/>
    <s v="25.04.11"/>
    <s v="GDN"/>
    <n v="62"/>
  </r>
  <r>
    <s v="PC"/>
    <x v="3"/>
    <x v="11"/>
    <s v="가정용 전기전자"/>
    <s v="가사용 전기전자"/>
    <s v="청소기"/>
    <s v="로보락S9MaxV"/>
    <x v="27"/>
    <s v="포털(대)포털(중)"/>
    <s v="연예"/>
    <s v="600X314"/>
    <x v="2"/>
    <s v="25.02.08"/>
    <s v="25.02.08"/>
    <s v="GDN"/>
    <n v="52"/>
  </r>
  <r>
    <s v="PC"/>
    <x v="3"/>
    <x v="11"/>
    <s v="가정용 전기전자"/>
    <s v="가사용 전기전자"/>
    <s v="청소기"/>
    <s v="로보락S9MaxV"/>
    <x v="27"/>
    <s v="포털(대)포털(중)"/>
    <s v="연예"/>
    <s v="600X314"/>
    <x v="2"/>
    <s v="25.02.10"/>
    <s v="25.02.13"/>
    <s v="GDN"/>
    <n v="208"/>
  </r>
  <r>
    <s v="PC"/>
    <x v="3"/>
    <x v="11"/>
    <s v="가정용 전기전자"/>
    <s v="가사용 전기전자"/>
    <s v="청소기"/>
    <s v="로보락S9MaxV"/>
    <x v="28"/>
    <s v="포털(대)포털(중)"/>
    <s v="뉴스"/>
    <s v="600X314"/>
    <x v="2"/>
    <s v="25.02.12"/>
    <s v="25.02.16"/>
    <s v="GDN"/>
    <n v="260"/>
  </r>
  <r>
    <s v="PC"/>
    <x v="3"/>
    <x v="11"/>
    <s v="가정용 전기전자"/>
    <s v="가사용 전기전자"/>
    <s v="청소기"/>
    <s v="로보락S9MaxV"/>
    <x v="0"/>
    <s v="신문/잡지(대)종합일간지(중)"/>
    <s v="뉴스"/>
    <s v="900X1800"/>
    <x v="2"/>
    <s v="25.02.22"/>
    <s v="25.02.23"/>
    <s v="GDN"/>
    <n v="104"/>
  </r>
  <r>
    <s v="PC"/>
    <x v="3"/>
    <x v="11"/>
    <s v="가정용 전기전자"/>
    <s v="가사용 전기전자"/>
    <s v="청소기"/>
    <s v="로보락S9MaxV"/>
    <x v="0"/>
    <s v="신문/잡지(대)종합일간지(중)"/>
    <s v="뉴스"/>
    <s v="1200X600"/>
    <x v="2"/>
    <s v="25.02.28"/>
    <s v="25.02.28"/>
    <s v="카카오광고"/>
    <n v="158"/>
  </r>
  <r>
    <s v="PC"/>
    <x v="3"/>
    <x v="11"/>
    <s v="가정용 전기전자"/>
    <s v="가사용 전기전자"/>
    <s v="청소기"/>
    <s v="로보락S9MaxV"/>
    <x v="0"/>
    <s v="신문/잡지(대)종합일간지(중)"/>
    <s v="메인"/>
    <s v="600X314"/>
    <x v="0"/>
    <s v="25.04.01"/>
    <s v="25.04.01"/>
    <s v="GDN"/>
    <n v="62"/>
  </r>
  <r>
    <s v="PC"/>
    <x v="3"/>
    <x v="11"/>
    <s v="가정용 전기전자"/>
    <s v="가사용 전기전자"/>
    <s v="청소기"/>
    <s v="로보락S9MaxV"/>
    <x v="0"/>
    <s v="신문/잡지(대)종합일간지(중)"/>
    <s v="스포츠조선"/>
    <s v="600X314"/>
    <x v="2"/>
    <s v="25.02.08"/>
    <s v="25.02.08"/>
    <s v="GDN"/>
    <n v="52"/>
  </r>
  <r>
    <s v="PC"/>
    <x v="3"/>
    <x v="11"/>
    <s v="가정용 전기전자"/>
    <s v="가사용 전기전자"/>
    <s v="청소기"/>
    <s v="로보락S9MaxV"/>
    <x v="0"/>
    <s v="신문/잡지(대)종합일간지(중)"/>
    <s v="스포츠조선"/>
    <s v="1200X600"/>
    <x v="2"/>
    <s v="25.02.08"/>
    <s v="25.02.08"/>
    <s v="카카오광고"/>
    <n v="158"/>
  </r>
  <r>
    <s v="PC"/>
    <x v="3"/>
    <x v="11"/>
    <s v="가정용 전기전자"/>
    <s v="가사용 전기전자"/>
    <s v="청소기"/>
    <s v="로보락S9MaxV"/>
    <x v="0"/>
    <s v="신문/잡지(대)종합일간지(중)"/>
    <s v="스포츠조선"/>
    <s v="1200X600"/>
    <x v="2"/>
    <s v="25.02.12"/>
    <s v="25.02.13"/>
    <s v="카카오광고"/>
    <n v="315"/>
  </r>
  <r>
    <s v="PC"/>
    <x v="3"/>
    <x v="11"/>
    <s v="가정용 전기전자"/>
    <s v="가사용 전기전자"/>
    <s v="청소기"/>
    <s v="로보락S9MaxV"/>
    <x v="0"/>
    <s v="신문/잡지(대)종합일간지(중)"/>
    <s v="스포츠조선"/>
    <s v="1200X600"/>
    <x v="0"/>
    <s v="25.04.08"/>
    <s v="25.04.08"/>
    <s v="카카오광고"/>
    <n v="176"/>
  </r>
  <r>
    <s v="PC"/>
    <x v="3"/>
    <x v="11"/>
    <s v="가정용 전기전자"/>
    <s v="가사용 전기전자"/>
    <s v="청소기"/>
    <s v="로보락S9MaxV"/>
    <x v="0"/>
    <s v="신문/잡지(대)종합일간지(중)"/>
    <s v="연예"/>
    <s v="1200X600"/>
    <x v="4"/>
    <s v="25.03.26"/>
    <s v="25.03.30"/>
    <s v="카카오광고"/>
    <n v="880"/>
  </r>
  <r>
    <s v="PC"/>
    <x v="3"/>
    <x v="11"/>
    <s v="가정용 전기전자"/>
    <s v="가사용 전기전자"/>
    <s v="청소기"/>
    <s v="로보락S9MaxV"/>
    <x v="29"/>
    <s v="방송(대)방송국(중)"/>
    <s v="동영상플레이어"/>
    <s v="600X314"/>
    <x v="2"/>
    <s v="25.02.26"/>
    <s v="25.02.26"/>
    <s v="GDN"/>
    <n v="52"/>
  </r>
  <r>
    <s v="PC"/>
    <x v="3"/>
    <x v="11"/>
    <s v="가정용 전기전자"/>
    <s v="가사용 전기전자"/>
    <s v="청소기"/>
    <s v="로보락S9MaxV"/>
    <x v="29"/>
    <s v="방송(대)방송국(중)"/>
    <s v="드라마"/>
    <s v="900X1600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29"/>
    <s v="방송(대)방송국(중)"/>
    <s v="연예"/>
    <s v="900X1600"/>
    <x v="2"/>
    <s v="25.02.11"/>
    <s v="25.02.11"/>
    <s v="GDN"/>
    <n v="52"/>
  </r>
  <r>
    <s v="PC"/>
    <x v="3"/>
    <x v="11"/>
    <s v="가정용 전기전자"/>
    <s v="가사용 전기전자"/>
    <s v="청소기"/>
    <s v="로보락S9MaxV"/>
    <x v="30"/>
    <s v="방송(대)방송국(중)"/>
    <s v="동영상플레이어"/>
    <s v="1200X600"/>
    <x v="4"/>
    <s v="25.03.25"/>
    <s v="25.03.27"/>
    <s v="카카오광고"/>
    <n v="528"/>
  </r>
  <r>
    <s v="PC"/>
    <x v="3"/>
    <x v="11"/>
    <s v="가정용 전기전자"/>
    <s v="가사용 전기전자"/>
    <s v="청소기"/>
    <s v="로보락S9MaxV"/>
    <x v="31"/>
    <s v="신문/잡지(대)스포츠신문(중)"/>
    <s v="경제"/>
    <s v="600X314"/>
    <x v="2"/>
    <s v="25.02.17"/>
    <s v="25.02.17"/>
    <s v="GDN"/>
    <n v="52"/>
  </r>
  <r>
    <s v="PC"/>
    <x v="3"/>
    <x v="11"/>
    <s v="가정용 전기전자"/>
    <s v="가사용 전기전자"/>
    <s v="청소기"/>
    <s v="로보락S9MaxV"/>
    <x v="31"/>
    <s v="신문/잡지(대)스포츠신문(중)"/>
    <s v="메인"/>
    <s v="600X314"/>
    <x v="0"/>
    <s v="25.04.07"/>
    <s v="25.04.07"/>
    <s v="GDN"/>
    <n v="62"/>
  </r>
  <r>
    <s v="PC"/>
    <x v="3"/>
    <x v="11"/>
    <s v="가정용 전기전자"/>
    <s v="가사용 전기전자"/>
    <s v="청소기"/>
    <s v="로보락S9MaxV"/>
    <x v="31"/>
    <s v="신문/잡지(대)스포츠신문(중)"/>
    <s v="야구"/>
    <s v="600X314"/>
    <x v="2"/>
    <s v="25.02.08"/>
    <s v="25.02.08"/>
    <s v="GDN"/>
    <n v="52"/>
  </r>
  <r>
    <s v="PC"/>
    <x v="3"/>
    <x v="11"/>
    <s v="가정용 전기전자"/>
    <s v="가사용 전기전자"/>
    <s v="청소기"/>
    <s v="로보락S9MaxV"/>
    <x v="31"/>
    <s v="신문/잡지(대)스포츠신문(중)"/>
    <s v="야구"/>
    <s v="1200X600"/>
    <x v="2"/>
    <s v="25.02.12"/>
    <s v="25.02.12"/>
    <s v="카카오광고"/>
    <n v="158"/>
  </r>
  <r>
    <s v="PC"/>
    <x v="3"/>
    <x v="11"/>
    <s v="가정용 전기전자"/>
    <s v="가사용 전기전자"/>
    <s v="청소기"/>
    <s v="로보락S9MaxV"/>
    <x v="31"/>
    <s v="신문/잡지(대)스포츠신문(중)"/>
    <s v="전국"/>
    <s v="500X500"/>
    <x v="4"/>
    <s v="25.03.24"/>
    <s v="25.03.26"/>
    <s v="카카오광고"/>
    <n v="528"/>
  </r>
  <r>
    <s v="PC"/>
    <x v="3"/>
    <x v="11"/>
    <s v="가정용 전기전자"/>
    <s v="가사용 전기전자"/>
    <s v="청소기"/>
    <s v="로보락S9MaxV"/>
    <x v="31"/>
    <s v="신문/잡지(대)스포츠신문(중)"/>
    <s v="축구"/>
    <s v="900X750"/>
    <x v="2"/>
    <s v="25.02.10"/>
    <s v="25.02.10"/>
    <s v="GDN"/>
    <n v="52"/>
  </r>
  <r>
    <s v="PC"/>
    <x v="3"/>
    <x v="11"/>
    <s v="가정용 전기전자"/>
    <s v="가사용 전기전자"/>
    <s v="청소기"/>
    <s v="로보락S9MaxV"/>
    <x v="31"/>
    <s v="신문/잡지(대)스포츠신문(중)"/>
    <s v="축구"/>
    <s v="1200X600"/>
    <x v="0"/>
    <s v="25.04.08"/>
    <s v="25.04.11"/>
    <s v="카카오광고"/>
    <n v="704"/>
  </r>
  <r>
    <s v="PC"/>
    <x v="3"/>
    <x v="11"/>
    <s v="가정용 전기전자"/>
    <s v="가사용 전기전자"/>
    <s v="청소기"/>
    <s v="로보락S9MaxV"/>
    <x v="32"/>
    <s v="신문/잡지(대)스포츠신문(중)"/>
    <s v="만화"/>
    <s v="1200X600"/>
    <x v="4"/>
    <s v="25.03.25"/>
    <s v="25.03.25"/>
    <s v="카카오광고"/>
    <n v="176"/>
  </r>
  <r>
    <s v="PC"/>
    <x v="3"/>
    <x v="11"/>
    <s v="가정용 전기전자"/>
    <s v="가사용 전기전자"/>
    <s v="청소기"/>
    <s v="로보락S9MaxV"/>
    <x v="32"/>
    <s v="신문/잡지(대)스포츠신문(중)"/>
    <s v="스포츠"/>
    <s v="600X314"/>
    <x v="2"/>
    <s v="25.02.16"/>
    <s v="25.02.16"/>
    <s v="GDN"/>
    <n v="52"/>
  </r>
  <r>
    <s v="PC"/>
    <x v="3"/>
    <x v="11"/>
    <s v="가정용 전기전자"/>
    <s v="가사용 전기전자"/>
    <s v="청소기"/>
    <s v="로보락S9MaxV"/>
    <x v="32"/>
    <s v="신문/잡지(대)스포츠신문(중)"/>
    <s v="포토"/>
    <s v="600X314"/>
    <x v="2"/>
    <s v="25.02.07"/>
    <s v="25.02.07"/>
    <s v="GDN"/>
    <n v="52"/>
  </r>
  <r>
    <s v="PC"/>
    <x v="3"/>
    <x v="11"/>
    <s v="가정용 전기전자"/>
    <s v="가사용 전기전자"/>
    <s v="청소기"/>
    <s v="로보락S9MaxV"/>
    <x v="32"/>
    <s v="신문/잡지(대)스포츠신문(중)"/>
    <s v="포토"/>
    <s v="600X314"/>
    <x v="2"/>
    <s v="25.02.19"/>
    <s v="25.02.19"/>
    <s v="GDN"/>
    <n v="52"/>
  </r>
  <r>
    <s v="PC"/>
    <x v="3"/>
    <x v="11"/>
    <s v="가정용 전기전자"/>
    <s v="가사용 전기전자"/>
    <s v="청소기"/>
    <s v="로보락S9MaxV"/>
    <x v="32"/>
    <s v="신문/잡지(대)스포츠신문(중)"/>
    <s v="포토"/>
    <s v="1200X600"/>
    <x v="0"/>
    <s v="25.04.10"/>
    <s v="25.04.10"/>
    <s v="카카오광고"/>
    <n v="176"/>
  </r>
  <r>
    <s v="PC"/>
    <x v="3"/>
    <x v="11"/>
    <s v="가정용 전기전자"/>
    <s v="가사용 전기전자"/>
    <s v="청소기"/>
    <s v="로보락S9MaxV"/>
    <x v="2"/>
    <s v="신문/잡지(대)종합일간지(중)"/>
    <s v="동영상플레이어"/>
    <s v="900X1800"/>
    <x v="2"/>
    <s v="25.02.11"/>
    <s v="25.02.13"/>
    <s v="GDN"/>
    <n v="156"/>
  </r>
  <r>
    <s v="PC"/>
    <x v="3"/>
    <x v="11"/>
    <s v="가정용 전기전자"/>
    <s v="가사용 전기전자"/>
    <s v="청소기"/>
    <s v="로보락S9MaxV"/>
    <x v="2"/>
    <s v="신문/잡지(대)종합일간지(중)"/>
    <s v="연예"/>
    <s v="1200X600"/>
    <x v="2"/>
    <s v="25.02.25"/>
    <s v="25.02.25"/>
    <s v="카카오광고"/>
    <n v="158"/>
  </r>
  <r>
    <s v="PC"/>
    <x v="3"/>
    <x v="11"/>
    <s v="가정용 전기전자"/>
    <s v="가사용 전기전자"/>
    <s v="청소기"/>
    <s v="로보락S9MaxV"/>
    <x v="2"/>
    <s v="신문/잡지(대)종합일간지(중)"/>
    <s v="MLB파크"/>
    <s v="600X314"/>
    <x v="2"/>
    <s v="25.02.17"/>
    <s v="25.02.22"/>
    <s v="GDN"/>
    <n v="312"/>
  </r>
  <r>
    <s v="PC"/>
    <x v="3"/>
    <x v="11"/>
    <s v="가정용 전기전자"/>
    <s v="가사용 전기전자"/>
    <s v="청소기"/>
    <s v="로보락S9MaxV"/>
    <x v="2"/>
    <s v="신문/잡지(대)종합일간지(중)"/>
    <s v="MLB파크"/>
    <s v="500X500"/>
    <x v="4"/>
    <s v="25.03.25"/>
    <s v="25.03.30"/>
    <s v="카카오광고"/>
    <n v="1056"/>
  </r>
  <r>
    <s v="PC"/>
    <x v="3"/>
    <x v="11"/>
    <s v="가정용 전기전자"/>
    <s v="가사용 전기전자"/>
    <s v="청소기"/>
    <s v="로보락S9MaxV"/>
    <x v="2"/>
    <s v="신문/잡지(대)종합일간지(중)"/>
    <s v="MLB파크"/>
    <s v="1200X600"/>
    <x v="0"/>
    <s v="25.04.09"/>
    <s v="25.04.09"/>
    <s v="카카오광고"/>
    <n v="176"/>
  </r>
  <r>
    <s v="PC"/>
    <x v="3"/>
    <x v="11"/>
    <s v="가정용 전기전자"/>
    <s v="가사용 전기전자"/>
    <s v="청소기"/>
    <s v="로보락S9MaxV"/>
    <x v="33"/>
    <s v="신문/잡지(대)종합일간지(중)"/>
    <s v="데일리한국"/>
    <s v="600X314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33"/>
    <s v="신문/잡지(대)종합일간지(중)"/>
    <s v="주간한국"/>
    <s v="600X314"/>
    <x v="2"/>
    <s v="25.02.14"/>
    <s v="25.02.14"/>
    <s v="GDN"/>
    <n v="52"/>
  </r>
  <r>
    <s v="PC"/>
    <x v="3"/>
    <x v="11"/>
    <s v="가정용 전기전자"/>
    <s v="가사용 전기전자"/>
    <s v="청소기"/>
    <s v="로보락S9MaxV"/>
    <x v="3"/>
    <s v="검색/저장(대)검색/저장 기타(중)"/>
    <s v="메인"/>
    <s v="600X314"/>
    <x v="2"/>
    <s v="25.02.16"/>
    <s v="25.02.16"/>
    <s v="GDN"/>
    <n v="52"/>
  </r>
  <r>
    <s v="PC"/>
    <x v="3"/>
    <x v="11"/>
    <s v="가정용 전기전자"/>
    <s v="가사용 전기전자"/>
    <s v="청소기"/>
    <s v="로보락S9MaxV"/>
    <x v="4"/>
    <s v="신문/잡지(대)종합일간지(중)"/>
    <s v="경제"/>
    <s v="1200X600"/>
    <x v="4"/>
    <s v="25.03.24"/>
    <s v="25.03.24"/>
    <s v="카카오광고"/>
    <n v="176"/>
  </r>
  <r>
    <s v="PC"/>
    <x v="3"/>
    <x v="11"/>
    <s v="가정용 전기전자"/>
    <s v="가사용 전기전자"/>
    <s v="청소기"/>
    <s v="로보락S9MaxV"/>
    <x v="4"/>
    <s v="신문/잡지(대)종합일간지(중)"/>
    <s v="정치"/>
    <s v="600X314"/>
    <x v="2"/>
    <s v="25.02.08"/>
    <s v="25.02.08"/>
    <s v="GDN"/>
    <n v="52"/>
  </r>
  <r>
    <s v="PC"/>
    <x v="3"/>
    <x v="11"/>
    <s v="가정용 전기전자"/>
    <s v="가사용 전기전자"/>
    <s v="청소기"/>
    <s v="로보락S9MaxV"/>
    <x v="4"/>
    <s v="신문/잡지(대)종합일간지(중)"/>
    <s v="정치"/>
    <s v="600X314"/>
    <x v="2"/>
    <s v="25.02.17"/>
    <s v="25.02.22"/>
    <s v="GDN"/>
    <n v="312"/>
  </r>
  <r>
    <s v="PC"/>
    <x v="3"/>
    <x v="11"/>
    <s v="가정용 전기전자"/>
    <s v="가사용 전기전자"/>
    <s v="청소기"/>
    <s v="로보락S9MaxV"/>
    <x v="64"/>
    <s v="엔터테인먼트(대)영화/공연(중)"/>
    <s v="홈"/>
    <s v="900X1800"/>
    <x v="2"/>
    <s v="25.02.12"/>
    <s v="25.02.12"/>
    <s v="GDN"/>
    <n v="52"/>
  </r>
  <r>
    <s v="PC"/>
    <x v="3"/>
    <x v="11"/>
    <s v="가정용 전기전자"/>
    <s v="가사용 전기전자"/>
    <s v="청소기"/>
    <s v="로보락S9MaxV"/>
    <x v="34"/>
    <s v="신문/잡지(대)온라인뉴스(중)"/>
    <s v="사는 이야기"/>
    <s v="1200X600"/>
    <x v="0"/>
    <s v="25.04.08"/>
    <s v="25.04.09"/>
    <s v="카카오광고"/>
    <n v="352"/>
  </r>
  <r>
    <s v="PC"/>
    <x v="3"/>
    <x v="11"/>
    <s v="가정용 전기전자"/>
    <s v="가사용 전기전자"/>
    <s v="청소기"/>
    <s v="로보락S9MaxV"/>
    <x v="34"/>
    <s v="신문/잡지(대)온라인뉴스(중)"/>
    <s v="지역"/>
    <s v="1200X600"/>
    <x v="4"/>
    <s v="25.03.24"/>
    <s v="25.03.30"/>
    <s v="카카오광고"/>
    <n v="1232"/>
  </r>
  <r>
    <s v="PC"/>
    <x v="3"/>
    <x v="11"/>
    <s v="가정용 전기전자"/>
    <s v="가사용 전기전자"/>
    <s v="청소기"/>
    <s v="로보락S9MaxV"/>
    <x v="5"/>
    <s v="신문/잡지(대)경제신문(중)"/>
    <s v="부동산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5"/>
    <s v="신문/잡지(대)경제신문(중)"/>
    <s v="스포츠"/>
    <s v="1200X600"/>
    <x v="0"/>
    <s v="25.04.09"/>
    <s v="25.04.09"/>
    <s v="카카오광고"/>
    <n v="176"/>
  </r>
  <r>
    <s v="PC"/>
    <x v="3"/>
    <x v="11"/>
    <s v="가정용 전기전자"/>
    <s v="가사용 전기전자"/>
    <s v="청소기"/>
    <s v="로보락S9MaxV"/>
    <x v="6"/>
    <s v="생활정보(대)쇼핑/가격정보(중)"/>
    <s v="갤러리"/>
    <s v="900X750"/>
    <x v="2"/>
    <s v="25.02.12"/>
    <s v="25.02.16"/>
    <s v="GDN"/>
    <n v="91"/>
  </r>
  <r>
    <s v="PC"/>
    <x v="3"/>
    <x v="11"/>
    <s v="가정용 전기전자"/>
    <s v="가사용 전기전자"/>
    <s v="청소기"/>
    <s v="로보락S9MaxV"/>
    <x v="6"/>
    <s v="생활정보(대)쇼핑/가격정보(중)"/>
    <s v="갤러리"/>
    <s v="1200X600"/>
    <x v="4"/>
    <s v="25.03.23"/>
    <s v="25.03.23"/>
    <s v="카카오광고"/>
    <n v="62"/>
  </r>
  <r>
    <s v="PC"/>
    <x v="3"/>
    <x v="11"/>
    <s v="가정용 전기전자"/>
    <s v="가사용 전기전자"/>
    <s v="청소기"/>
    <s v="로보락S9MaxV"/>
    <x v="6"/>
    <s v="생활정보(대)쇼핑/가격정보(중)"/>
    <s v="로그인"/>
    <s v="1200X600"/>
    <x v="2"/>
    <s v="25.02.09"/>
    <s v="25.02.09"/>
    <s v="카카오광고"/>
    <n v="55"/>
  </r>
  <r>
    <s v="PC"/>
    <x v="3"/>
    <x v="11"/>
    <s v="가정용 전기전자"/>
    <s v="가사용 전기전자"/>
    <s v="청소기"/>
    <s v="로보락S9MaxV"/>
    <x v="6"/>
    <s v="생활정보(대)쇼핑/가격정보(중)"/>
    <s v="로그인"/>
    <s v="1200X600"/>
    <x v="2"/>
    <s v="25.02.10"/>
    <s v="25.02.16"/>
    <s v="카카오광고"/>
    <n v="386"/>
  </r>
  <r>
    <s v="PC"/>
    <x v="3"/>
    <x v="11"/>
    <s v="가정용 전기전자"/>
    <s v="가사용 전기전자"/>
    <s v="청소기"/>
    <s v="로보락S9MaxV"/>
    <x v="6"/>
    <s v="생활정보(대)쇼핑/가격정보(중)"/>
    <s v="마이너갤러리"/>
    <s v="1200X600"/>
    <x v="4"/>
    <s v="25.03.25"/>
    <s v="25.03.25"/>
    <s v="카카오광고"/>
    <n v="62"/>
  </r>
  <r>
    <s v="PC"/>
    <x v="3"/>
    <x v="11"/>
    <s v="가정용 전기전자"/>
    <s v="가사용 전기전자"/>
    <s v="청소기"/>
    <s v="로보락S9MaxV"/>
    <x v="6"/>
    <s v="생활정보(대)쇼핑/가격정보(중)"/>
    <s v="마이너갤러리"/>
    <s v="1200X600"/>
    <x v="0"/>
    <s v="25.04.09"/>
    <s v="25.04.12"/>
    <s v="카카오광고"/>
    <n v="246"/>
  </r>
  <r>
    <s v="PC"/>
    <x v="3"/>
    <x v="11"/>
    <s v="가정용 전기전자"/>
    <s v="가사용 전기전자"/>
    <s v="청소기"/>
    <s v="로보락S9MaxV"/>
    <x v="6"/>
    <s v="생활정보(대)쇼핑/가격정보(중)"/>
    <s v="마이너갤러리"/>
    <s v="1200X600"/>
    <x v="0"/>
    <s v="25.04.15"/>
    <s v="25.04.16"/>
    <s v="카카오광고"/>
    <n v="123"/>
  </r>
  <r>
    <s v="PC"/>
    <x v="3"/>
    <x v="11"/>
    <s v="가정용 전기전자"/>
    <s v="가사용 전기전자"/>
    <s v="청소기"/>
    <s v="로보락S9MaxV"/>
    <x v="6"/>
    <s v="생활정보(대)쇼핑/가격정보(중)"/>
    <s v="미니갤러리"/>
    <s v="1200X600"/>
    <x v="2"/>
    <s v="25.02.17"/>
    <s v="25.02.17"/>
    <s v="카카오광고"/>
    <n v="55"/>
  </r>
  <r>
    <s v="PC"/>
    <x v="3"/>
    <x v="11"/>
    <s v="가정용 전기전자"/>
    <s v="가사용 전기전자"/>
    <s v="청소기"/>
    <s v="로보락S9MaxV"/>
    <x v="6"/>
    <s v="생활정보(대)쇼핑/가격정보(중)"/>
    <s v="미니갤러리"/>
    <s v="1200X600"/>
    <x v="4"/>
    <s v="25.03.02"/>
    <s v="25.03.02"/>
    <s v="카카오광고"/>
    <n v="62"/>
  </r>
  <r>
    <s v="PC"/>
    <x v="3"/>
    <x v="11"/>
    <s v="가정용 전기전자"/>
    <s v="가사용 전기전자"/>
    <s v="청소기"/>
    <s v="로보락S9MaxV"/>
    <x v="6"/>
    <s v="생활정보(대)쇼핑/가격정보(중)"/>
    <s v="미니갤러리"/>
    <s v="1200X600"/>
    <x v="4"/>
    <s v="25.03.03"/>
    <s v="25.03.03"/>
    <s v="카카오광고"/>
    <n v="62"/>
  </r>
  <r>
    <s v="PC"/>
    <x v="3"/>
    <x v="11"/>
    <s v="가정용 전기전자"/>
    <s v="가사용 전기전자"/>
    <s v="청소기"/>
    <s v="로보락S9MaxV"/>
    <x v="6"/>
    <s v="생활정보(대)쇼핑/가격정보(중)"/>
    <s v="미니갤러리"/>
    <s v="1200X600"/>
    <x v="0"/>
    <s v="25.04.01"/>
    <s v="25.04.01"/>
    <s v="카카오광고"/>
    <n v="62"/>
  </r>
  <r>
    <s v="PC"/>
    <x v="3"/>
    <x v="11"/>
    <s v="가정용 전기전자"/>
    <s v="가사용 전기전자"/>
    <s v="청소기"/>
    <s v="로보락S9MaxV"/>
    <x v="7"/>
    <s v="신문/잡지(대)온라인뉴스(중)"/>
    <s v="여행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7"/>
    <s v="신문/잡지(대)온라인뉴스(중)"/>
    <s v="정치"/>
    <s v="600X314"/>
    <x v="2"/>
    <s v="25.02.11"/>
    <s v="25.02.16"/>
    <s v="GDN"/>
    <n v="312"/>
  </r>
  <r>
    <s v="PC"/>
    <x v="3"/>
    <x v="11"/>
    <s v="가정용 전기전자"/>
    <s v="가사용 전기전자"/>
    <s v="청소기"/>
    <s v="로보락S9MaxV"/>
    <x v="35"/>
    <s v="신문/잡지(대)종합일간지(중)"/>
    <s v="사람과사람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35"/>
    <s v="신문/잡지(대)종합일간지(중)"/>
    <s v="스포츠"/>
    <s v="600X314"/>
    <x v="2"/>
    <s v="25.02.14"/>
    <s v="25.02.14"/>
    <s v="GDN"/>
    <n v="52"/>
  </r>
  <r>
    <s v="PC"/>
    <x v="3"/>
    <x v="11"/>
    <s v="가정용 전기전자"/>
    <s v="가사용 전기전자"/>
    <s v="청소기"/>
    <s v="로보락S9MaxV"/>
    <x v="35"/>
    <s v="신문/잡지(대)종합일간지(중)"/>
    <s v="정치"/>
    <s v="1200X600"/>
    <x v="4"/>
    <s v="25.03.26"/>
    <s v="25.03.26"/>
    <s v="카카오광고"/>
    <n v="176"/>
  </r>
  <r>
    <s v="PC"/>
    <x v="3"/>
    <x v="11"/>
    <s v="가정용 전기전자"/>
    <s v="가사용 전기전자"/>
    <s v="청소기"/>
    <s v="로보락S9MaxV"/>
    <x v="36"/>
    <s v="신문/잡지(대)종합일간지(중)"/>
    <s v="뉴스"/>
    <s v="600X314"/>
    <x v="2"/>
    <s v="25.02.17"/>
    <s v="25.02.22"/>
    <s v="GDN"/>
    <n v="312"/>
  </r>
  <r>
    <s v="PC"/>
    <x v="3"/>
    <x v="11"/>
    <s v="가정용 전기전자"/>
    <s v="가사용 전기전자"/>
    <s v="청소기"/>
    <s v="로보락S9MaxV"/>
    <x v="8"/>
    <s v="신문/잡지(대)경제신문(중)"/>
    <s v="국제"/>
    <s v="500X500"/>
    <x v="4"/>
    <s v="25.03.28"/>
    <s v="25.03.28"/>
    <s v="카카오광고"/>
    <n v="176"/>
  </r>
  <r>
    <s v="PC"/>
    <x v="3"/>
    <x v="11"/>
    <s v="가정용 전기전자"/>
    <s v="가사용 전기전자"/>
    <s v="청소기"/>
    <s v="로보락S9MaxV"/>
    <x v="8"/>
    <s v="신문/잡지(대)경제신문(중)"/>
    <s v="메인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8"/>
    <s v="신문/잡지(대)경제신문(중)"/>
    <s v="집코노미"/>
    <s v="600X314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38"/>
    <s v="신문/잡지(대)온라인뉴스(중)"/>
    <s v="협동조합"/>
    <s v="600X314"/>
    <x v="2"/>
    <s v="25.02.12"/>
    <s v="25.02.16"/>
    <s v="GDN"/>
    <n v="260"/>
  </r>
  <r>
    <s v="PC"/>
    <x v="3"/>
    <x v="11"/>
    <s v="가정용 전기전자"/>
    <s v="가사용 전기전자"/>
    <s v="청소기"/>
    <s v="로보락S9MaxV"/>
    <x v="9"/>
    <s v="신문/잡지(대)경제신문(중)"/>
    <s v="경제"/>
    <s v="1200X600"/>
    <x v="4"/>
    <s v="25.03.25"/>
    <s v="25.03.25"/>
    <s v="카카오광고"/>
    <n v="176"/>
  </r>
  <r>
    <s v="PC"/>
    <x v="3"/>
    <x v="11"/>
    <s v="가정용 전기전자"/>
    <s v="가사용 전기전자"/>
    <s v="청소기"/>
    <s v="로보락S9MaxV"/>
    <x v="39"/>
    <s v="금융/비즈니스(대)금융정보(중)"/>
    <s v="메인"/>
    <s v="900X1800"/>
    <x v="2"/>
    <s v="25.02.19"/>
    <s v="25.02.19"/>
    <s v="GDN"/>
    <n v="52"/>
  </r>
  <r>
    <s v="PC"/>
    <x v="3"/>
    <x v="11"/>
    <s v="가정용 전기전자"/>
    <s v="가사용 전기전자"/>
    <s v="청소기"/>
    <s v="로보락S9MaxV"/>
    <x v="10"/>
    <s v="신문/잡지(대)종합일간지(중)"/>
    <s v="스포츠"/>
    <s v="600X314"/>
    <x v="2"/>
    <s v="25.02.22"/>
    <s v="25.02.23"/>
    <s v="GDN"/>
    <n v="104"/>
  </r>
  <r>
    <s v="PC"/>
    <x v="3"/>
    <x v="11"/>
    <s v="가정용 전기전자"/>
    <s v="가사용 전기전자"/>
    <s v="청소기"/>
    <s v="로보락S9MaxV"/>
    <x v="11"/>
    <s v="신문/잡지(대)종합일간지(중)"/>
    <s v="문화"/>
    <s v="500X500"/>
    <x v="4"/>
    <s v="25.03.25"/>
    <s v="25.03.30"/>
    <s v="카카오광고"/>
    <n v="1056"/>
  </r>
  <r>
    <s v="PC"/>
    <x v="3"/>
    <x v="11"/>
    <s v="가정용 전기전자"/>
    <s v="가사용 전기전자"/>
    <s v="청소기"/>
    <s v="로보락S9MaxV"/>
    <x v="11"/>
    <s v="신문/잡지(대)종합일간지(중)"/>
    <s v="사회"/>
    <s v="1200X600"/>
    <x v="0"/>
    <s v="25.04.08"/>
    <s v="25.04.11"/>
    <s v="카카오광고"/>
    <n v="704"/>
  </r>
  <r>
    <s v="PC"/>
    <x v="3"/>
    <x v="11"/>
    <s v="가정용 전기전자"/>
    <s v="가사용 전기전자"/>
    <s v="청소기"/>
    <s v="로보락S9MaxV"/>
    <x v="11"/>
    <s v="신문/잡지(대)종합일간지(중)"/>
    <s v="아살세"/>
    <s v="1200X600"/>
    <x v="2"/>
    <s v="25.02.08"/>
    <s v="25.02.08"/>
    <s v="카카오광고"/>
    <n v="158"/>
  </r>
  <r>
    <s v="PC"/>
    <x v="3"/>
    <x v="11"/>
    <s v="가정용 전기전자"/>
    <s v="가사용 전기전자"/>
    <s v="청소기"/>
    <s v="로보락S9MaxV"/>
    <x v="11"/>
    <s v="신문/잡지(대)종합일간지(중)"/>
    <s v="아살세"/>
    <s v="1200X600"/>
    <x v="4"/>
    <s v="25.03.19"/>
    <s v="25.03.20"/>
    <s v="카카오광고"/>
    <n v="352"/>
  </r>
  <r>
    <s v="PC"/>
    <x v="3"/>
    <x v="11"/>
    <s v="가정용 전기전자"/>
    <s v="가사용 전기전자"/>
    <s v="청소기"/>
    <s v="로보락S9MaxV"/>
    <x v="11"/>
    <s v="신문/잡지(대)종합일간지(중)"/>
    <s v="오피니언"/>
    <s v="600X314"/>
    <x v="0"/>
    <s v="25.04.07"/>
    <s v="25.04.07"/>
    <s v="GDN"/>
    <n v="62"/>
  </r>
  <r>
    <s v="PC"/>
    <x v="3"/>
    <x v="11"/>
    <s v="가정용 전기전자"/>
    <s v="가사용 전기전자"/>
    <s v="청소기"/>
    <s v="로보락S9MaxV"/>
    <x v="12"/>
    <s v="신문/잡지(대)IT관련 뉴스(중)"/>
    <s v="포토"/>
    <s v="600X314"/>
    <x v="2"/>
    <s v="25.02.16"/>
    <s v="25.02.16"/>
    <s v="GDN"/>
    <n v="52"/>
  </r>
  <r>
    <s v="PC"/>
    <x v="3"/>
    <x v="11"/>
    <s v="가정용 전기전자"/>
    <s v="가사용 전기전자"/>
    <s v="청소기"/>
    <s v="로보락S9MaxV"/>
    <x v="12"/>
    <s v="신문/잡지(대)IT관련 뉴스(중)"/>
    <s v="포토"/>
    <s v="900X1800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42"/>
    <s v="신문/잡지(대)경제신문(중)"/>
    <s v="뉴스"/>
    <s v="1200X600"/>
    <x v="2"/>
    <s v="25.02.28"/>
    <s v="25.02.28"/>
    <s v="카카오광고"/>
    <n v="158"/>
  </r>
  <r>
    <s v="PC"/>
    <x v="3"/>
    <x v="11"/>
    <s v="가정용 전기전자"/>
    <s v="가사용 전기전자"/>
    <s v="청소기"/>
    <s v="로보락S9MaxV"/>
    <x v="42"/>
    <s v="신문/잡지(대)경제신문(중)"/>
    <s v="뉴스"/>
    <s v="1200X600"/>
    <x v="4"/>
    <s v="25.03.25"/>
    <s v="25.03.30"/>
    <s v="카카오광고"/>
    <n v="1056"/>
  </r>
  <r>
    <s v="PC"/>
    <x v="3"/>
    <x v="11"/>
    <s v="가정용 전기전자"/>
    <s v="가사용 전기전자"/>
    <s v="청소기"/>
    <s v="로보락S9MaxV"/>
    <x v="42"/>
    <s v="신문/잡지(대)경제신문(중)"/>
    <s v="포토/영상"/>
    <s v="600X314"/>
    <x v="2"/>
    <s v="25.02.10"/>
    <s v="25.02.10"/>
    <s v="GDN"/>
    <n v="52"/>
  </r>
  <r>
    <s v="PC"/>
    <x v="3"/>
    <x v="11"/>
    <s v="가정용 전기전자"/>
    <s v="가사용 전기전자"/>
    <s v="청소기"/>
    <s v="로보락S9MaxV"/>
    <x v="43"/>
    <s v="신문/잡지(대)지역신문(중)"/>
    <s v="경제"/>
    <s v="600X314"/>
    <x v="2"/>
    <s v="25.02.18"/>
    <s v="25.02.18"/>
    <s v="GDN"/>
    <n v="52"/>
  </r>
  <r>
    <s v="PC"/>
    <x v="3"/>
    <x v="11"/>
    <s v="가정용 전기전자"/>
    <s v="가사용 전기전자"/>
    <s v="청소기"/>
    <s v="로보락S9MaxV"/>
    <x v="44"/>
    <s v="방송(대)케이블/위성방송(중)"/>
    <s v="메인"/>
    <s v="1200X600"/>
    <x v="0"/>
    <s v="25.04.12"/>
    <s v="25.04.12"/>
    <s v="카카오광고"/>
    <n v="176"/>
  </r>
  <r>
    <s v="PC"/>
    <x v="3"/>
    <x v="11"/>
    <s v="가정용 전기전자"/>
    <s v="가사용 전기전자"/>
    <s v="청소기"/>
    <s v="로보락S9MaxV"/>
    <x v="44"/>
    <s v="방송(대)케이블/위성방송(중)"/>
    <s v="스포츠"/>
    <s v="1200X600"/>
    <x v="2"/>
    <s v="25.02.06"/>
    <s v="25.02.06"/>
    <s v="카카오광고"/>
    <n v="158"/>
  </r>
  <r>
    <s v="PC"/>
    <x v="3"/>
    <x v="11"/>
    <s v="가정용 전기전자"/>
    <s v="가사용 전기전자"/>
    <s v="청소기"/>
    <s v="로보락S9MaxV"/>
    <x v="45"/>
    <s v="신문/잡지(대)신문/잡지 기타(중)"/>
    <s v="메인"/>
    <s v="600X314"/>
    <x v="2"/>
    <s v="25.02.11"/>
    <s v="25.02.11"/>
    <s v="GDN"/>
    <n v="52"/>
  </r>
  <r>
    <s v="PC"/>
    <x v="3"/>
    <x v="11"/>
    <s v="가정용 전기전자"/>
    <s v="가사용 전기전자"/>
    <s v="청소기"/>
    <s v="로보락S9MaxV"/>
    <x v="45"/>
    <s v="신문/잡지(대)신문/잡지 기타(중)"/>
    <s v="정치"/>
    <s v="600X314"/>
    <x v="2"/>
    <s v="25.02.17"/>
    <s v="25.02.18"/>
    <s v="GDN"/>
    <n v="104"/>
  </r>
  <r>
    <s v="PC"/>
    <x v="3"/>
    <x v="11"/>
    <s v="가정용 전기전자"/>
    <s v="가사용 전기전자"/>
    <s v="청소기"/>
    <s v="로보락S9MaxV"/>
    <x v="13"/>
    <s v="신문/잡지(대)IT관련 뉴스(중)"/>
    <s v="글로벌"/>
    <s v="600X314"/>
    <x v="2"/>
    <s v="25.02.22"/>
    <s v="25.02.23"/>
    <s v="GDN"/>
    <n v="104"/>
  </r>
  <r>
    <s v="PC"/>
    <x v="3"/>
    <x v="11"/>
    <s v="가정용 전기전자"/>
    <s v="가사용 전기전자"/>
    <s v="청소기"/>
    <s v="로보락S9MaxV"/>
    <x v="13"/>
    <s v="신문/잡지(대)IT관련 뉴스(중)"/>
    <s v="전국"/>
    <s v="1200X600"/>
    <x v="4"/>
    <s v="25.03.19"/>
    <s v="25.03.19"/>
    <s v="카카오광고"/>
    <n v="176"/>
  </r>
  <r>
    <s v="PC"/>
    <x v="3"/>
    <x v="11"/>
    <s v="가정용 전기전자"/>
    <s v="가사용 전기전자"/>
    <s v="청소기"/>
    <s v="로보락S9MaxV"/>
    <x v="13"/>
    <s v="신문/잡지(대)IT관련 뉴스(중)"/>
    <s v="조이뉴스24"/>
    <s v="1200X600"/>
    <x v="4"/>
    <s v="25.03.25"/>
    <s v="25.03.29"/>
    <s v="카카오광고"/>
    <n v="880"/>
  </r>
  <r>
    <s v="PC"/>
    <x v="3"/>
    <x v="11"/>
    <s v="가정용 전기전자"/>
    <s v="가사용 전기전자"/>
    <s v="청소기"/>
    <s v="로보락S9MaxV"/>
    <x v="13"/>
    <s v="신문/잡지(대)IT관련 뉴스(중)"/>
    <s v="조이뉴스24"/>
    <s v="1200X600"/>
    <x v="0"/>
    <s v="25.04.03"/>
    <s v="25.04.03"/>
    <s v="카카오광고"/>
    <n v="176"/>
  </r>
  <r>
    <s v="PC"/>
    <x v="3"/>
    <x v="11"/>
    <s v="가정용 전기전자"/>
    <s v="가사용 전기전자"/>
    <s v="청소기"/>
    <s v="로보락S9MaxV"/>
    <x v="65"/>
    <s v="방송(대)방송국(중)"/>
    <s v="동영상플레이어"/>
    <s v="1200X600"/>
    <x v="4"/>
    <s v="25.03.21"/>
    <s v="25.03.22"/>
    <s v="카카오광고"/>
    <n v="352"/>
  </r>
  <r>
    <s v="PC"/>
    <x v="3"/>
    <x v="11"/>
    <s v="가정용 전기전자"/>
    <s v="가사용 전기전자"/>
    <s v="청소기"/>
    <s v="로보락S9MaxV"/>
    <x v="46"/>
    <s v="신문/잡지(대)IT관련 뉴스(중)"/>
    <s v="국제"/>
    <s v="900X1800"/>
    <x v="2"/>
    <s v="25.02.13"/>
    <s v="25.02.13"/>
    <s v="GDN"/>
    <n v="52"/>
  </r>
  <r>
    <s v="PC"/>
    <x v="3"/>
    <x v="11"/>
    <s v="가정용 전기전자"/>
    <s v="가사용 전기전자"/>
    <s v="청소기"/>
    <s v="로보락S9MaxV"/>
    <x v="46"/>
    <s v="신문/잡지(대)IT관련 뉴스(중)"/>
    <s v="피플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14"/>
    <s v="신문/잡지(대)IT관련 뉴스(중)"/>
    <s v="메인"/>
    <s v="600X314"/>
    <x v="2"/>
    <s v="25.02.17"/>
    <s v="25.02.23"/>
    <s v="GDN"/>
    <n v="364"/>
  </r>
  <r>
    <s v="PC"/>
    <x v="3"/>
    <x v="11"/>
    <s v="가정용 전기전자"/>
    <s v="가사용 전기전자"/>
    <s v="청소기"/>
    <s v="로보락S9MaxV"/>
    <x v="14"/>
    <s v="신문/잡지(대)IT관련 뉴스(중)"/>
    <s v="생활문화"/>
    <s v="600X314"/>
    <x v="2"/>
    <s v="25.02.16"/>
    <s v="25.02.16"/>
    <s v="GDN"/>
    <n v="52"/>
  </r>
  <r>
    <s v="PC"/>
    <x v="3"/>
    <x v="11"/>
    <s v="가정용 전기전자"/>
    <s v="가사용 전기전자"/>
    <s v="청소기"/>
    <s v="로보락S9MaxV"/>
    <x v="14"/>
    <s v="신문/잡지(대)IT관련 뉴스(중)"/>
    <s v="통신방송"/>
    <s v="600X314"/>
    <x v="2"/>
    <s v="25.02.26"/>
    <s v="25.02.26"/>
    <s v="GDN"/>
    <n v="52"/>
  </r>
  <r>
    <s v="PC"/>
    <x v="3"/>
    <x v="11"/>
    <s v="가정용 전기전자"/>
    <s v="가사용 전기전자"/>
    <s v="청소기"/>
    <s v="로보락S9MaxV"/>
    <x v="15"/>
    <s v="신문/잡지(대)잡지(중)"/>
    <s v="메인"/>
    <s v="600X314"/>
    <x v="2"/>
    <s v="25.02.19"/>
    <s v="25.02.22"/>
    <s v="GDN"/>
    <n v="208"/>
  </r>
  <r>
    <s v="PC"/>
    <x v="3"/>
    <x v="11"/>
    <s v="가정용 전기전자"/>
    <s v="가사용 전기전자"/>
    <s v="청소기"/>
    <s v="로보락S9MaxV"/>
    <x v="16"/>
    <s v="신문/잡지(대)온라인뉴스(중)"/>
    <s v="경제"/>
    <s v="600X314"/>
    <x v="2"/>
    <s v="25.02.17"/>
    <s v="25.02.17"/>
    <s v="GDN"/>
    <n v="22"/>
  </r>
  <r>
    <s v="PC"/>
    <x v="3"/>
    <x v="11"/>
    <s v="가정용 전기전자"/>
    <s v="가사용 전기전자"/>
    <s v="청소기"/>
    <s v="로보락S9MaxV"/>
    <x v="16"/>
    <s v="신문/잡지(대)온라인뉴스(중)"/>
    <s v="연예"/>
    <s v="900X750"/>
    <x v="2"/>
    <s v="25.02.11"/>
    <s v="25.02.11"/>
    <s v="GDN"/>
    <n v="22"/>
  </r>
  <r>
    <s v="PC"/>
    <x v="3"/>
    <x v="11"/>
    <s v="가정용 전기전자"/>
    <s v="가사용 전기전자"/>
    <s v="청소기"/>
    <s v="로보락S9MaxV"/>
    <x v="47"/>
    <s v="신문/잡지(대)온라인뉴스(중)"/>
    <s v="뉴스"/>
    <s v="1200X600"/>
    <x v="4"/>
    <s v="25.03.25"/>
    <s v="25.03.25"/>
    <s v="카카오광고"/>
    <n v="176"/>
  </r>
  <r>
    <s v="PC"/>
    <x v="3"/>
    <x v="11"/>
    <s v="가정용 전기전자"/>
    <s v="가사용 전기전자"/>
    <s v="청소기"/>
    <s v="로보락S9MaxV"/>
    <x v="17"/>
    <s v="방송(대)방송기타(중)"/>
    <s v="메인"/>
    <s v="600X314"/>
    <x v="2"/>
    <s v="25.02.12"/>
    <s v="25.02.15"/>
    <s v="GDN"/>
    <n v="208"/>
  </r>
  <r>
    <s v="PC"/>
    <x v="3"/>
    <x v="11"/>
    <s v="가정용 전기전자"/>
    <s v="가사용 전기전자"/>
    <s v="청소기"/>
    <s v="로보락S9MaxV"/>
    <x v="17"/>
    <s v="방송(대)방송기타(중)"/>
    <s v="문화"/>
    <s v="600X314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17"/>
    <s v="방송(대)방송기타(중)"/>
    <s v="포토"/>
    <s v="900X1800"/>
    <x v="2"/>
    <s v="25.02.18"/>
    <s v="25.02.18"/>
    <s v="GDN"/>
    <n v="52"/>
  </r>
  <r>
    <s v="PC"/>
    <x v="3"/>
    <x v="11"/>
    <s v="가정용 전기전자"/>
    <s v="가사용 전기전자"/>
    <s v="청소기"/>
    <s v="로보락S9MaxV"/>
    <x v="49"/>
    <s v="신문/잡지(대)온라인뉴스(중)"/>
    <s v="골프"/>
    <s v="900X1600"/>
    <x v="2"/>
    <s v="25.02.14"/>
    <s v="25.02.14"/>
    <s v="GDN"/>
    <n v="52"/>
  </r>
  <r>
    <s v="PC"/>
    <x v="3"/>
    <x v="11"/>
    <s v="가정용 전기전자"/>
    <s v="가사용 전기전자"/>
    <s v="청소기"/>
    <s v="로보락S9MaxV"/>
    <x v="49"/>
    <s v="신문/잡지(대)온라인뉴스(중)"/>
    <s v="패션"/>
    <s v="900X1800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50"/>
    <s v="신문/잡지(대)경제신문(중)"/>
    <s v="골프"/>
    <s v="1200X600"/>
    <x v="2"/>
    <s v="25.02.09"/>
    <s v="25.02.09"/>
    <s v="카카오광고"/>
    <n v="68"/>
  </r>
  <r>
    <s v="PC"/>
    <x v="3"/>
    <x v="11"/>
    <s v="가정용 전기전자"/>
    <s v="가사용 전기전자"/>
    <s v="청소기"/>
    <s v="로보락S9MaxV"/>
    <x v="50"/>
    <s v="신문/잡지(대)경제신문(중)"/>
    <s v="국제"/>
    <s v="600X314"/>
    <x v="2"/>
    <s v="25.02.16"/>
    <s v="25.02.16"/>
    <s v="GDN"/>
    <n v="22"/>
  </r>
  <r>
    <s v="PC"/>
    <x v="3"/>
    <x v="11"/>
    <s v="가정용 전기전자"/>
    <s v="가사용 전기전자"/>
    <s v="청소기"/>
    <s v="로보락S9MaxV"/>
    <x v="50"/>
    <s v="신문/잡지(대)경제신문(중)"/>
    <s v="뉴스"/>
    <s v="1200X600"/>
    <x v="2"/>
    <s v="25.02.27"/>
    <s v="25.02.27"/>
    <s v="카카오광고"/>
    <n v="68"/>
  </r>
  <r>
    <s v="PC"/>
    <x v="3"/>
    <x v="11"/>
    <s v="가정용 전기전자"/>
    <s v="가사용 전기전자"/>
    <s v="청소기"/>
    <s v="로보락S9MaxV"/>
    <x v="50"/>
    <s v="신문/잡지(대)경제신문(중)"/>
    <s v="오피니언"/>
    <s v="600X314"/>
    <x v="2"/>
    <s v="25.02.08"/>
    <s v="25.02.08"/>
    <s v="GDN"/>
    <n v="22"/>
  </r>
  <r>
    <s v="PC"/>
    <x v="3"/>
    <x v="11"/>
    <s v="가정용 전기전자"/>
    <s v="가사용 전기전자"/>
    <s v="청소기"/>
    <s v="로보락S9MaxV"/>
    <x v="50"/>
    <s v="신문/잡지(대)경제신문(중)"/>
    <s v="IT/산업"/>
    <s v="600X314"/>
    <x v="2"/>
    <s v="25.02.19"/>
    <s v="25.02.22"/>
    <s v="GDN"/>
    <n v="89"/>
  </r>
  <r>
    <s v="PC"/>
    <x v="3"/>
    <x v="11"/>
    <s v="가정용 전기전자"/>
    <s v="가사용 전기전자"/>
    <s v="청소기"/>
    <s v="로보락S9MaxV"/>
    <x v="52"/>
    <s v="신문/잡지(대)온라인뉴스(중)"/>
    <s v="뉴스"/>
    <s v="600X314"/>
    <x v="2"/>
    <s v="25.02.16"/>
    <s v="25.02.16"/>
    <s v="GDN"/>
    <n v="52"/>
  </r>
  <r>
    <s v="PC"/>
    <x v="3"/>
    <x v="11"/>
    <s v="가정용 전기전자"/>
    <s v="가사용 전기전자"/>
    <s v="청소기"/>
    <s v="로보락S9MaxV"/>
    <x v="52"/>
    <s v="신문/잡지(대)온라인뉴스(중)"/>
    <s v="뉴스"/>
    <s v="600X314"/>
    <x v="2"/>
    <s v="25.02.17"/>
    <s v="25.02.17"/>
    <s v="GDN"/>
    <n v="52"/>
  </r>
  <r>
    <s v="PC"/>
    <x v="3"/>
    <x v="11"/>
    <s v="가정용 전기전자"/>
    <s v="가사용 전기전자"/>
    <s v="청소기"/>
    <s v="로보락S9MaxV"/>
    <x v="20"/>
    <s v="생활정보(대)쇼핑/가격정보(중)"/>
    <s v="라이프"/>
    <s v="600X314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20"/>
    <s v="생활정보(대)쇼핑/가격정보(중)"/>
    <s v="메인"/>
    <s v="900X1800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20"/>
    <s v="생활정보(대)쇼핑/가격정보(중)"/>
    <s v="메인"/>
    <s v="600X314"/>
    <x v="0"/>
    <s v="25.04.11"/>
    <s v="25.04.11"/>
    <s v="GDN"/>
    <n v="62"/>
  </r>
  <r>
    <s v="PC"/>
    <x v="3"/>
    <x v="11"/>
    <s v="가정용 전기전자"/>
    <s v="가사용 전기전자"/>
    <s v="청소기"/>
    <s v="로보락S9MaxV"/>
    <x v="20"/>
    <s v="생활정보(대)쇼핑/가격정보(중)"/>
    <s v="스마트폰/모바일"/>
    <s v="900X1800"/>
    <x v="2"/>
    <s v="25.02.11"/>
    <s v="25.02.16"/>
    <s v="GDN"/>
    <n v="312"/>
  </r>
  <r>
    <s v="PC"/>
    <x v="3"/>
    <x v="11"/>
    <s v="가정용 전기전자"/>
    <s v="가사용 전기전자"/>
    <s v="청소기"/>
    <s v="로보락S9MaxV"/>
    <x v="21"/>
    <s v="커뮤니티(대)홈페이지(중)"/>
    <s v="커뮤니케이션 기타"/>
    <s v="480X320"/>
    <x v="2"/>
    <s v="25.02.05"/>
    <s v="25.02.09"/>
    <s v="-"/>
    <n v="308"/>
  </r>
  <r>
    <s v="PC"/>
    <x v="3"/>
    <x v="11"/>
    <s v="가정용 전기전자"/>
    <s v="가사용 전기전자"/>
    <s v="청소기"/>
    <s v="로보락S9MaxV"/>
    <x v="21"/>
    <s v="커뮤니티(대)홈페이지(중)"/>
    <s v="커뮤니케이션 기타"/>
    <s v="480X320"/>
    <x v="2"/>
    <s v="25.02.10"/>
    <s v="25.02.11"/>
    <s v="-"/>
    <n v="123"/>
  </r>
  <r>
    <s v="PC"/>
    <x v="3"/>
    <x v="11"/>
    <s v="가정용 전기전자"/>
    <s v="가사용 전기전자"/>
    <s v="청소기"/>
    <s v="로보락S9MaxV"/>
    <x v="21"/>
    <s v="커뮤니티(대)홈페이지(중)"/>
    <s v="커뮤니케이션 기타"/>
    <s v="480X320"/>
    <x v="4"/>
    <s v="25.03.22"/>
    <s v="25.03.22"/>
    <s v="-"/>
    <n v="62"/>
  </r>
  <r>
    <s v="PC"/>
    <x v="3"/>
    <x v="11"/>
    <s v="가정용 전기전자"/>
    <s v="가사용 전기전자"/>
    <s v="청소기"/>
    <s v="로보락S9MaxV"/>
    <x v="21"/>
    <s v="커뮤니티(대)홈페이지(중)"/>
    <s v="커뮤니케이션 기타"/>
    <s v="480X320"/>
    <x v="4"/>
    <s v="25.03.28"/>
    <s v="25.03.28"/>
    <s v="-"/>
    <n v="62"/>
  </r>
  <r>
    <s v="PC"/>
    <x v="3"/>
    <x v="11"/>
    <s v="가정용 전기전자"/>
    <s v="가사용 전기전자"/>
    <s v="청소기"/>
    <s v="로보락S9MaxV"/>
    <x v="25"/>
    <s v="생활정보(대)쇼핑/가격정보(중)"/>
    <s v="메인"/>
    <s v="976X400"/>
    <x v="2"/>
    <s v="25.02.19"/>
    <s v="25.02.23"/>
    <s v="-"/>
    <n v="4186"/>
  </r>
  <r>
    <s v="PC"/>
    <x v="3"/>
    <x v="11"/>
    <s v="가정용 전기전자"/>
    <s v="가사용 전기전자"/>
    <s v="청소기"/>
    <s v="로보락S9MaxV"/>
    <x v="25"/>
    <s v="생활정보(대)쇼핑/가격정보(중)"/>
    <s v="메인"/>
    <s v="976X400"/>
    <x v="2"/>
    <s v="25.02.24"/>
    <s v="25.02.28"/>
    <s v="-"/>
    <n v="4186"/>
  </r>
  <r>
    <s v="PC"/>
    <x v="3"/>
    <x v="11"/>
    <s v="가정용 전기전자"/>
    <s v="가사용 전기전자"/>
    <s v="청소기"/>
    <s v="로보락S9MaxV"/>
    <x v="25"/>
    <s v="생활정보(대)쇼핑/가격정보(중)"/>
    <s v="메인"/>
    <s v="976X400"/>
    <x v="4"/>
    <s v="25.03.01"/>
    <s v="25.03.02"/>
    <s v="-"/>
    <n v="1674"/>
  </r>
  <r>
    <s v="PC"/>
    <x v="3"/>
    <x v="11"/>
    <s v="가정용 전기전자"/>
    <s v="가사용 전기전자"/>
    <s v="청소기"/>
    <s v="로보락S9MaxV"/>
    <x v="22"/>
    <s v="커뮤니티(대)게시판(중)"/>
    <s v="게임찾기"/>
    <s v="1200X600"/>
    <x v="0"/>
    <s v="25.04.14"/>
    <s v="25.04.15"/>
    <s v="카카오광고"/>
    <n v="352"/>
  </r>
  <r>
    <s v="PC"/>
    <x v="3"/>
    <x v="11"/>
    <s v="가정용 전기전자"/>
    <s v="가사용 전기전자"/>
    <s v="청소기"/>
    <s v="로보락S9MaxV"/>
    <x v="22"/>
    <s v="커뮤니티(대)게시판(중)"/>
    <s v="뉴스"/>
    <s v="1200X600"/>
    <x v="0"/>
    <s v="25.04.08"/>
    <s v="25.04.12"/>
    <s v="카카오광고"/>
    <n v="880"/>
  </r>
  <r>
    <s v="PC"/>
    <x v="3"/>
    <x v="11"/>
    <s v="가정용 전기전자"/>
    <s v="가사용 전기전자"/>
    <s v="청소기"/>
    <s v="로보락S9MaxV"/>
    <x v="22"/>
    <s v="커뮤니티(대)게시판(중)"/>
    <s v="만화"/>
    <s v="500X500"/>
    <x v="4"/>
    <s v="25.03.25"/>
    <s v="25.03.27"/>
    <s v="카카오광고"/>
    <n v="528"/>
  </r>
  <r>
    <s v="PC"/>
    <x v="3"/>
    <x v="11"/>
    <s v="가정용 전기전자"/>
    <s v="가사용 전기전자"/>
    <s v="청소기"/>
    <s v="로보락S9MaxV"/>
    <x v="22"/>
    <s v="커뮤니티(대)게시판(중)"/>
    <s v="메인"/>
    <s v="600X314"/>
    <x v="2"/>
    <s v="25.02.19"/>
    <s v="25.02.22"/>
    <s v="GDN"/>
    <n v="208"/>
  </r>
  <r>
    <s v="PC"/>
    <x v="3"/>
    <x v="11"/>
    <s v="가정용 전기전자"/>
    <s v="가사용 전기전자"/>
    <s v="청소기"/>
    <s v="로보락S9MaxV"/>
    <x v="53"/>
    <s v="신문/잡지(대)IT관련 뉴스(중)"/>
    <s v="메인"/>
    <s v="900X750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53"/>
    <s v="신문/잡지(대)IT관련 뉴스(중)"/>
    <s v="산업"/>
    <s v="600X314"/>
    <x v="0"/>
    <s v="25.04.01"/>
    <s v="25.04.01"/>
    <s v="GDN"/>
    <n v="62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2"/>
    <s v="25.02.21"/>
    <s v="25.02.22"/>
    <s v="-"/>
    <n v="32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2"/>
    <s v="25.02.24"/>
    <s v="25.02.28"/>
    <s v="-"/>
    <n v="79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4"/>
    <s v="25.03.01"/>
    <s v="25.03.02"/>
    <s v="-"/>
    <n v="32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4"/>
    <s v="25.03.03"/>
    <s v="25.03.07"/>
    <s v="-"/>
    <n v="79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4"/>
    <s v="25.03.12"/>
    <s v="25.03.13"/>
    <s v="-"/>
    <n v="32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4"/>
    <s v="25.03.19"/>
    <s v="25.03.20"/>
    <s v="-"/>
    <n v="32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4"/>
    <s v="25.03.26"/>
    <s v="25.03.26"/>
    <s v="-"/>
    <n v="16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0"/>
    <s v="25.04.02"/>
    <s v="25.04.05"/>
    <s v="-"/>
    <n v="63"/>
  </r>
  <r>
    <s v="PC"/>
    <x v="3"/>
    <x v="11"/>
    <s v="가정용 전기전자"/>
    <s v="가사용 전기전자"/>
    <s v="청소기"/>
    <s v="로보락S9MaxV"/>
    <x v="62"/>
    <s v="생활정보(대)쇼핑/가격정보(중)"/>
    <s v="가구/생활"/>
    <s v="605X220"/>
    <x v="0"/>
    <s v="25.04.09"/>
    <s v="25.04.10"/>
    <s v="-"/>
    <n v="32"/>
  </r>
  <r>
    <s v="PC"/>
    <x v="3"/>
    <x v="11"/>
    <s v="가정용 전기전자"/>
    <s v="가사용 전기전자"/>
    <s v="청소기"/>
    <s v="로보락S9MaxV"/>
    <x v="62"/>
    <s v="생활정보(대)쇼핑/가격정보(중)"/>
    <s v="메인"/>
    <s v="1240X400"/>
    <x v="2"/>
    <s v="25.02.21"/>
    <s v="25.02.23"/>
    <s v="-"/>
    <n v="1167"/>
  </r>
  <r>
    <s v="PC"/>
    <x v="3"/>
    <x v="11"/>
    <s v="가정용 전기전자"/>
    <s v="가사용 전기전자"/>
    <s v="청소기"/>
    <s v="로보락S9MaxV"/>
    <x v="62"/>
    <s v="생활정보(대)쇼핑/가격정보(중)"/>
    <s v="메인"/>
    <s v="1240X400"/>
    <x v="2"/>
    <s v="25.02.24"/>
    <s v="25.02.24"/>
    <s v="-"/>
    <n v="389"/>
  </r>
  <r>
    <s v="PC"/>
    <x v="3"/>
    <x v="11"/>
    <s v="가정용 전기전자"/>
    <s v="가사용 전기전자"/>
    <s v="청소기"/>
    <s v="로보락S9MaxV"/>
    <x v="62"/>
    <s v="생활정보(대)쇼핑/가격정보(중)"/>
    <s v="메인"/>
    <s v="1240X400"/>
    <x v="4"/>
    <s v="25.03.04"/>
    <s v="25.03.04"/>
    <s v="-"/>
    <n v="389"/>
  </r>
  <r>
    <s v="PC"/>
    <x v="3"/>
    <x v="11"/>
    <s v="가정용 전기전자"/>
    <s v="가사용 전기전자"/>
    <s v="청소기"/>
    <s v="로보락S9MaxV"/>
    <x v="62"/>
    <s v="생활정보(대)쇼핑/가격정보(중)"/>
    <s v="메인"/>
    <s v="1240X400"/>
    <x v="4"/>
    <s v="25.03.12"/>
    <s v="25.03.12"/>
    <s v="-"/>
    <n v="389"/>
  </r>
  <r>
    <s v="PC"/>
    <x v="3"/>
    <x v="11"/>
    <s v="가정용 전기전자"/>
    <s v="가사용 전기전자"/>
    <s v="청소기"/>
    <s v="로보락S9MaxV"/>
    <x v="54"/>
    <s v="신문/잡지(대)스포츠신문(중)"/>
    <s v="비즈포커스"/>
    <s v="600X314"/>
    <x v="2"/>
    <s v="25.02.07"/>
    <s v="25.02.07"/>
    <s v="GDN"/>
    <n v="52"/>
  </r>
  <r>
    <s v="PC"/>
    <x v="3"/>
    <x v="11"/>
    <s v="가정용 전기전자"/>
    <s v="가사용 전기전자"/>
    <s v="청소기"/>
    <s v="로보락S9MaxV"/>
    <x v="54"/>
    <s v="신문/잡지(대)스포츠신문(중)"/>
    <s v="비즈포커스"/>
    <s v="1200X600"/>
    <x v="2"/>
    <s v="25.02.12"/>
    <s v="25.02.16"/>
    <s v="카카오광고"/>
    <n v="787"/>
  </r>
  <r>
    <s v="PC"/>
    <x v="3"/>
    <x v="11"/>
    <s v="가정용 전기전자"/>
    <s v="가사용 전기전자"/>
    <s v="청소기"/>
    <s v="로보락S9MaxV"/>
    <x v="54"/>
    <s v="신문/잡지(대)스포츠신문(중)"/>
    <s v="비즈포커스"/>
    <s v="1200X600"/>
    <x v="2"/>
    <s v="25.02.17"/>
    <s v="25.02.17"/>
    <s v="카카오광고"/>
    <n v="158"/>
  </r>
  <r>
    <s v="PC"/>
    <x v="3"/>
    <x v="11"/>
    <s v="가정용 전기전자"/>
    <s v="가사용 전기전자"/>
    <s v="청소기"/>
    <s v="로보락S9MaxV"/>
    <x v="54"/>
    <s v="신문/잡지(대)스포츠신문(중)"/>
    <s v="비즈포커스"/>
    <s v="1200X600"/>
    <x v="4"/>
    <s v="25.03.25"/>
    <s v="25.03.28"/>
    <s v="카카오광고"/>
    <n v="704"/>
  </r>
  <r>
    <s v="PC"/>
    <x v="3"/>
    <x v="11"/>
    <s v="가정용 전기전자"/>
    <s v="가사용 전기전자"/>
    <s v="청소기"/>
    <s v="로보락S9MaxV"/>
    <x v="54"/>
    <s v="신문/잡지(대)스포츠신문(중)"/>
    <s v="비즈포커스"/>
    <s v="1200X600"/>
    <x v="0"/>
    <s v="25.04.08"/>
    <s v="25.04.12"/>
    <s v="카카오광고"/>
    <n v="880"/>
  </r>
  <r>
    <s v="PC"/>
    <x v="3"/>
    <x v="11"/>
    <s v="가정용 전기전자"/>
    <s v="가사용 전기전자"/>
    <s v="청소기"/>
    <s v="로보락S9MaxV"/>
    <x v="54"/>
    <s v="신문/잡지(대)스포츠신문(중)"/>
    <s v="사회"/>
    <s v="1200X600"/>
    <x v="2"/>
    <s v="25.02.07"/>
    <s v="25.02.08"/>
    <s v="카카오광고"/>
    <n v="315"/>
  </r>
  <r>
    <s v="PC"/>
    <x v="3"/>
    <x v="11"/>
    <s v="가정용 전기전자"/>
    <s v="가사용 전기전자"/>
    <s v="청소기"/>
    <s v="로보락S9MaxV"/>
    <x v="54"/>
    <s v="신문/잡지(대)스포츠신문(중)"/>
    <s v="사회"/>
    <s v="600X314"/>
    <x v="2"/>
    <s v="25.02.12"/>
    <s v="25.02.14"/>
    <s v="GDN"/>
    <n v="156"/>
  </r>
  <r>
    <s v="PC"/>
    <x v="3"/>
    <x v="11"/>
    <s v="가정용 전기전자"/>
    <s v="가사용 전기전자"/>
    <s v="청소기"/>
    <s v="로보락S9MaxV"/>
    <x v="54"/>
    <s v="신문/잡지(대)스포츠신문(중)"/>
    <s v="사회"/>
    <s v="1200X600"/>
    <x v="4"/>
    <s v="25.03.19"/>
    <s v="25.03.20"/>
    <s v="카카오광고"/>
    <n v="352"/>
  </r>
  <r>
    <s v="PC"/>
    <x v="3"/>
    <x v="11"/>
    <s v="가정용 전기전자"/>
    <s v="가사용 전기전자"/>
    <s v="청소기"/>
    <s v="로보락S9MaxV"/>
    <x v="55"/>
    <s v="엔터테인먼트(대)게임(중)"/>
    <s v="스마트 게임센터"/>
    <s v="600X314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55"/>
    <s v="엔터테인먼트(대)게임(중)"/>
    <s v="스마트 게임센터"/>
    <s v="600X314"/>
    <x v="2"/>
    <s v="25.02.17"/>
    <s v="25.02.17"/>
    <s v="GDN"/>
    <n v="52"/>
  </r>
  <r>
    <s v="PC"/>
    <x v="3"/>
    <x v="11"/>
    <s v="가정용 전기전자"/>
    <s v="가사용 전기전자"/>
    <s v="청소기"/>
    <s v="로보락S9MaxV"/>
    <x v="23"/>
    <s v="포털(대)포털(중)"/>
    <s v="뉴스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23"/>
    <s v="포털(대)포털(중)"/>
    <s v="동영상플레이어"/>
    <s v="600X314"/>
    <x v="0"/>
    <s v="25.04.01"/>
    <s v="25.04.01"/>
    <s v="GDN"/>
    <n v="62"/>
  </r>
  <r>
    <s v="PC"/>
    <x v="3"/>
    <x v="11"/>
    <s v="가정용 전기전자"/>
    <s v="가사용 전기전자"/>
    <s v="청소기"/>
    <s v="로보락S9MaxV"/>
    <x v="23"/>
    <s v="포털(대)포털(중)"/>
    <s v="동영상플레이어"/>
    <s v="600X314"/>
    <x v="0"/>
    <s v="25.04.11"/>
    <s v="25.04.11"/>
    <s v="GDN"/>
    <n v="62"/>
  </r>
  <r>
    <s v="PC"/>
    <x v="3"/>
    <x v="11"/>
    <s v="가정용 전기전자"/>
    <s v="가사용 전기전자"/>
    <s v="청소기"/>
    <s v="로보락S9MaxV"/>
    <x v="23"/>
    <s v="포털(대)포털(중)"/>
    <s v="동영상플레이어"/>
    <s v="500X500"/>
    <x v="1"/>
    <s v="25.05.17"/>
    <s v="25.05.17"/>
    <s v="카카오광고"/>
    <n v="216"/>
  </r>
  <r>
    <s v="PC"/>
    <x v="3"/>
    <x v="11"/>
    <s v="가정용 전기전자"/>
    <s v="가사용 전기전자"/>
    <s v="청소기"/>
    <s v="로보락S9MaxV"/>
    <x v="66"/>
    <s v="생활정보(대)쇼핑/가격정보(중)"/>
    <s v="메인"/>
    <s v="750X378"/>
    <x v="4"/>
    <s v="25.03.07"/>
    <s v="25.03.09"/>
    <s v="-"/>
    <n v="276"/>
  </r>
  <r>
    <s v="PC"/>
    <x v="3"/>
    <x v="11"/>
    <s v="가정용 전기전자"/>
    <s v="가사용 전기전자"/>
    <s v="청소기"/>
    <s v="로보락S9MaxV"/>
    <x v="66"/>
    <s v="생활정보(대)쇼핑/가격정보(중)"/>
    <s v="메인"/>
    <s v="750X378"/>
    <x v="4"/>
    <s v="25.03.10"/>
    <s v="25.03.16"/>
    <s v="-"/>
    <n v="645"/>
  </r>
  <r>
    <s v="PC"/>
    <x v="3"/>
    <x v="11"/>
    <s v="가정용 전기전자"/>
    <s v="가사용 전기전자"/>
    <s v="청소기"/>
    <s v="로보락S9MaxV"/>
    <x v="66"/>
    <s v="생활정보(대)쇼핑/가격정보(중)"/>
    <s v="메인"/>
    <s v="750X378"/>
    <x v="4"/>
    <s v="25.03.17"/>
    <s v="25.03.23"/>
    <s v="-"/>
    <n v="645"/>
  </r>
  <r>
    <s v="PC"/>
    <x v="3"/>
    <x v="11"/>
    <s v="가정용 전기전자"/>
    <s v="가사용 전기전자"/>
    <s v="청소기"/>
    <s v="로보락S9MaxV"/>
    <x v="66"/>
    <s v="생활정보(대)쇼핑/가격정보(중)"/>
    <s v="메인"/>
    <s v="750X378"/>
    <x v="4"/>
    <s v="25.03.24"/>
    <s v="25.03.24"/>
    <s v="-"/>
    <n v="92"/>
  </r>
  <r>
    <s v="PC"/>
    <x v="3"/>
    <x v="11"/>
    <s v="가정용 전기전자"/>
    <s v="가사용 전기전자"/>
    <s v="청소기"/>
    <s v="로보락S9MaxV"/>
    <x v="66"/>
    <s v="생활정보(대)쇼핑/가격정보(중)"/>
    <s v="메인"/>
    <s v="750X378"/>
    <x v="0"/>
    <s v="25.04.01"/>
    <s v="25.04.01"/>
    <s v="-"/>
    <n v="92"/>
  </r>
  <r>
    <s v="PC"/>
    <x v="3"/>
    <x v="11"/>
    <s v="가정용 전기전자"/>
    <s v="가사용 전기전자"/>
    <s v="청소기"/>
    <s v="로보락S9MaxV"/>
    <x v="56"/>
    <s v="엔터테인먼트(대)게임(중)"/>
    <s v="기획"/>
    <s v="600X314"/>
    <x v="2"/>
    <s v="25.02.20"/>
    <s v="25.02.20"/>
    <s v="GDN"/>
    <n v="52"/>
  </r>
  <r>
    <s v="PC"/>
    <x v="3"/>
    <x v="11"/>
    <s v="가정용 전기전자"/>
    <s v="가사용 전기전자"/>
    <s v="청소기"/>
    <s v="로보락S9MaxV"/>
    <x v="57"/>
    <s v="신문/잡지(대)온라인뉴스(중)"/>
    <s v="기업"/>
    <s v="600X314"/>
    <x v="2"/>
    <s v="25.02.10"/>
    <s v="25.02.14"/>
    <s v="GDN"/>
    <n v="260"/>
  </r>
  <r>
    <s v="PC"/>
    <x v="3"/>
    <x v="11"/>
    <s v="가정용 전기전자"/>
    <s v="가사용 전기전자"/>
    <s v="청소기"/>
    <s v="로보락S9MaxV"/>
    <x v="57"/>
    <s v="신문/잡지(대)온라인뉴스(중)"/>
    <s v="기업"/>
    <s v="600X314"/>
    <x v="2"/>
    <s v="25.02.17"/>
    <s v="25.02.17"/>
    <s v="GDN"/>
    <n v="52"/>
  </r>
  <r>
    <s v="PC"/>
    <x v="3"/>
    <x v="11"/>
    <s v="가정용 전기전자"/>
    <s v="가사용 전기전자"/>
    <s v="청소기"/>
    <s v="로보락S9MaxV"/>
    <x v="58"/>
    <s v="방송(대)방송기타(중)"/>
    <s v="경제"/>
    <s v="500X500"/>
    <x v="4"/>
    <s v="25.03.25"/>
    <s v="25.03.25"/>
    <s v="카카오광고"/>
    <n v="176"/>
  </r>
  <r>
    <s v="PC"/>
    <x v="3"/>
    <x v="11"/>
    <s v="가정용 전기전자"/>
    <s v="가사용 전기전자"/>
    <s v="청소기"/>
    <s v="로보락S9MaxV"/>
    <x v="58"/>
    <s v="방송(대)방송기타(중)"/>
    <s v="날씨"/>
    <s v="600X314"/>
    <x v="2"/>
    <s v="25.02.27"/>
    <s v="25.02.27"/>
    <s v="GDN"/>
    <n v="52"/>
  </r>
  <r>
    <s v="PC"/>
    <x v="3"/>
    <x v="11"/>
    <s v="가정용 전기전자"/>
    <s v="가사용 전기전자"/>
    <s v="청소기"/>
    <s v="로보락S9MaxV"/>
    <x v="24"/>
    <s v="신문/잡지(대)스포츠신문(중)"/>
    <s v="게임"/>
    <s v="1200X600"/>
    <x v="0"/>
    <s v="25.04.11"/>
    <s v="25.04.11"/>
    <s v="카카오광고"/>
    <n v="176"/>
  </r>
  <r>
    <s v="PC"/>
    <x v="3"/>
    <x v="11"/>
    <s v="가정용 전기전자"/>
    <s v="가사용 전기전자"/>
    <s v="청소기"/>
    <s v="로보락S9MaxV"/>
    <x v="24"/>
    <s v="신문/잡지(대)스포츠신문(중)"/>
    <s v="스포츠"/>
    <s v="600X314"/>
    <x v="2"/>
    <s v="25.02.14"/>
    <s v="25.02.14"/>
    <s v="GDN"/>
    <n v="52"/>
  </r>
  <r>
    <s v="PC"/>
    <x v="3"/>
    <x v="11"/>
    <s v="가정용 전기전자"/>
    <s v="가사용 전기전자"/>
    <s v="청소기"/>
    <s v="로보락S9MaxV"/>
    <x v="24"/>
    <s v="신문/잡지(대)스포츠신문(중)"/>
    <s v="연예"/>
    <s v="600X314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24"/>
    <s v="신문/잡지(대)스포츠신문(중)"/>
    <s v="오피니언"/>
    <s v="1200X600"/>
    <x v="4"/>
    <s v="25.03.01"/>
    <s v="25.03.01"/>
    <s v="카카오광고"/>
    <n v="176"/>
  </r>
  <r>
    <s v="PC"/>
    <x v="3"/>
    <x v="11"/>
    <s v="가정용 전기전자"/>
    <s v="가사용 전기전자"/>
    <s v="청소기"/>
    <s v="로보락S9MaxV"/>
    <x v="24"/>
    <s v="신문/잡지(대)스포츠신문(중)"/>
    <s v="축구"/>
    <s v="1200X600"/>
    <x v="4"/>
    <s v="25.03.26"/>
    <s v="25.03.30"/>
    <s v="카카오광고"/>
    <n v="880"/>
  </r>
  <r>
    <s v="PC"/>
    <x v="3"/>
    <x v="11"/>
    <s v="가정용 전기전자"/>
    <s v="가사용 전기전자"/>
    <s v="청소기"/>
    <s v="로보락S9MaxV"/>
    <x v="60"/>
    <s v="신문/잡지(대)종합일간지(중)"/>
    <s v="경제"/>
    <s v="900X1800"/>
    <x v="2"/>
    <s v="25.02.22"/>
    <s v="25.02.22"/>
    <s v="GDN"/>
    <n v="52"/>
  </r>
  <r>
    <s v="PC"/>
    <x v="3"/>
    <x v="11"/>
    <s v="가정용 전기전자"/>
    <s v="가사용 전기전자"/>
    <s v="청소기"/>
    <s v="로보락S9MaxV"/>
    <x v="60"/>
    <s v="신문/잡지(대)종합일간지(중)"/>
    <s v="로그인"/>
    <s v="1200X600"/>
    <x v="4"/>
    <s v="25.03.13"/>
    <s v="25.03.13"/>
    <s v="카카오광고"/>
    <n v="176"/>
  </r>
  <r>
    <s v="PC"/>
    <x v="3"/>
    <x v="11"/>
    <s v="가정용 전기전자"/>
    <s v="가사용 전기전자"/>
    <s v="청소기"/>
    <s v="로보락S9MaxV"/>
    <x v="60"/>
    <s v="신문/잡지(대)종합일간지(중)"/>
    <s v="문화"/>
    <s v="600X314"/>
    <x v="0"/>
    <s v="25.04.01"/>
    <s v="25.04.01"/>
    <s v="GDN"/>
    <n v="62"/>
  </r>
  <r>
    <s v="PC"/>
    <x v="3"/>
    <x v="11"/>
    <s v="가정용 전기전자"/>
    <s v="가사용 전기전자"/>
    <s v="청소기"/>
    <s v="로보락S9MaxV"/>
    <x v="61"/>
    <s v="방송(대)방송기타(중)"/>
    <s v="동영상플레이어"/>
    <s v="600X314"/>
    <x v="2"/>
    <s v="25.02.09"/>
    <s v="25.02.09"/>
    <s v="GDN"/>
    <n v="52"/>
  </r>
  <r>
    <s v="PC"/>
    <x v="3"/>
    <x v="11"/>
    <s v="가정용 전기전자"/>
    <s v="가사용 전기전자"/>
    <s v="청소기"/>
    <s v="로보락S9MaxV"/>
    <x v="61"/>
    <s v="방송(대)방송기타(중)"/>
    <s v="동영상플레이어"/>
    <s v="900X1800"/>
    <x v="2"/>
    <s v="25.02.12"/>
    <s v="25.02.12"/>
    <s v="GDN"/>
    <n v="52"/>
  </r>
  <r>
    <s v="PC"/>
    <x v="3"/>
    <x v="11"/>
    <s v="가정용 전기전자"/>
    <s v="가사용 전기전자"/>
    <s v="청소기"/>
    <s v="로보락S9MaxV"/>
    <x v="61"/>
    <s v="방송(대)방송기타(중)"/>
    <s v="JTBC골프"/>
    <s v="600X314"/>
    <x v="2"/>
    <s v="25.02.19"/>
    <s v="25.02.20"/>
    <s v="GDN"/>
    <n v="104"/>
  </r>
  <r>
    <s v="PC"/>
    <x v="3"/>
    <x v="12"/>
    <s v="가정용 전기전자"/>
    <s v="가사용 전기전자"/>
    <s v="청소기"/>
    <s v="로보락F25Ace"/>
    <x v="26"/>
    <s v="포털(대)포털(중)"/>
    <s v="메인"/>
    <s v="1200X600"/>
    <x v="2"/>
    <s v="25.02.25"/>
    <s v="25.02.28"/>
    <s v="카카오광고"/>
    <n v="7119"/>
  </r>
  <r>
    <s v="PC"/>
    <x v="3"/>
    <x v="12"/>
    <s v="가정용 전기전자"/>
    <s v="가사용 전기전자"/>
    <s v="청소기"/>
    <s v="로보락F25Ace"/>
    <x v="26"/>
    <s v="포털(대)포털(중)"/>
    <s v="메인"/>
    <s v="600X314"/>
    <x v="0"/>
    <s v="25.04.01"/>
    <s v="25.04.01"/>
    <s v="GDN"/>
    <n v="701"/>
  </r>
  <r>
    <s v="PC"/>
    <x v="3"/>
    <x v="12"/>
    <s v="가정용 전기전자"/>
    <s v="가사용 전기전자"/>
    <s v="청소기"/>
    <s v="로보락F25Ace"/>
    <x v="0"/>
    <s v="신문/잡지(대)종합일간지(중)"/>
    <s v="뉴스"/>
    <s v="600X314"/>
    <x v="2"/>
    <s v="25.02.26"/>
    <s v="25.02.28"/>
    <s v="GDN"/>
    <n v="156"/>
  </r>
  <r>
    <s v="PC"/>
    <x v="3"/>
    <x v="12"/>
    <s v="가정용 전기전자"/>
    <s v="가사용 전기전자"/>
    <s v="청소기"/>
    <s v="로보락F25Ace"/>
    <x v="0"/>
    <s v="신문/잡지(대)종합일간지(중)"/>
    <s v="스포츠조선"/>
    <s v="1200X600"/>
    <x v="4"/>
    <s v="25.03.15"/>
    <s v="25.03.15"/>
    <s v="카카오광고"/>
    <n v="176"/>
  </r>
  <r>
    <s v="PC"/>
    <x v="3"/>
    <x v="12"/>
    <s v="가정용 전기전자"/>
    <s v="가사용 전기전자"/>
    <s v="청소기"/>
    <s v="로보락F25Ace"/>
    <x v="0"/>
    <s v="신문/잡지(대)종합일간지(중)"/>
    <s v="스포츠조선"/>
    <s v="1200X600"/>
    <x v="4"/>
    <s v="25.03.20"/>
    <s v="25.03.20"/>
    <s v="카카오광고"/>
    <n v="176"/>
  </r>
  <r>
    <s v="PC"/>
    <x v="3"/>
    <x v="12"/>
    <s v="가정용 전기전자"/>
    <s v="가사용 전기전자"/>
    <s v="청소기"/>
    <s v="로보락F25Ace"/>
    <x v="29"/>
    <s v="방송(대)방송국(중)"/>
    <s v="드라마"/>
    <s v="1200X1200"/>
    <x v="4"/>
    <s v="25.03.03"/>
    <s v="25.03.03"/>
    <s v="GDN"/>
    <n v="52"/>
  </r>
  <r>
    <s v="PC"/>
    <x v="3"/>
    <x v="12"/>
    <s v="가정용 전기전자"/>
    <s v="가사용 전기전자"/>
    <s v="청소기"/>
    <s v="로보락F25Ace"/>
    <x v="29"/>
    <s v="방송(대)방송국(중)"/>
    <s v="예능"/>
    <s v="1200X1200"/>
    <x v="2"/>
    <s v="25.02.27"/>
    <s v="25.02.27"/>
    <s v="GDN"/>
    <n v="52"/>
  </r>
  <r>
    <s v="PC"/>
    <x v="3"/>
    <x v="12"/>
    <s v="가정용 전기전자"/>
    <s v="가사용 전기전자"/>
    <s v="청소기"/>
    <s v="로보락F25Ace"/>
    <x v="31"/>
    <s v="신문/잡지(대)스포츠신문(중)"/>
    <s v="경제"/>
    <s v="1200X600"/>
    <x v="4"/>
    <s v="25.03.14"/>
    <s v="25.03.14"/>
    <s v="카카오광고"/>
    <n v="176"/>
  </r>
  <r>
    <s v="PC"/>
    <x v="3"/>
    <x v="12"/>
    <s v="가정용 전기전자"/>
    <s v="가사용 전기전자"/>
    <s v="청소기"/>
    <s v="로보락F25Ace"/>
    <x v="31"/>
    <s v="신문/잡지(대)스포츠신문(중)"/>
    <s v="스포츠"/>
    <s v="1200X600"/>
    <x v="4"/>
    <s v="25.03.01"/>
    <s v="25.03.01"/>
    <s v="카카오광고"/>
    <n v="176"/>
  </r>
  <r>
    <s v="PC"/>
    <x v="3"/>
    <x v="12"/>
    <s v="가정용 전기전자"/>
    <s v="가사용 전기전자"/>
    <s v="청소기"/>
    <s v="로보락F25Ace"/>
    <x v="1"/>
    <s v="포털(대)포털(중)"/>
    <s v="뉴스"/>
    <s v="600X314"/>
    <x v="2"/>
    <s v="25.02.12"/>
    <s v="25.02.12"/>
    <s v="GDN"/>
    <n v="52"/>
  </r>
  <r>
    <s v="PC"/>
    <x v="3"/>
    <x v="12"/>
    <s v="가정용 전기전자"/>
    <s v="가사용 전기전자"/>
    <s v="청소기"/>
    <s v="로보락F25Ace"/>
    <x v="2"/>
    <s v="신문/잡지(대)종합일간지(중)"/>
    <s v="주간동아"/>
    <s v="600X314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4"/>
    <s v="신문/잡지(대)종합일간지(중)"/>
    <s v="애니멀피플"/>
    <s v="600X314"/>
    <x v="0"/>
    <s v="25.04.08"/>
    <s v="25.04.11"/>
    <s v="GDN"/>
    <n v="248"/>
  </r>
  <r>
    <s v="PC"/>
    <x v="3"/>
    <x v="12"/>
    <s v="가정용 전기전자"/>
    <s v="가사용 전기전자"/>
    <s v="청소기"/>
    <s v="로보락F25Ace"/>
    <x v="4"/>
    <s v="신문/잡지(대)종합일간지(중)"/>
    <s v="한겨레21"/>
    <s v="600X314"/>
    <x v="2"/>
    <s v="25.02.26"/>
    <s v="25.02.28"/>
    <s v="GDN"/>
    <n v="156"/>
  </r>
  <r>
    <s v="PC"/>
    <x v="3"/>
    <x v="12"/>
    <s v="가정용 전기전자"/>
    <s v="가사용 전기전자"/>
    <s v="청소기"/>
    <s v="로보락F25Ace"/>
    <x v="5"/>
    <s v="신문/잡지(대)경제신문(중)"/>
    <s v="메인"/>
    <s v="600X314"/>
    <x v="2"/>
    <s v="25.02.26"/>
    <s v="25.02.28"/>
    <s v="GDN"/>
    <n v="156"/>
  </r>
  <r>
    <s v="PC"/>
    <x v="3"/>
    <x v="12"/>
    <s v="가정용 전기전자"/>
    <s v="가사용 전기전자"/>
    <s v="청소기"/>
    <s v="로보락F25Ace"/>
    <x v="5"/>
    <s v="신문/잡지(대)경제신문(중)"/>
    <s v="부동산"/>
    <s v="1200X1200"/>
    <x v="4"/>
    <s v="25.03.06"/>
    <s v="25.03.06"/>
    <s v="GDN"/>
    <n v="52"/>
  </r>
  <r>
    <s v="PC"/>
    <x v="3"/>
    <x v="12"/>
    <s v="가정용 전기전자"/>
    <s v="가사용 전기전자"/>
    <s v="청소기"/>
    <s v="로보락F25Ace"/>
    <x v="6"/>
    <s v="생활정보(대)쇼핑/가격정보(중)"/>
    <s v="갤러리"/>
    <s v="1200X1200"/>
    <x v="2"/>
    <s v="25.02.27"/>
    <s v="25.02.27"/>
    <s v="GDN"/>
    <n v="18"/>
  </r>
  <r>
    <s v="PC"/>
    <x v="3"/>
    <x v="12"/>
    <s v="가정용 전기전자"/>
    <s v="가사용 전기전자"/>
    <s v="청소기"/>
    <s v="로보락F25Ace"/>
    <x v="6"/>
    <s v="생활정보(대)쇼핑/가격정보(중)"/>
    <s v="갤러리"/>
    <s v="1200X600"/>
    <x v="4"/>
    <s v="25.03.23"/>
    <s v="25.03.23"/>
    <s v="카카오광고"/>
    <n v="62"/>
  </r>
  <r>
    <s v="PC"/>
    <x v="3"/>
    <x v="12"/>
    <s v="가정용 전기전자"/>
    <s v="가사용 전기전자"/>
    <s v="청소기"/>
    <s v="로보락F25Ace"/>
    <x v="7"/>
    <s v="신문/잡지(대)온라인뉴스(중)"/>
    <s v="여행"/>
    <s v="600X314"/>
    <x v="2"/>
    <s v="25.02.26"/>
    <s v="25.02.27"/>
    <s v="GDN"/>
    <n v="104"/>
  </r>
  <r>
    <s v="PC"/>
    <x v="3"/>
    <x v="12"/>
    <s v="가정용 전기전자"/>
    <s v="가사용 전기전자"/>
    <s v="청소기"/>
    <s v="로보락F25Ace"/>
    <x v="35"/>
    <s v="신문/잡지(대)종합일간지(중)"/>
    <s v="오피니언"/>
    <s v="900X750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8"/>
    <s v="신문/잡지(대)경제신문(중)"/>
    <s v="메인"/>
    <s v="1200X1200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8"/>
    <s v="신문/잡지(대)경제신문(중)"/>
    <s v="보도"/>
    <s v="1200X1200"/>
    <x v="4"/>
    <s v="25.03.04"/>
    <s v="25.03.06"/>
    <s v="GDN"/>
    <n v="156"/>
  </r>
  <r>
    <s v="PC"/>
    <x v="3"/>
    <x v="12"/>
    <s v="가정용 전기전자"/>
    <s v="가사용 전기전자"/>
    <s v="청소기"/>
    <s v="로보락F25Ace"/>
    <x v="10"/>
    <s v="신문/잡지(대)종합일간지(중)"/>
    <s v="문화"/>
    <s v="600X314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13"/>
    <s v="신문/잡지(대)IT관련 뉴스(중)"/>
    <s v="글로벌"/>
    <s v="600X314"/>
    <x v="2"/>
    <s v="25.02.26"/>
    <s v="25.02.28"/>
    <s v="GDN"/>
    <n v="156"/>
  </r>
  <r>
    <s v="PC"/>
    <x v="3"/>
    <x v="12"/>
    <s v="가정용 전기전자"/>
    <s v="가사용 전기전자"/>
    <s v="청소기"/>
    <s v="로보락F25Ace"/>
    <x v="13"/>
    <s v="신문/잡지(대)IT관련 뉴스(중)"/>
    <s v="뉴스"/>
    <s v="1200X1200"/>
    <x v="4"/>
    <s v="25.03.05"/>
    <s v="25.03.06"/>
    <s v="GDN"/>
    <n v="104"/>
  </r>
  <r>
    <s v="PC"/>
    <x v="3"/>
    <x v="12"/>
    <s v="가정용 전기전자"/>
    <s v="가사용 전기전자"/>
    <s v="청소기"/>
    <s v="로보락F25Ace"/>
    <x v="65"/>
    <s v="방송(대)방송국(중)"/>
    <s v="TV"/>
    <s v="1200X1200"/>
    <x v="4"/>
    <s v="25.03.05"/>
    <s v="25.03.05"/>
    <s v="GDN"/>
    <n v="52"/>
  </r>
  <r>
    <s v="PC"/>
    <x v="3"/>
    <x v="12"/>
    <s v="가정용 전기전자"/>
    <s v="가사용 전기전자"/>
    <s v="청소기"/>
    <s v="로보락F25Ace"/>
    <x v="14"/>
    <s v="신문/잡지(대)IT관련 뉴스(중)"/>
    <s v="메인"/>
    <s v="600X314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50"/>
    <s v="신문/잡지(대)경제신문(중)"/>
    <s v="뉴스"/>
    <s v="1200X600"/>
    <x v="2"/>
    <s v="25.02.27"/>
    <s v="25.02.27"/>
    <s v="카카오광고"/>
    <n v="68"/>
  </r>
  <r>
    <s v="PC"/>
    <x v="3"/>
    <x v="12"/>
    <s v="가정용 전기전자"/>
    <s v="가사용 전기전자"/>
    <s v="청소기"/>
    <s v="로보락F25Ace"/>
    <x v="18"/>
    <s v="금융/비즈니스(대)증권정보(중)"/>
    <s v="라씨매매신호"/>
    <s v="600X314"/>
    <x v="0"/>
    <s v="25.04.11"/>
    <s v="25.04.11"/>
    <s v="GDN"/>
    <n v="62"/>
  </r>
  <r>
    <s v="PC"/>
    <x v="3"/>
    <x v="12"/>
    <s v="가정용 전기전자"/>
    <s v="가사용 전기전자"/>
    <s v="청소기"/>
    <s v="로보락F25Ace"/>
    <x v="20"/>
    <s v="생활정보(대)쇼핑/가격정보(중)"/>
    <s v="스마트폰/모바일"/>
    <s v="1200X1200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22"/>
    <s v="커뮤니티(대)게시판(중)"/>
    <s v="만화"/>
    <s v="1200X600"/>
    <x v="0"/>
    <s v="25.04.14"/>
    <s v="25.04.14"/>
    <s v="카카오광고"/>
    <n v="176"/>
  </r>
  <r>
    <s v="PC"/>
    <x v="3"/>
    <x v="12"/>
    <s v="가정용 전기전자"/>
    <s v="가사용 전기전자"/>
    <s v="청소기"/>
    <s v="로보락F25Ace"/>
    <x v="22"/>
    <s v="커뮤니티(대)게시판(중)"/>
    <s v="취미갤러리"/>
    <s v="1200X600"/>
    <x v="0"/>
    <s v="25.04.11"/>
    <s v="25.04.11"/>
    <s v="카카오광고"/>
    <n v="176"/>
  </r>
  <r>
    <s v="PC"/>
    <x v="3"/>
    <x v="12"/>
    <s v="가정용 전기전자"/>
    <s v="가사용 전기전자"/>
    <s v="청소기"/>
    <s v="로보락F25Ace"/>
    <x v="53"/>
    <s v="신문/잡지(대)IT관련 뉴스(중)"/>
    <s v="메인"/>
    <s v="1200X1200"/>
    <x v="2"/>
    <s v="25.02.26"/>
    <s v="25.02.28"/>
    <s v="GDN"/>
    <n v="156"/>
  </r>
  <r>
    <s v="PC"/>
    <x v="3"/>
    <x v="12"/>
    <s v="가정용 전기전자"/>
    <s v="가사용 전기전자"/>
    <s v="청소기"/>
    <s v="로보락F25Ace"/>
    <x v="67"/>
    <s v="포털(대)포털(중)"/>
    <s v="정치사회"/>
    <s v="1200X1200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54"/>
    <s v="신문/잡지(대)스포츠신문(중)"/>
    <s v="스포츠"/>
    <s v="1200X600"/>
    <x v="4"/>
    <s v="25.03.11"/>
    <s v="25.03.11"/>
    <s v="카카오광고"/>
    <n v="176"/>
  </r>
  <r>
    <s v="PC"/>
    <x v="3"/>
    <x v="12"/>
    <s v="가정용 전기전자"/>
    <s v="가사용 전기전자"/>
    <s v="청소기"/>
    <s v="로보락F25Ace"/>
    <x v="23"/>
    <s v="포털(대)포털(중)"/>
    <s v="동영상플레이어"/>
    <s v="1200X1200"/>
    <x v="2"/>
    <s v="25.02.24"/>
    <s v="25.02.26"/>
    <s v="GDN"/>
    <n v="156"/>
  </r>
  <r>
    <s v="PC"/>
    <x v="3"/>
    <x v="12"/>
    <s v="가정용 전기전자"/>
    <s v="가사용 전기전자"/>
    <s v="청소기"/>
    <s v="로보락F25Ace"/>
    <x v="23"/>
    <s v="포털(대)포털(중)"/>
    <s v="동영상플레이어"/>
    <s v="600X314"/>
    <x v="0"/>
    <s v="25.04.11"/>
    <s v="25.04.11"/>
    <s v="GDN"/>
    <n v="62"/>
  </r>
  <r>
    <s v="PC"/>
    <x v="3"/>
    <x v="12"/>
    <s v="가정용 전기전자"/>
    <s v="가사용 전기전자"/>
    <s v="청소기"/>
    <s v="로보락F25Ace"/>
    <x v="66"/>
    <s v="생활정보(대)쇼핑/가격정보(중)"/>
    <s v="메인"/>
    <s v="750X378"/>
    <x v="0"/>
    <s v="25.04.29"/>
    <s v="25.04.30"/>
    <s v="-"/>
    <n v="184"/>
  </r>
  <r>
    <s v="PC"/>
    <x v="3"/>
    <x v="12"/>
    <s v="가정용 전기전자"/>
    <s v="가사용 전기전자"/>
    <s v="청소기"/>
    <s v="로보락F25Ace"/>
    <x v="66"/>
    <s v="생활정보(대)쇼핑/가격정보(중)"/>
    <s v="메인"/>
    <s v="750X378"/>
    <x v="1"/>
    <s v="25.05.01"/>
    <s v="25.05.04"/>
    <s v="-"/>
    <n v="369"/>
  </r>
  <r>
    <s v="PC"/>
    <x v="3"/>
    <x v="12"/>
    <s v="가정용 전기전자"/>
    <s v="가사용 전기전자"/>
    <s v="청소기"/>
    <s v="로보락F25Ace"/>
    <x v="66"/>
    <s v="생활정보(대)쇼핑/가격정보(중)"/>
    <s v="메인"/>
    <s v="750X378"/>
    <x v="1"/>
    <s v="25.05.05"/>
    <s v="25.05.11"/>
    <s v="-"/>
    <n v="645"/>
  </r>
  <r>
    <s v="PC"/>
    <x v="3"/>
    <x v="12"/>
    <s v="가정용 전기전자"/>
    <s v="가사용 전기전자"/>
    <s v="청소기"/>
    <s v="로보락F25Ace"/>
    <x v="66"/>
    <s v="생활정보(대)쇼핑/가격정보(중)"/>
    <s v="메인"/>
    <s v="750X378"/>
    <x v="1"/>
    <s v="25.05.12"/>
    <s v="25.05.18"/>
    <s v="-"/>
    <n v="645"/>
  </r>
  <r>
    <s v="PC"/>
    <x v="3"/>
    <x v="12"/>
    <s v="가정용 전기전자"/>
    <s v="가사용 전기전자"/>
    <s v="청소기"/>
    <s v="로보락F25Ace"/>
    <x v="66"/>
    <s v="생활정보(대)쇼핑/가격정보(중)"/>
    <s v="메인"/>
    <s v="750X378"/>
    <x v="1"/>
    <s v="25.05.19"/>
    <s v="25.05.22"/>
    <s v="-"/>
    <n v="369"/>
  </r>
  <r>
    <s v="PC"/>
    <x v="3"/>
    <x v="12"/>
    <s v="가정용 전기전자"/>
    <s v="가사용 전기전자"/>
    <s v="청소기"/>
    <s v="로보락F25Ace"/>
    <x v="59"/>
    <s v="방송(대)방송기타(중)"/>
    <s v="뉴스"/>
    <s v="600X314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59"/>
    <s v="방송(대)방송기타(중)"/>
    <s v="동영상플레이어"/>
    <s v="1200X1200"/>
    <x v="4"/>
    <s v="25.03.06"/>
    <s v="25.03.06"/>
    <s v="GDN"/>
    <n v="52"/>
  </r>
  <r>
    <s v="PC"/>
    <x v="3"/>
    <x v="12"/>
    <s v="가정용 전기전자"/>
    <s v="가사용 전기전자"/>
    <s v="청소기"/>
    <s v="로보락F25Ace"/>
    <x v="24"/>
    <s v="신문/잡지(대)스포츠신문(중)"/>
    <s v="무비위크"/>
    <s v="1200X600"/>
    <x v="4"/>
    <s v="25.03.01"/>
    <s v="25.03.01"/>
    <s v="카카오광고"/>
    <n v="176"/>
  </r>
  <r>
    <s v="PC"/>
    <x v="3"/>
    <x v="12"/>
    <s v="가정용 전기전자"/>
    <s v="가사용 전기전자"/>
    <s v="청소기"/>
    <s v="로보락F25Ace"/>
    <x v="24"/>
    <s v="신문/잡지(대)스포츠신문(중)"/>
    <s v="야구"/>
    <s v="600X314"/>
    <x v="2"/>
    <s v="25.02.26"/>
    <s v="25.02.26"/>
    <s v="GDN"/>
    <n v="52"/>
  </r>
  <r>
    <s v="PC"/>
    <x v="3"/>
    <x v="12"/>
    <s v="가정용 전기전자"/>
    <s v="가사용 전기전자"/>
    <s v="청소기"/>
    <s v="로보락F25Ace"/>
    <x v="24"/>
    <s v="신문/잡지(대)스포츠신문(중)"/>
    <s v="축구"/>
    <s v="1200X1200"/>
    <x v="4"/>
    <s v="25.03.04"/>
    <s v="25.03.06"/>
    <s v="GDN"/>
    <n v="156"/>
  </r>
  <r>
    <s v="PC"/>
    <x v="3"/>
    <x v="12"/>
    <s v="가정용 전기전자"/>
    <s v="가사용 전기전자"/>
    <s v="청소기"/>
    <s v="로보락F25Ace"/>
    <x v="60"/>
    <s v="신문/잡지(대)종합일간지(중)"/>
    <s v="사회"/>
    <s v="600X314"/>
    <x v="2"/>
    <s v="25.02.26"/>
    <s v="25.02.28"/>
    <s v="GDN"/>
    <n v="156"/>
  </r>
  <r>
    <s v="PC"/>
    <x v="3"/>
    <x v="12"/>
    <s v="가정용 전기전자"/>
    <s v="가사용 전기전자"/>
    <s v="청소기"/>
    <s v="로보락F25Ace"/>
    <x v="61"/>
    <s v="방송(대)방송기타(중)"/>
    <s v="JTBC골프"/>
    <s v="600X314"/>
    <x v="2"/>
    <s v="25.02.27"/>
    <s v="25.02.27"/>
    <s v="GDN"/>
    <n v="52"/>
  </r>
  <r>
    <s v="PC"/>
    <x v="3"/>
    <x v="13"/>
    <s v="가정용 전기전자"/>
    <s v="가사용 전기전자"/>
    <s v="청소기"/>
    <s v="로보락Q레보엣지C"/>
    <x v="26"/>
    <s v="포털(대)포털(중)"/>
    <s v="메인"/>
    <s v="600X314"/>
    <x v="4"/>
    <s v="25.03.28"/>
    <s v="25.03.29"/>
    <s v="GDN"/>
    <n v="1175"/>
  </r>
  <r>
    <s v="PC"/>
    <x v="3"/>
    <x v="13"/>
    <s v="가정용 전기전자"/>
    <s v="가사용 전기전자"/>
    <s v="청소기"/>
    <s v="로보락Q레보엣지C"/>
    <x v="26"/>
    <s v="포털(대)포털(중)"/>
    <s v="메인"/>
    <s v="600X314"/>
    <x v="0"/>
    <s v="25.04.01"/>
    <s v="25.04.04"/>
    <s v="GDN"/>
    <n v="2802"/>
  </r>
  <r>
    <s v="PC"/>
    <x v="3"/>
    <x v="13"/>
    <s v="가정용 전기전자"/>
    <s v="가사용 전기전자"/>
    <s v="청소기"/>
    <s v="로보락Q레보엣지C"/>
    <x v="26"/>
    <s v="포털(대)포털(중)"/>
    <s v="메인"/>
    <s v="600X314"/>
    <x v="1"/>
    <s v="25.05.02"/>
    <s v="25.05.02"/>
    <s v="GDN"/>
    <n v="701"/>
  </r>
  <r>
    <s v="PC"/>
    <x v="3"/>
    <x v="13"/>
    <s v="가정용 전기전자"/>
    <s v="가사용 전기전자"/>
    <s v="청소기"/>
    <s v="로보락Q레보엣지C"/>
    <x v="27"/>
    <s v="포털(대)포털(중)"/>
    <s v="네이트뷰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27"/>
    <s v="포털(대)포털(중)"/>
    <s v="네이트뷰"/>
    <s v="1200X1200"/>
    <x v="0"/>
    <s v="25.04.11"/>
    <s v="25.04.11"/>
    <s v="GDN"/>
    <n v="62"/>
  </r>
  <r>
    <s v="PC"/>
    <x v="3"/>
    <x v="13"/>
    <s v="가정용 전기전자"/>
    <s v="가사용 전기전자"/>
    <s v="청소기"/>
    <s v="로보락Q레보엣지C"/>
    <x v="0"/>
    <s v="신문/잡지(대)종합일간지(중)"/>
    <s v="뉴스"/>
    <s v="600X314"/>
    <x v="4"/>
    <s v="25.03.28"/>
    <s v="25.03.29"/>
    <s v="GDN"/>
    <n v="104"/>
  </r>
  <r>
    <s v="PC"/>
    <x v="3"/>
    <x v="13"/>
    <s v="가정용 전기전자"/>
    <s v="가사용 전기전자"/>
    <s v="청소기"/>
    <s v="로보락Q레보엣지C"/>
    <x v="29"/>
    <s v="방송(대)방송국(중)"/>
    <s v="동영상플레이어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31"/>
    <s v="신문/잡지(대)스포츠신문(중)"/>
    <s v="메인"/>
    <s v="600X314"/>
    <x v="1"/>
    <s v="25.05.03"/>
    <s v="25.05.03"/>
    <s v="GDN"/>
    <n v="62"/>
  </r>
  <r>
    <s v="PC"/>
    <x v="3"/>
    <x v="13"/>
    <s v="가정용 전기전자"/>
    <s v="가사용 전기전자"/>
    <s v="청소기"/>
    <s v="로보락Q레보엣지C"/>
    <x v="31"/>
    <s v="신문/잡지(대)스포츠신문(중)"/>
    <s v="스포츠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31"/>
    <s v="신문/잡지(대)스포츠신문(중)"/>
    <s v="야구"/>
    <s v="600X314"/>
    <x v="0"/>
    <s v="25.04.02"/>
    <s v="25.04.02"/>
    <s v="GDN"/>
    <n v="62"/>
  </r>
  <r>
    <s v="PC"/>
    <x v="3"/>
    <x v="13"/>
    <s v="가정용 전기전자"/>
    <s v="가사용 전기전자"/>
    <s v="청소기"/>
    <s v="로보락Q레보엣지C"/>
    <x v="32"/>
    <s v="신문/잡지(대)스포츠신문(중)"/>
    <s v="연예"/>
    <s v="1200X1200"/>
    <x v="4"/>
    <s v="25.03.21"/>
    <s v="25.03.21"/>
    <s v="GDN"/>
    <n v="52"/>
  </r>
  <r>
    <s v="PC"/>
    <x v="3"/>
    <x v="13"/>
    <s v="가정용 전기전자"/>
    <s v="가사용 전기전자"/>
    <s v="청소기"/>
    <s v="로보락Q레보엣지C"/>
    <x v="4"/>
    <s v="신문/잡지(대)종합일간지(중)"/>
    <s v="문화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64"/>
    <s v="엔터테인먼트(대)영화/공연(중)"/>
    <s v="홈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34"/>
    <s v="신문/잡지(대)온라인뉴스(중)"/>
    <s v="책동네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5"/>
    <s v="신문/잡지(대)경제신문(중)"/>
    <s v="메인"/>
    <s v="600X314"/>
    <x v="4"/>
    <s v="25.03.21"/>
    <s v="25.03.21"/>
    <s v="GDN"/>
    <n v="52"/>
  </r>
  <r>
    <s v="PC"/>
    <x v="3"/>
    <x v="13"/>
    <s v="가정용 전기전자"/>
    <s v="가사용 전기전자"/>
    <s v="청소기"/>
    <s v="로보락Q레보엣지C"/>
    <x v="5"/>
    <s v="신문/잡지(대)경제신문(중)"/>
    <s v="증권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6"/>
    <s v="생활정보(대)쇼핑/가격정보(중)"/>
    <s v="뉴스"/>
    <s v="600X314"/>
    <x v="4"/>
    <s v="25.03.28"/>
    <s v="25.03.28"/>
    <s v="GDN"/>
    <n v="18"/>
  </r>
  <r>
    <s v="PC"/>
    <x v="3"/>
    <x v="13"/>
    <s v="가정용 전기전자"/>
    <s v="가사용 전기전자"/>
    <s v="청소기"/>
    <s v="로보락Q레보엣지C"/>
    <x v="6"/>
    <s v="생활정보(대)쇼핑/가격정보(중)"/>
    <s v="마이너갤러리"/>
    <s v="1200X600"/>
    <x v="0"/>
    <s v="25.04.02"/>
    <s v="25.04.02"/>
    <s v="카카오광고"/>
    <n v="62"/>
  </r>
  <r>
    <s v="PC"/>
    <x v="3"/>
    <x v="13"/>
    <s v="가정용 전기전자"/>
    <s v="가사용 전기전자"/>
    <s v="청소기"/>
    <s v="로보락Q레보엣지C"/>
    <x v="35"/>
    <s v="신문/잡지(대)종합일간지(중)"/>
    <s v="메인"/>
    <s v="600X314"/>
    <x v="4"/>
    <s v="25.03.28"/>
    <s v="25.03.29"/>
    <s v="GDN"/>
    <n v="104"/>
  </r>
  <r>
    <s v="PC"/>
    <x v="3"/>
    <x v="13"/>
    <s v="가정용 전기전자"/>
    <s v="가사용 전기전자"/>
    <s v="청소기"/>
    <s v="로보락Q레보엣지C"/>
    <x v="8"/>
    <s v="신문/잡지(대)경제신문(중)"/>
    <s v="라이프"/>
    <s v="600X314"/>
    <x v="4"/>
    <s v="25.03.28"/>
    <s v="25.03.29"/>
    <s v="GDN"/>
    <n v="104"/>
  </r>
  <r>
    <s v="PC"/>
    <x v="3"/>
    <x v="13"/>
    <s v="가정용 전기전자"/>
    <s v="가사용 전기전자"/>
    <s v="청소기"/>
    <s v="로보락Q레보엣지C"/>
    <x v="8"/>
    <s v="신문/잡지(대)경제신문(중)"/>
    <s v="연예"/>
    <s v="600X314"/>
    <x v="1"/>
    <s v="25.05.03"/>
    <s v="25.05.03"/>
    <s v="GDN"/>
    <n v="62"/>
  </r>
  <r>
    <s v="PC"/>
    <x v="3"/>
    <x v="13"/>
    <s v="가정용 전기전자"/>
    <s v="가사용 전기전자"/>
    <s v="청소기"/>
    <s v="로보락Q레보엣지C"/>
    <x v="38"/>
    <s v="신문/잡지(대)온라인뉴스(중)"/>
    <s v="경제"/>
    <s v="900X1800"/>
    <x v="4"/>
    <s v="25.03.29"/>
    <s v="25.03.29"/>
    <s v="GDN"/>
    <n v="52"/>
  </r>
  <r>
    <s v="PC"/>
    <x v="3"/>
    <x v="13"/>
    <s v="가정용 전기전자"/>
    <s v="가사용 전기전자"/>
    <s v="청소기"/>
    <s v="로보락Q레보엣지C"/>
    <x v="9"/>
    <s v="신문/잡지(대)경제신문(중)"/>
    <s v="국제"/>
    <s v="600X314"/>
    <x v="0"/>
    <s v="25.04.03"/>
    <s v="25.04.03"/>
    <s v="GDN"/>
    <n v="62"/>
  </r>
  <r>
    <s v="PC"/>
    <x v="3"/>
    <x v="13"/>
    <s v="가정용 전기전자"/>
    <s v="가사용 전기전자"/>
    <s v="청소기"/>
    <s v="로보락Q레보엣지C"/>
    <x v="9"/>
    <s v="신문/잡지(대)경제신문(중)"/>
    <s v="사회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10"/>
    <s v="신문/잡지(대)종합일간지(중)"/>
    <s v="연예"/>
    <s v="600X314"/>
    <x v="4"/>
    <s v="25.03.28"/>
    <s v="25.03.29"/>
    <s v="GDN"/>
    <n v="104"/>
  </r>
  <r>
    <s v="PC"/>
    <x v="3"/>
    <x v="13"/>
    <s v="가정용 전기전자"/>
    <s v="가사용 전기전자"/>
    <s v="청소기"/>
    <s v="로보락Q레보엣지C"/>
    <x v="11"/>
    <s v="신문/잡지(대)종합일간지(중)"/>
    <s v="경제"/>
    <s v="600X314"/>
    <x v="4"/>
    <s v="25.03.29"/>
    <s v="25.03.29"/>
    <s v="GDN"/>
    <n v="52"/>
  </r>
  <r>
    <s v="PC"/>
    <x v="3"/>
    <x v="13"/>
    <s v="가정용 전기전자"/>
    <s v="가사용 전기전자"/>
    <s v="청소기"/>
    <s v="로보락Q레보엣지C"/>
    <x v="11"/>
    <s v="신문/잡지(대)종합일간지(중)"/>
    <s v="문화"/>
    <s v="1200X1200"/>
    <x v="0"/>
    <s v="25.04.07"/>
    <s v="25.04.07"/>
    <s v="GDN"/>
    <n v="62"/>
  </r>
  <r>
    <s v="PC"/>
    <x v="3"/>
    <x v="13"/>
    <s v="가정용 전기전자"/>
    <s v="가사용 전기전자"/>
    <s v="청소기"/>
    <s v="로보락Q레보엣지C"/>
    <x v="11"/>
    <s v="신문/잡지(대)종합일간지(중)"/>
    <s v="아살세"/>
    <s v="600X314"/>
    <x v="1"/>
    <s v="25.05.06"/>
    <s v="25.05.11"/>
    <s v="GDN"/>
    <n v="372"/>
  </r>
  <r>
    <s v="PC"/>
    <x v="3"/>
    <x v="13"/>
    <s v="가정용 전기전자"/>
    <s v="가사용 전기전자"/>
    <s v="청소기"/>
    <s v="로보락Q레보엣지C"/>
    <x v="11"/>
    <s v="신문/잡지(대)종합일간지(중)"/>
    <s v="왱"/>
    <s v="600X314"/>
    <x v="0"/>
    <s v="25.04.02"/>
    <s v="25.04.02"/>
    <s v="GDN"/>
    <n v="62"/>
  </r>
  <r>
    <s v="PC"/>
    <x v="3"/>
    <x v="13"/>
    <s v="가정용 전기전자"/>
    <s v="가사용 전기전자"/>
    <s v="청소기"/>
    <s v="로보락Q레보엣지C"/>
    <x v="12"/>
    <s v="신문/잡지(대)IT관련 뉴스(중)"/>
    <s v="골프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42"/>
    <s v="신문/잡지(대)경제신문(중)"/>
    <s v="뉴스"/>
    <s v="600X314"/>
    <x v="0"/>
    <s v="25.04.03"/>
    <s v="25.04.03"/>
    <s v="GDN"/>
    <n v="62"/>
  </r>
  <r>
    <s v="PC"/>
    <x v="3"/>
    <x v="13"/>
    <s v="가정용 전기전자"/>
    <s v="가사용 전기전자"/>
    <s v="청소기"/>
    <s v="로보락Q레보엣지C"/>
    <x v="44"/>
    <s v="방송(대)케이블/위성방송(중)"/>
    <s v="많이 본 뉴스"/>
    <s v="900X1800"/>
    <x v="1"/>
    <s v="25.05.24"/>
    <s v="25.05.24"/>
    <s v="GDN"/>
    <n v="62"/>
  </r>
  <r>
    <s v="PC"/>
    <x v="3"/>
    <x v="13"/>
    <s v="가정용 전기전자"/>
    <s v="가사용 전기전자"/>
    <s v="청소기"/>
    <s v="로보락Q레보엣지C"/>
    <x v="44"/>
    <s v="방송(대)케이블/위성방송(중)"/>
    <s v="연예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45"/>
    <s v="신문/잡지(대)신문/잡지 기타(중)"/>
    <s v="정치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13"/>
    <s v="신문/잡지(대)IT관련 뉴스(중)"/>
    <s v="IT정책"/>
    <s v="600X314"/>
    <x v="1"/>
    <s v="25.05.01"/>
    <s v="25.05.01"/>
    <s v="GDN"/>
    <n v="62"/>
  </r>
  <r>
    <s v="PC"/>
    <x v="3"/>
    <x v="13"/>
    <s v="가정용 전기전자"/>
    <s v="가사용 전기전자"/>
    <s v="청소기"/>
    <s v="로보락Q레보엣지C"/>
    <x v="13"/>
    <s v="신문/잡지(대)IT관련 뉴스(중)"/>
    <s v="IT정책"/>
    <s v="600X314"/>
    <x v="1"/>
    <s v="25.05.24"/>
    <s v="25.05.24"/>
    <s v="GDN"/>
    <n v="62"/>
  </r>
  <r>
    <s v="PC"/>
    <x v="3"/>
    <x v="13"/>
    <s v="가정용 전기전자"/>
    <s v="가사용 전기전자"/>
    <s v="청소기"/>
    <s v="로보락Q레보엣지C"/>
    <x v="65"/>
    <s v="방송(대)방송국(중)"/>
    <s v="동영상플레이어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68"/>
    <s v="생활정보(대)여성/육아(중)"/>
    <s v="메인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14"/>
    <s v="신문/잡지(대)IT관련 뉴스(중)"/>
    <s v="메인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15"/>
    <s v="신문/잡지(대)잡지(중)"/>
    <s v="메인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16"/>
    <s v="신문/잡지(대)온라인뉴스(중)"/>
    <s v="오피니언"/>
    <s v="600X314"/>
    <x v="4"/>
    <s v="25.03.28"/>
    <s v="25.03.29"/>
    <s v="GDN"/>
    <n v="44"/>
  </r>
  <r>
    <s v="PC"/>
    <x v="3"/>
    <x v="13"/>
    <s v="가정용 전기전자"/>
    <s v="가사용 전기전자"/>
    <s v="청소기"/>
    <s v="로보락Q레보엣지C"/>
    <x v="47"/>
    <s v="신문/잡지(대)온라인뉴스(중)"/>
    <s v="뉴스"/>
    <s v="600X314"/>
    <x v="4"/>
    <s v="25.03.29"/>
    <s v="25.03.29"/>
    <s v="GDN"/>
    <n v="52"/>
  </r>
  <r>
    <s v="PC"/>
    <x v="3"/>
    <x v="13"/>
    <s v="가정용 전기전자"/>
    <s v="가사용 전기전자"/>
    <s v="청소기"/>
    <s v="로보락Q레보엣지C"/>
    <x v="18"/>
    <s v="금융/비즈니스(대)증권정보(중)"/>
    <s v="뉴스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52"/>
    <s v="신문/잡지(대)온라인뉴스(중)"/>
    <s v="인기순위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19"/>
    <s v="신문/잡지(대)온라인뉴스(중)"/>
    <s v="사회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20"/>
    <s v="생활정보(대)쇼핑/가격정보(중)"/>
    <s v="메인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20"/>
    <s v="생활정보(대)쇼핑/가격정보(중)"/>
    <s v="메인"/>
    <s v="1200X1200"/>
    <x v="0"/>
    <s v="25.04.01"/>
    <s v="25.04.01"/>
    <s v="GDN"/>
    <n v="62"/>
  </r>
  <r>
    <s v="PC"/>
    <x v="3"/>
    <x v="13"/>
    <s v="가정용 전기전자"/>
    <s v="가사용 전기전자"/>
    <s v="청소기"/>
    <s v="로보락Q레보엣지C"/>
    <x v="20"/>
    <s v="생활정보(대)쇼핑/가격정보(중)"/>
    <s v="메인"/>
    <s v="1200X1200"/>
    <x v="0"/>
    <s v="25.04.11"/>
    <s v="25.04.11"/>
    <s v="GDN"/>
    <n v="62"/>
  </r>
  <r>
    <s v="PC"/>
    <x v="3"/>
    <x v="13"/>
    <s v="가정용 전기전자"/>
    <s v="가사용 전기전자"/>
    <s v="청소기"/>
    <s v="로보락Q레보엣지C"/>
    <x v="21"/>
    <s v="커뮤니티(대)홈페이지(중)"/>
    <s v="커뮤니케이션 기타"/>
    <s v="480X320"/>
    <x v="0"/>
    <s v="25.04.02"/>
    <s v="25.04.06"/>
    <s v="-"/>
    <n v="308"/>
  </r>
  <r>
    <s v="PC"/>
    <x v="3"/>
    <x v="13"/>
    <s v="가정용 전기전자"/>
    <s v="가사용 전기전자"/>
    <s v="청소기"/>
    <s v="로보락Q레보엣지C"/>
    <x v="53"/>
    <s v="신문/잡지(대)IT관련 뉴스(중)"/>
    <s v="메인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54"/>
    <s v="신문/잡지(대)스포츠신문(중)"/>
    <s v="포토"/>
    <s v="1200X1200"/>
    <x v="4"/>
    <s v="25.03.21"/>
    <s v="25.03.21"/>
    <s v="GDN"/>
    <n v="52"/>
  </r>
  <r>
    <s v="PC"/>
    <x v="3"/>
    <x v="13"/>
    <s v="가정용 전기전자"/>
    <s v="가사용 전기전자"/>
    <s v="청소기"/>
    <s v="로보락Q레보엣지C"/>
    <x v="23"/>
    <s v="포털(대)포털(중)"/>
    <s v="동영상플레이어"/>
    <s v="900X1800"/>
    <x v="4"/>
    <s v="25.03.23"/>
    <s v="25.03.23"/>
    <s v="GDN"/>
    <n v="52"/>
  </r>
  <r>
    <s v="PC"/>
    <x v="3"/>
    <x v="13"/>
    <s v="가정용 전기전자"/>
    <s v="가사용 전기전자"/>
    <s v="청소기"/>
    <s v="로보락Q레보엣지C"/>
    <x v="23"/>
    <s v="포털(대)포털(중)"/>
    <s v="동영상플레이어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23"/>
    <s v="포털(대)포털(중)"/>
    <s v="동영상플레이어"/>
    <s v="1200X1200"/>
    <x v="0"/>
    <s v="25.04.11"/>
    <s v="25.04.11"/>
    <s v="GDN"/>
    <n v="62"/>
  </r>
  <r>
    <s v="PC"/>
    <x v="3"/>
    <x v="13"/>
    <s v="가정용 전기전자"/>
    <s v="가사용 전기전자"/>
    <s v="청소기"/>
    <s v="로보락Q레보엣지C"/>
    <x v="23"/>
    <s v="포털(대)포털(중)"/>
    <s v="동영상플레이어"/>
    <s v="600X314"/>
    <x v="1"/>
    <s v="25.05.01"/>
    <s v="25.05.01"/>
    <s v="GDN"/>
    <n v="62"/>
  </r>
  <r>
    <s v="PC"/>
    <x v="3"/>
    <x v="13"/>
    <s v="가정용 전기전자"/>
    <s v="가사용 전기전자"/>
    <s v="청소기"/>
    <s v="로보락Q레보엣지C"/>
    <x v="59"/>
    <s v="방송(대)방송기타(중)"/>
    <s v="메인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24"/>
    <s v="신문/잡지(대)스포츠신문(중)"/>
    <s v="스포츠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60"/>
    <s v="신문/잡지(대)종합일간지(중)"/>
    <s v="비크닉"/>
    <s v="600X314"/>
    <x v="4"/>
    <s v="25.03.28"/>
    <s v="25.03.30"/>
    <s v="GDN"/>
    <n v="156"/>
  </r>
  <r>
    <s v="PC"/>
    <x v="3"/>
    <x v="13"/>
    <s v="가정용 전기전자"/>
    <s v="가사용 전기전자"/>
    <s v="청소기"/>
    <s v="로보락Q레보엣지C"/>
    <x v="61"/>
    <s v="방송(대)방송기타(중)"/>
    <s v="동영상플레이어"/>
    <s v="600X314"/>
    <x v="4"/>
    <s v="25.03.28"/>
    <s v="25.03.28"/>
    <s v="GDN"/>
    <n v="52"/>
  </r>
  <r>
    <s v="PC"/>
    <x v="3"/>
    <x v="13"/>
    <s v="가정용 전기전자"/>
    <s v="가사용 전기전자"/>
    <s v="청소기"/>
    <s v="로보락Q레보엣지C"/>
    <x v="61"/>
    <s v="방송(대)방송기타(중)"/>
    <s v="JTBC골프"/>
    <s v="600X314"/>
    <x v="0"/>
    <s v="25.04.02"/>
    <s v="25.04.02"/>
    <s v="GDN"/>
    <n v="62"/>
  </r>
  <r>
    <s v="PC"/>
    <x v="3"/>
    <x v="14"/>
    <s v="가정용 전기전자"/>
    <s v="가사용 전기전자"/>
    <s v="청소기"/>
    <s v="로보락Q"/>
    <x v="69"/>
    <s v="엔터테인먼트(대)엔터테인먼트 기타(중)"/>
    <s v="메인"/>
    <s v="1280X239"/>
    <x v="0"/>
    <s v="25.04.08"/>
    <s v="25.04.13"/>
    <s v="-"/>
    <n v="111480"/>
  </r>
  <r>
    <s v="PC"/>
    <x v="3"/>
    <x v="14"/>
    <s v="가정용 전기전자"/>
    <s v="가사용 전기전자"/>
    <s v="청소기"/>
    <s v="로보락Q"/>
    <x v="69"/>
    <s v="엔터테인먼트(대)엔터테인먼트 기타(중)"/>
    <s v="메인"/>
    <s v="1280X239"/>
    <x v="0"/>
    <s v="25.04.16"/>
    <s v="25.04.20"/>
    <s v="-"/>
    <n v="92900"/>
  </r>
  <r>
    <s v="PC"/>
    <x v="3"/>
    <x v="14"/>
    <s v="가정용 전기전자"/>
    <s v="가사용 전기전자"/>
    <s v="청소기"/>
    <s v="로보락Q"/>
    <x v="69"/>
    <s v="엔터테인먼트(대)엔터테인먼트 기타(중)"/>
    <s v="메인"/>
    <s v="1280X239"/>
    <x v="0"/>
    <s v="25.04.21"/>
    <s v="25.04.27"/>
    <s v="-"/>
    <n v="130059"/>
  </r>
  <r>
    <s v="PC"/>
    <x v="3"/>
    <x v="14"/>
    <s v="가정용 전기전자"/>
    <s v="가사용 전기전자"/>
    <s v="청소기"/>
    <s v="로보락Q"/>
    <x v="69"/>
    <s v="엔터테인먼트(대)엔터테인먼트 기타(중)"/>
    <s v="메인"/>
    <s v="1280X239"/>
    <x v="0"/>
    <s v="25.04.28"/>
    <s v="25.04.30"/>
    <s v="-"/>
    <n v="55740"/>
  </r>
  <r>
    <s v="PC"/>
    <x v="3"/>
    <x v="14"/>
    <s v="가정용 전기전자"/>
    <s v="가사용 전기전자"/>
    <s v="청소기"/>
    <s v="로보락Q"/>
    <x v="62"/>
    <s v="생활정보(대)쇼핑/가격정보(중)"/>
    <s v="메인"/>
    <s v="1240X400"/>
    <x v="1"/>
    <s v="25.05.13"/>
    <s v="25.05.14"/>
    <s v="-"/>
    <n v="778"/>
  </r>
  <r>
    <s v="PC"/>
    <x v="3"/>
    <x v="15"/>
    <s v="가정용 전기전자"/>
    <s v="가사용 전기전자"/>
    <s v="청소기"/>
    <s v="로보락사로스Z70"/>
    <x v="0"/>
    <s v="신문/잡지(대)종합일간지(중)"/>
    <s v="여성조선"/>
    <s v="900X1800"/>
    <x v="1"/>
    <s v="25.05.21"/>
    <s v="25.05.21"/>
    <s v="GDN"/>
    <n v="62"/>
  </r>
  <r>
    <s v="PC"/>
    <x v="3"/>
    <x v="15"/>
    <s v="가정용 전기전자"/>
    <s v="가사용 전기전자"/>
    <s v="청소기"/>
    <s v="로보락사로스Z70"/>
    <x v="25"/>
    <s v="생활정보(대)쇼핑/가격정보(중)"/>
    <s v="메인"/>
    <s v="976X400"/>
    <x v="1"/>
    <s v="25.05.26"/>
    <s v="25.05.31"/>
    <s v="-"/>
    <n v="5023"/>
  </r>
  <r>
    <s v="PC"/>
    <x v="3"/>
    <x v="15"/>
    <s v="가정용 전기전자"/>
    <s v="가사용 전기전자"/>
    <s v="청소기"/>
    <s v="로보락사로스Z70"/>
    <x v="23"/>
    <s v="포털(대)포털(중)"/>
    <s v="동영상플레이어"/>
    <s v="600X314"/>
    <x v="1"/>
    <s v="25.05.20"/>
    <s v="25.05.20"/>
    <s v="GDN"/>
    <n v="62"/>
  </r>
  <r>
    <s v="PC"/>
    <x v="3"/>
    <x v="15"/>
    <s v="가정용 전기전자"/>
    <s v="가사용 전기전자"/>
    <s v="청소기"/>
    <s v="로보락사로스Z70"/>
    <x v="23"/>
    <s v="포털(대)포털(중)"/>
    <s v="동영상플레이어"/>
    <s v="600X314"/>
    <x v="1"/>
    <s v="25.05.26"/>
    <s v="25.05.26"/>
    <s v="GDN"/>
    <n v="62"/>
  </r>
  <r>
    <s v="PC"/>
    <x v="4"/>
    <x v="16"/>
    <s v="가정용 전기전자"/>
    <s v="가사용 전기전자"/>
    <s v="청소기"/>
    <s v="드리미"/>
    <x v="63"/>
    <s v="포털(대)포털(중)"/>
    <s v="메인"/>
    <s v="830X130"/>
    <x v="3"/>
    <s v="25.01.09"/>
    <s v="25.01.12"/>
    <s v="-"/>
    <n v="562696"/>
  </r>
  <r>
    <s v="PC"/>
    <x v="4"/>
    <x v="16"/>
    <s v="가정용 전기전자"/>
    <s v="가사용 전기전자"/>
    <s v="청소기"/>
    <s v="드리미"/>
    <x v="63"/>
    <s v="포털(대)포털(중)"/>
    <s v="메인"/>
    <s v="830X130"/>
    <x v="3"/>
    <s v="25.01.13"/>
    <s v="25.01.13"/>
    <s v="-"/>
    <n v="54499"/>
  </r>
  <r>
    <s v="PC"/>
    <x v="4"/>
    <x v="16"/>
    <s v="가정용 전기전자"/>
    <s v="가사용 전기전자"/>
    <s v="청소기"/>
    <s v="드리미"/>
    <x v="63"/>
    <s v="포털(대)포털(중)"/>
    <s v="메인"/>
    <s v="420X240"/>
    <x v="3"/>
    <s v="25.01.09"/>
    <s v="25.01.12"/>
    <s v="-"/>
    <n v="180333"/>
  </r>
  <r>
    <s v="PC"/>
    <x v="4"/>
    <x v="16"/>
    <s v="가정용 전기전자"/>
    <s v="가사용 전기전자"/>
    <s v="청소기"/>
    <s v="드리미"/>
    <x v="63"/>
    <s v="포털(대)포털(중)"/>
    <s v="메인"/>
    <s v="420X240"/>
    <x v="3"/>
    <s v="25.01.13"/>
    <s v="25.01.13"/>
    <s v="-"/>
    <n v="62721"/>
  </r>
  <r>
    <s v="PC"/>
    <x v="4"/>
    <x v="16"/>
    <s v="가정용 전기전자"/>
    <s v="가사용 전기전자"/>
    <s v="청소기"/>
    <s v="드리미"/>
    <x v="63"/>
    <s v="포털(대)포털(중)"/>
    <s v="메인"/>
    <s v="830X130"/>
    <x v="0"/>
    <s v="25.04.11"/>
    <s v="25.04.11"/>
    <s v="-"/>
    <n v="33330"/>
  </r>
  <r>
    <s v="PC"/>
    <x v="4"/>
    <x v="16"/>
    <s v="가정용 전기전자"/>
    <s v="가사용 전기전자"/>
    <s v="청소기"/>
    <s v="드리미"/>
    <x v="25"/>
    <s v="생활정보(대)쇼핑/가격정보(중)"/>
    <s v="메인"/>
    <s v="976X400"/>
    <x v="3"/>
    <s v="25.01.14"/>
    <s v="25.01.14"/>
    <s v="-"/>
    <n v="837"/>
  </r>
  <r>
    <s v="PC"/>
    <x v="4"/>
    <x v="16"/>
    <s v="가정용 전기전자"/>
    <s v="가사용 전기전자"/>
    <s v="청소기"/>
    <s v="드리미"/>
    <x v="25"/>
    <s v="생활정보(대)쇼핑/가격정보(중)"/>
    <s v="메인"/>
    <s v="976X400"/>
    <x v="2"/>
    <s v="25.02.10"/>
    <s v="25.02.11"/>
    <s v="-"/>
    <n v="1674"/>
  </r>
  <r>
    <s v="PC"/>
    <x v="4"/>
    <x v="16"/>
    <s v="가정용 전기전자"/>
    <s v="가사용 전기전자"/>
    <s v="청소기"/>
    <s v="드리미"/>
    <x v="25"/>
    <s v="생활정보(대)쇼핑/가격정보(중)"/>
    <s v="메인"/>
    <s v="976X400"/>
    <x v="4"/>
    <s v="25.03.25"/>
    <s v="25.03.25"/>
    <s v="-"/>
    <n v="837"/>
  </r>
  <r>
    <s v="PC"/>
    <x v="4"/>
    <x v="16"/>
    <s v="가정용 전기전자"/>
    <s v="가사용 전기전자"/>
    <s v="청소기"/>
    <s v="드리미"/>
    <x v="25"/>
    <s v="생활정보(대)쇼핑/가격정보(중)"/>
    <s v="메인"/>
    <s v="976X400"/>
    <x v="0"/>
    <s v="25.04.28"/>
    <s v="25.04.30"/>
    <s v="-"/>
    <n v="2512"/>
  </r>
  <r>
    <s v="PC"/>
    <x v="4"/>
    <x v="17"/>
    <s v="가정용 전기전자"/>
    <s v="가사용 전기전자"/>
    <s v="청소기"/>
    <s v="드리미봇L20울트라"/>
    <x v="62"/>
    <s v="생활정보(대)쇼핑/가격정보(중)"/>
    <s v="도서"/>
    <s v="605X220"/>
    <x v="3"/>
    <s v="25.01.11"/>
    <s v="25.01.12"/>
    <s v="-"/>
    <n v="32"/>
  </r>
  <r>
    <s v="PC"/>
    <x v="4"/>
    <x v="17"/>
    <s v="가정용 전기전자"/>
    <s v="가사용 전기전자"/>
    <s v="청소기"/>
    <s v="드리미봇L20울트라"/>
    <x v="62"/>
    <s v="생활정보(대)쇼핑/가격정보(중)"/>
    <s v="도서"/>
    <s v="605X220"/>
    <x v="3"/>
    <s v="25.01.18"/>
    <s v="25.01.18"/>
    <s v="-"/>
    <n v="16"/>
  </r>
  <r>
    <s v="PC"/>
    <x v="4"/>
    <x v="18"/>
    <s v="가정용 전기전자"/>
    <s v="가사용 전기전자"/>
    <s v="청소기"/>
    <s v="드리미X50울트라"/>
    <x v="63"/>
    <s v="포털(대)포털(중)"/>
    <s v="메인"/>
    <s v="830X130"/>
    <x v="3"/>
    <s v="25.01.15"/>
    <s v="25.01.15"/>
    <s v="-"/>
    <n v="7317"/>
  </r>
  <r>
    <s v="PC"/>
    <x v="4"/>
    <x v="18"/>
    <s v="가정용 전기전자"/>
    <s v="가사용 전기전자"/>
    <s v="청소기"/>
    <s v="드리미X50울트라"/>
    <x v="63"/>
    <s v="포털(대)포털(중)"/>
    <s v="메인"/>
    <s v="830X130"/>
    <x v="3"/>
    <s v="25.01.20"/>
    <s v="25.01.20"/>
    <s v="-"/>
    <n v="15242"/>
  </r>
  <r>
    <s v="PC"/>
    <x v="4"/>
    <x v="18"/>
    <s v="가정용 전기전자"/>
    <s v="가사용 전기전자"/>
    <s v="청소기"/>
    <s v="드리미X50울트라"/>
    <x v="63"/>
    <s v="포털(대)포털(중)"/>
    <s v="메인"/>
    <s v="830X130"/>
    <x v="2"/>
    <s v="25.02.25"/>
    <s v="25.02.25"/>
    <s v="-"/>
    <n v="16430"/>
  </r>
  <r>
    <s v="PC"/>
    <x v="4"/>
    <x v="18"/>
    <s v="가정용 전기전자"/>
    <s v="가사용 전기전자"/>
    <s v="청소기"/>
    <s v="드리미X50울트라"/>
    <x v="63"/>
    <s v="포털(대)포털(중)"/>
    <s v="메인"/>
    <s v="830X130"/>
    <x v="4"/>
    <s v="25.03.25"/>
    <s v="25.03.25"/>
    <s v="-"/>
    <n v="18372"/>
  </r>
  <r>
    <s v="PC"/>
    <x v="4"/>
    <x v="18"/>
    <s v="가정용 전기전자"/>
    <s v="가사용 전기전자"/>
    <s v="청소기"/>
    <s v="드리미X50울트라"/>
    <x v="63"/>
    <s v="포털(대)포털(중)"/>
    <s v="블로그"/>
    <s v="280X240"/>
    <x v="3"/>
    <s v="25.01.10"/>
    <s v="25.01.11"/>
    <s v="-"/>
    <n v="3190"/>
  </r>
  <r>
    <s v="PC"/>
    <x v="4"/>
    <x v="18"/>
    <s v="가정용 전기전자"/>
    <s v="가사용 전기전자"/>
    <s v="청소기"/>
    <s v="드리미X50울트라"/>
    <x v="63"/>
    <s v="포털(대)포털(중)"/>
    <s v="카페"/>
    <s v="300X300"/>
    <x v="3"/>
    <s v="25.01.11"/>
    <s v="25.01.11"/>
    <s v="-"/>
    <n v="31"/>
  </r>
  <r>
    <s v="PC"/>
    <x v="4"/>
    <x v="18"/>
    <s v="가정용 전기전자"/>
    <s v="가사용 전기전자"/>
    <s v="청소기"/>
    <s v="드리미X50울트라"/>
    <x v="63"/>
    <s v="포털(대)포털(중)"/>
    <s v="카페"/>
    <s v="300X300"/>
    <x v="3"/>
    <s v="25.01.13"/>
    <s v="25.01.13"/>
    <s v="-"/>
    <n v="31"/>
  </r>
  <r>
    <s v="PC"/>
    <x v="4"/>
    <x v="18"/>
    <s v="가정용 전기전자"/>
    <s v="가사용 전기전자"/>
    <s v="청소기"/>
    <s v="드리미X50울트라"/>
    <x v="27"/>
    <s v="포털(대)포털(중)"/>
    <s v="메신저"/>
    <s v="600X304"/>
    <x v="2"/>
    <s v="25.02.25"/>
    <s v="25.02.25"/>
    <s v="-"/>
    <n v="1358"/>
  </r>
  <r>
    <s v="PC"/>
    <x v="4"/>
    <x v="18"/>
    <s v="가정용 전기전자"/>
    <s v="가사용 전기전자"/>
    <s v="청소기"/>
    <s v="드리미X50울트라"/>
    <x v="25"/>
    <s v="생활정보(대)쇼핑/가격정보(중)"/>
    <s v="메인"/>
    <s v="976X400"/>
    <x v="2"/>
    <s v="25.02.12"/>
    <s v="25.02.16"/>
    <s v="-"/>
    <n v="4186"/>
  </r>
  <r>
    <s v="PC"/>
    <x v="4"/>
    <x v="18"/>
    <s v="가정용 전기전자"/>
    <s v="가사용 전기전자"/>
    <s v="청소기"/>
    <s v="드리미X50울트라"/>
    <x v="62"/>
    <s v="생활정보(대)쇼핑/가격정보(중)"/>
    <s v="메인"/>
    <s v="1240X400"/>
    <x v="3"/>
    <s v="25.01.15"/>
    <s v="25.01.16"/>
    <s v="-"/>
    <n v="778"/>
  </r>
  <r>
    <s v="PC"/>
    <x v="4"/>
    <x v="18"/>
    <s v="가정용 전기전자"/>
    <s v="가사용 전기전자"/>
    <s v="청소기"/>
    <s v="드리미X50울트라"/>
    <x v="62"/>
    <s v="생활정보(대)쇼핑/가격정보(중)"/>
    <s v="메인"/>
    <s v="1240X400"/>
    <x v="4"/>
    <s v="25.03.05"/>
    <s v="25.03.07"/>
    <s v="-"/>
    <n v="1167"/>
  </r>
  <r>
    <s v="PC"/>
    <x v="4"/>
    <x v="18"/>
    <s v="가정용 전기전자"/>
    <s v="가사용 전기전자"/>
    <s v="청소기"/>
    <s v="드리미X50울트라"/>
    <x v="62"/>
    <s v="생활정보(대)쇼핑/가격정보(중)"/>
    <s v="메인"/>
    <s v="1240X400"/>
    <x v="4"/>
    <s v="25.03.11"/>
    <s v="25.03.11"/>
    <s v="-"/>
    <n v="389"/>
  </r>
  <r>
    <s v="PC"/>
    <x v="4"/>
    <x v="18"/>
    <s v="가정용 전기전자"/>
    <s v="가사용 전기전자"/>
    <s v="청소기"/>
    <s v="드리미X50울트라"/>
    <x v="66"/>
    <s v="생활정보(대)쇼핑/가격정보(중)"/>
    <s v="메인"/>
    <s v="750X378"/>
    <x v="2"/>
    <s v="25.02.06"/>
    <s v="25.02.09"/>
    <s v="-"/>
    <n v="369"/>
  </r>
  <r>
    <s v="PC"/>
    <x v="4"/>
    <x v="18"/>
    <s v="가정용 전기전자"/>
    <s v="가사용 전기전자"/>
    <s v="청소기"/>
    <s v="드리미X50울트라"/>
    <x v="66"/>
    <s v="생활정보(대)쇼핑/가격정보(중)"/>
    <s v="메인"/>
    <s v="750X378"/>
    <x v="2"/>
    <s v="25.02.10"/>
    <s v="25.02.16"/>
    <s v="-"/>
    <n v="645"/>
  </r>
  <r>
    <s v="PC"/>
    <x v="4"/>
    <x v="18"/>
    <s v="가정용 전기전자"/>
    <s v="가사용 전기전자"/>
    <s v="청소기"/>
    <s v="드리미X50울트라"/>
    <x v="66"/>
    <s v="생활정보(대)쇼핑/가격정보(중)"/>
    <s v="메인"/>
    <s v="750X378"/>
    <x v="2"/>
    <s v="25.02.17"/>
    <s v="25.02.19"/>
    <s v="-"/>
    <n v="276"/>
  </r>
  <r>
    <s v="PC"/>
    <x v="4"/>
    <x v="18"/>
    <s v="가정용 전기전자"/>
    <s v="가사용 전기전자"/>
    <s v="청소기"/>
    <s v="드리미X50울트라"/>
    <x v="66"/>
    <s v="생활정보(대)쇼핑/가격정보(중)"/>
    <s v="메인"/>
    <s v="750X378"/>
    <x v="4"/>
    <s v="25.03.01"/>
    <s v="25.03.02"/>
    <s v="-"/>
    <n v="184"/>
  </r>
  <r>
    <s v="PC"/>
    <x v="4"/>
    <x v="18"/>
    <s v="가정용 전기전자"/>
    <s v="가사용 전기전자"/>
    <s v="청소기"/>
    <s v="드리미X50울트라"/>
    <x v="66"/>
    <s v="생활정보(대)쇼핑/가격정보(중)"/>
    <s v="메인"/>
    <s v="750X378"/>
    <x v="4"/>
    <s v="25.03.03"/>
    <s v="25.03.04"/>
    <s v="-"/>
    <n v="184"/>
  </r>
  <r>
    <s v="PC"/>
    <x v="4"/>
    <x v="19"/>
    <s v="가정용 전기전자"/>
    <s v="가사용 전기전자"/>
    <s v="청소기"/>
    <s v="드리미L40S프로울트라"/>
    <x v="21"/>
    <s v="커뮤니티(대)홈페이지(중)"/>
    <s v="커뮤니케이션 기타"/>
    <s v="480X320"/>
    <x v="1"/>
    <s v="25.05.29"/>
    <s v="25.05.30"/>
    <s v="-"/>
    <n v="123"/>
  </r>
  <r>
    <s v="PC"/>
    <x v="4"/>
    <x v="19"/>
    <s v="가정용 전기전자"/>
    <s v="가사용 전기전자"/>
    <s v="청소기"/>
    <s v="드리미L40S프로울트라"/>
    <x v="70"/>
    <s v="생활정보(대)쇼핑/가격정보(중)"/>
    <s v="메인"/>
    <s v="825X387"/>
    <x v="4"/>
    <s v="25.03.25"/>
    <s v="25.03.26"/>
    <s v="-"/>
    <n v="2073"/>
  </r>
  <r>
    <s v="PC"/>
    <x v="4"/>
    <x v="19"/>
    <s v="가정용 전기전자"/>
    <s v="가사용 전기전자"/>
    <s v="청소기"/>
    <s v="드리미L40S프로울트라"/>
    <x v="25"/>
    <s v="생활정보(대)쇼핑/가격정보(중)"/>
    <s v="메인"/>
    <s v="976X400"/>
    <x v="4"/>
    <s v="25.03.25"/>
    <s v="25.03.27"/>
    <s v="-"/>
    <n v="2512"/>
  </r>
  <r>
    <s v="PC"/>
    <x v="4"/>
    <x v="20"/>
    <s v="가정용 전기전자"/>
    <s v="가사용 전기전자"/>
    <s v="청소기"/>
    <s v="드리미X50S프로울트라"/>
    <x v="21"/>
    <s v="커뮤니티(대)홈페이지(중)"/>
    <s v="동영상플레이어"/>
    <s v="480X320"/>
    <x v="1"/>
    <s v="25.05.10"/>
    <s v="25.05.11"/>
    <s v="-"/>
    <n v="123"/>
  </r>
  <r>
    <s v="PC"/>
    <x v="4"/>
    <x v="20"/>
    <s v="가정용 전기전자"/>
    <s v="가사용 전기전자"/>
    <s v="청소기"/>
    <s v="드리미X50S프로울트라"/>
    <x v="62"/>
    <s v="생활정보(대)쇼핑/가격정보(중)"/>
    <s v="메인"/>
    <s v="1240X400"/>
    <x v="1"/>
    <s v="25.05.11"/>
    <s v="25.05.11"/>
    <s v="-"/>
    <n v="389"/>
  </r>
  <r>
    <s v="m.web"/>
    <x v="0"/>
    <x v="21"/>
    <s v="가정용 전기전자"/>
    <s v="가사용 전기전자"/>
    <s v="청소기"/>
    <s v="삼성비스포크제트"/>
    <x v="62"/>
    <s v="생활정보(대)쇼핑/가격정보(중)"/>
    <s v="-"/>
    <s v="-"/>
    <x v="0"/>
    <s v="25.04.16"/>
    <s v="25.04.16"/>
    <s v="-"/>
    <n v="66"/>
  </r>
  <r>
    <s v="m.web"/>
    <x v="0"/>
    <x v="21"/>
    <s v="가정용 전기전자"/>
    <s v="가사용 전기전자"/>
    <s v="청소기"/>
    <s v="삼성비스포크제트"/>
    <x v="62"/>
    <s v="생활정보(대)쇼핑/가격정보(중)"/>
    <s v="-"/>
    <s v="-"/>
    <x v="0"/>
    <s v="25.04.22"/>
    <s v="25.04.27"/>
    <s v="-"/>
    <n v="396"/>
  </r>
  <r>
    <s v="m.web"/>
    <x v="0"/>
    <x v="21"/>
    <s v="가정용 전기전자"/>
    <s v="가사용 전기전자"/>
    <s v="청소기"/>
    <s v="삼성비스포크제트"/>
    <x v="62"/>
    <s v="생활정보(대)쇼핑/가격정보(중)"/>
    <s v="-"/>
    <s v="-"/>
    <x v="0"/>
    <s v="25.04.29"/>
    <s v="25.04.30"/>
    <s v="-"/>
    <n v="132"/>
  </r>
  <r>
    <s v="m.app"/>
    <x v="0"/>
    <x v="21"/>
    <s v="가정용 전기전자"/>
    <s v="가사용 전기전자"/>
    <s v="청소기"/>
    <s v="삼성비스포크제트"/>
    <x v="71"/>
    <s v="모바일(대)모바일기타(중)"/>
    <s v="-"/>
    <s v="-"/>
    <x v="0"/>
    <s v="25.04.21"/>
    <s v="25.04.24"/>
    <s v="버즈빌"/>
    <n v="2718"/>
  </r>
  <r>
    <s v="m.app"/>
    <x v="0"/>
    <x v="21"/>
    <s v="가정용 전기전자"/>
    <s v="가사용 전기전자"/>
    <s v="청소기"/>
    <s v="삼성비스포크제트"/>
    <x v="71"/>
    <s v="모바일(대)모바일기타(중)"/>
    <s v="-"/>
    <s v="-"/>
    <x v="0"/>
    <s v="25.04.29"/>
    <s v="25.04.29"/>
    <s v="버즈빌"/>
    <n v="680"/>
  </r>
  <r>
    <s v="m.app"/>
    <x v="0"/>
    <x v="21"/>
    <s v="가정용 전기전자"/>
    <s v="가사용 전기전자"/>
    <s v="청소기"/>
    <s v="삼성비스포크제트"/>
    <x v="71"/>
    <s v="모바일(대)모바일기타(중)"/>
    <s v="-"/>
    <s v="-"/>
    <x v="1"/>
    <s v="25.05.02"/>
    <s v="25.05.03"/>
    <s v="버즈빌"/>
    <n v="1359"/>
  </r>
  <r>
    <s v="m.app"/>
    <x v="0"/>
    <x v="21"/>
    <s v="가정용 전기전자"/>
    <s v="가사용 전기전자"/>
    <s v="청소기"/>
    <s v="삼성비스포크제트"/>
    <x v="71"/>
    <s v="모바일(대)모바일기타(중)"/>
    <s v="-"/>
    <s v="-"/>
    <x v="1"/>
    <s v="25.05.13"/>
    <s v="25.05.15"/>
    <s v="버즈빌"/>
    <n v="2039"/>
  </r>
  <r>
    <s v="m.app"/>
    <x v="0"/>
    <x v="21"/>
    <s v="가정용 전기전자"/>
    <s v="가사용 전기전자"/>
    <s v="청소기"/>
    <s v="삼성비스포크제트"/>
    <x v="71"/>
    <s v="모바일(대)모바일기타(중)"/>
    <s v="-"/>
    <s v="-"/>
    <x v="1"/>
    <s v="25.05.20"/>
    <s v="25.05.22"/>
    <s v="버즈빌"/>
    <n v="2039"/>
  </r>
  <r>
    <s v="m.app"/>
    <x v="0"/>
    <x v="21"/>
    <s v="가정용 전기전자"/>
    <s v="가사용 전기전자"/>
    <s v="청소기"/>
    <s v="삼성비스포크제트"/>
    <x v="71"/>
    <s v="모바일(대)모바일기타(중)"/>
    <s v="-"/>
    <s v="-"/>
    <x v="1"/>
    <s v="25.05.28"/>
    <s v="25.05.30"/>
    <s v="버즈빌"/>
    <n v="2039"/>
  </r>
  <r>
    <s v="m.app"/>
    <x v="0"/>
    <x v="22"/>
    <s v="가정용 전기전자"/>
    <s v="가사용 전기전자"/>
    <s v="청소기"/>
    <s v="삼성비스포크제트봇AI"/>
    <x v="71"/>
    <s v="모바일(대)모바일기타(중)"/>
    <s v="-"/>
    <s v="-"/>
    <x v="0"/>
    <s v="25.04.10"/>
    <s v="25.04.10"/>
    <s v="버즈빌"/>
    <n v="680"/>
  </r>
  <r>
    <s v="m.web"/>
    <x v="0"/>
    <x v="23"/>
    <s v="가정용 전기전자"/>
    <s v="가사용 전기전자"/>
    <s v="청소기"/>
    <s v="비스포크AI스팀"/>
    <x v="63"/>
    <s v="포털(대)포털(중)"/>
    <s v="-"/>
    <s v="-"/>
    <x v="1"/>
    <s v="25.05.19"/>
    <s v="25.05.25"/>
    <s v="-"/>
    <n v="21458"/>
  </r>
  <r>
    <s v="m.app"/>
    <x v="0"/>
    <x v="23"/>
    <s v="가정용 전기전자"/>
    <s v="가사용 전기전자"/>
    <s v="청소기"/>
    <s v="비스포크AI스팀"/>
    <x v="72"/>
    <s v="커뮤니케이션(대)채팅/메신저(중)"/>
    <s v="-"/>
    <s v="-"/>
    <x v="1"/>
    <s v="25.05.03"/>
    <s v="25.05.03"/>
    <s v="카카오광고"/>
    <n v="8193"/>
  </r>
  <r>
    <s v="m.app"/>
    <x v="0"/>
    <x v="23"/>
    <s v="가정용 전기전자"/>
    <s v="가사용 전기전자"/>
    <s v="청소기"/>
    <s v="비스포크AI스팀"/>
    <x v="73"/>
    <s v="방송(대)방송기타(중)"/>
    <s v="-"/>
    <s v="-"/>
    <x v="0"/>
    <s v="25.04.29"/>
    <s v="25.04.29"/>
    <s v="카카오광고"/>
    <n v="13"/>
  </r>
  <r>
    <s v="m.app"/>
    <x v="0"/>
    <x v="23"/>
    <s v="가정용 전기전자"/>
    <s v="가사용 전기전자"/>
    <s v="청소기"/>
    <s v="비스포크AI스팀"/>
    <x v="73"/>
    <s v="방송(대)방송기타(중)"/>
    <s v="-"/>
    <s v="-"/>
    <x v="1"/>
    <s v="25.05.06"/>
    <s v="25.05.06"/>
    <s v="카카오광고"/>
    <n v="16"/>
  </r>
  <r>
    <s v="m.app"/>
    <x v="0"/>
    <x v="23"/>
    <s v="가정용 전기전자"/>
    <s v="가사용 전기전자"/>
    <s v="청소기"/>
    <s v="비스포크AI스팀"/>
    <x v="71"/>
    <s v="모바일(대)모바일기타(중)"/>
    <s v="-"/>
    <s v="-"/>
    <x v="0"/>
    <s v="25.04.11"/>
    <s v="25.04.13"/>
    <s v="버즈빌"/>
    <n v="2039"/>
  </r>
  <r>
    <s v="m.app"/>
    <x v="0"/>
    <x v="23"/>
    <s v="가정용 전기전자"/>
    <s v="가사용 전기전자"/>
    <s v="청소기"/>
    <s v="비스포크AI스팀"/>
    <x v="71"/>
    <s v="모바일(대)모바일기타(중)"/>
    <s v="-"/>
    <s v="-"/>
    <x v="0"/>
    <s v="25.04.14"/>
    <s v="25.04.14"/>
    <s v="버즈빌"/>
    <n v="680"/>
  </r>
  <r>
    <s v="m.app"/>
    <x v="0"/>
    <x v="23"/>
    <s v="가정용 전기전자"/>
    <s v="가사용 전기전자"/>
    <s v="청소기"/>
    <s v="비스포크AI스팀"/>
    <x v="71"/>
    <s v="모바일(대)모바일기타(중)"/>
    <s v="-"/>
    <s v="-"/>
    <x v="0"/>
    <s v="25.04.15"/>
    <s v="25.04.17"/>
    <s v="버즈빌"/>
    <n v="2039"/>
  </r>
  <r>
    <s v="m.web"/>
    <x v="0"/>
    <x v="0"/>
    <s v="가정용 전기전자"/>
    <s v="가사용 전기전자"/>
    <s v="청소기"/>
    <s v="삼성비스포크AI제트"/>
    <x v="26"/>
    <s v="포털(대)포털(중)"/>
    <s v="-"/>
    <s v="-"/>
    <x v="0"/>
    <s v="25.04.06"/>
    <s v="25.04.06"/>
    <s v="카카오광고"/>
    <n v="745"/>
  </r>
  <r>
    <s v="m.app"/>
    <x v="0"/>
    <x v="0"/>
    <s v="가정용 전기전자"/>
    <s v="가사용 전기전자"/>
    <s v="청소기"/>
    <s v="삼성비스포크AI제트"/>
    <x v="72"/>
    <s v="커뮤니케이션(대)채팅/메신저(중)"/>
    <s v="-"/>
    <s v="-"/>
    <x v="0"/>
    <s v="25.04.01"/>
    <s v="25.04.01"/>
    <s v="카카오광고"/>
    <n v="6933"/>
  </r>
  <r>
    <s v="m.app"/>
    <x v="0"/>
    <x v="0"/>
    <s v="가정용 전기전자"/>
    <s v="가사용 전기전자"/>
    <s v="청소기"/>
    <s v="삼성비스포크AI제트"/>
    <x v="72"/>
    <s v="커뮤니케이션(대)채팅/메신저(중)"/>
    <s v="-"/>
    <s v="-"/>
    <x v="0"/>
    <s v="25.04.02"/>
    <s v="25.04.04"/>
    <s v="카카오광고"/>
    <n v="20798"/>
  </r>
  <r>
    <s v="m.app"/>
    <x v="0"/>
    <x v="0"/>
    <s v="가정용 전기전자"/>
    <s v="가사용 전기전자"/>
    <s v="청소기"/>
    <s v="삼성비스포크AI제트"/>
    <x v="72"/>
    <s v="커뮤니케이션(대)채팅/메신저(중)"/>
    <s v="-"/>
    <s v="-"/>
    <x v="0"/>
    <s v="25.04.07"/>
    <s v="25.04.09"/>
    <s v="카카오광고"/>
    <n v="20798"/>
  </r>
  <r>
    <s v="m.app"/>
    <x v="0"/>
    <x v="0"/>
    <s v="가정용 전기전자"/>
    <s v="가사용 전기전자"/>
    <s v="청소기"/>
    <s v="삼성비스포크AI제트"/>
    <x v="72"/>
    <s v="커뮤니케이션(대)채팅/메신저(중)"/>
    <s v="-"/>
    <s v="-"/>
    <x v="0"/>
    <s v="25.04.17"/>
    <s v="25.04.20"/>
    <s v="카카오광고"/>
    <n v="27731"/>
  </r>
  <r>
    <s v="m.app"/>
    <x v="0"/>
    <x v="0"/>
    <s v="가정용 전기전자"/>
    <s v="가사용 전기전자"/>
    <s v="청소기"/>
    <s v="삼성비스포크AI제트"/>
    <x v="72"/>
    <s v="커뮤니케이션(대)채팅/메신저(중)"/>
    <s v="-"/>
    <s v="-"/>
    <x v="0"/>
    <s v="25.04.21"/>
    <s v="25.04.27"/>
    <s v="카카오광고"/>
    <n v="48529"/>
  </r>
  <r>
    <s v="m.app"/>
    <x v="0"/>
    <x v="0"/>
    <s v="가정용 전기전자"/>
    <s v="가사용 전기전자"/>
    <s v="청소기"/>
    <s v="삼성비스포크AI제트"/>
    <x v="72"/>
    <s v="커뮤니케이션(대)채팅/메신저(중)"/>
    <s v="-"/>
    <s v="-"/>
    <x v="0"/>
    <s v="25.04.28"/>
    <s v="25.04.29"/>
    <s v="카카오광고"/>
    <n v="13866"/>
  </r>
  <r>
    <s v="m.web"/>
    <x v="0"/>
    <x v="0"/>
    <s v="가정용 전기전자"/>
    <s v="가사용 전기전자"/>
    <s v="청소기"/>
    <s v="삼성비스포크AI제트"/>
    <x v="62"/>
    <s v="생활정보(대)쇼핑/가격정보(중)"/>
    <s v="-"/>
    <s v="-"/>
    <x v="1"/>
    <s v="25.05.31"/>
    <s v="25.05.31"/>
    <s v="-"/>
    <n v="66"/>
  </r>
  <r>
    <s v="m.app"/>
    <x v="0"/>
    <x v="0"/>
    <s v="가정용 전기전자"/>
    <s v="가사용 전기전자"/>
    <s v="청소기"/>
    <s v="삼성비스포크AI제트"/>
    <x v="71"/>
    <s v="모바일(대)모바일기타(중)"/>
    <s v="-"/>
    <s v="-"/>
    <x v="0"/>
    <s v="25.04.08"/>
    <s v="25.04.08"/>
    <s v="버즈빌"/>
    <n v="680"/>
  </r>
  <r>
    <s v="m.app"/>
    <x v="0"/>
    <x v="0"/>
    <s v="가정용 전기전자"/>
    <s v="가사용 전기전자"/>
    <s v="청소기"/>
    <s v="삼성비스포크AI제트"/>
    <x v="74"/>
    <s v="커뮤니티(대)홈페이지(중)"/>
    <s v="-"/>
    <s v="-"/>
    <x v="0"/>
    <s v="25.04.25"/>
    <s v="25.04.27"/>
    <s v="-"/>
    <n v="1210"/>
  </r>
  <r>
    <s v="m.app"/>
    <x v="0"/>
    <x v="0"/>
    <s v="가정용 전기전자"/>
    <s v="가사용 전기전자"/>
    <s v="청소기"/>
    <s v="삼성비스포크AI제트"/>
    <x v="74"/>
    <s v="커뮤니티(대)홈페이지(중)"/>
    <s v="-"/>
    <s v="-"/>
    <x v="0"/>
    <s v="25.04.28"/>
    <s v="25.04.30"/>
    <s v="-"/>
    <n v="1210"/>
  </r>
  <r>
    <s v="m.app"/>
    <x v="0"/>
    <x v="0"/>
    <s v="가정용 전기전자"/>
    <s v="가사용 전기전자"/>
    <s v="청소기"/>
    <s v="삼성비스포크AI제트"/>
    <x v="74"/>
    <s v="커뮤니티(대)홈페이지(중)"/>
    <s v="-"/>
    <s v="-"/>
    <x v="1"/>
    <s v="25.05.01"/>
    <s v="25.05.02"/>
    <s v="-"/>
    <n v="1121"/>
  </r>
  <r>
    <s v="m.web"/>
    <x v="1"/>
    <x v="24"/>
    <s v="가정용 전기전자"/>
    <s v="가사용 전기전자"/>
    <s v="청소기"/>
    <s v="LG코드제로"/>
    <x v="26"/>
    <s v="포털(대)포털(중)"/>
    <s v="-"/>
    <s v="-"/>
    <x v="3"/>
    <s v="25.01.20"/>
    <s v="25.01.23"/>
    <s v="카카오광고"/>
    <n v="2981"/>
  </r>
  <r>
    <s v="m.web"/>
    <x v="1"/>
    <x v="24"/>
    <s v="가정용 전기전자"/>
    <s v="가사용 전기전자"/>
    <s v="청소기"/>
    <s v="LG코드제로"/>
    <x v="26"/>
    <s v="포털(대)포털(중)"/>
    <s v="-"/>
    <s v="-"/>
    <x v="4"/>
    <s v="25.03.08"/>
    <s v="25.03.08"/>
    <s v="카카오광고"/>
    <n v="745"/>
  </r>
  <r>
    <s v="m.web"/>
    <x v="1"/>
    <x v="24"/>
    <s v="가정용 전기전자"/>
    <s v="가사용 전기전자"/>
    <s v="청소기"/>
    <s v="LG코드제로"/>
    <x v="26"/>
    <s v="포털(대)포털(중)"/>
    <s v="-"/>
    <s v="-"/>
    <x v="4"/>
    <s v="25.03.13"/>
    <s v="25.03.14"/>
    <s v="카카오광고"/>
    <n v="1491"/>
  </r>
  <r>
    <s v="m.web"/>
    <x v="1"/>
    <x v="24"/>
    <s v="가정용 전기전자"/>
    <s v="가사용 전기전자"/>
    <s v="청소기"/>
    <s v="LG코드제로"/>
    <x v="25"/>
    <s v="생활정보(대)쇼핑/가격정보(중)"/>
    <s v="-"/>
    <s v="-"/>
    <x v="1"/>
    <s v="25.05.07"/>
    <s v="25.05.08"/>
    <s v="-"/>
    <n v="329"/>
  </r>
  <r>
    <s v="m.app"/>
    <x v="1"/>
    <x v="24"/>
    <s v="가정용 전기전자"/>
    <s v="가사용 전기전자"/>
    <s v="청소기"/>
    <s v="LG코드제로"/>
    <x v="74"/>
    <s v="커뮤니티(대)홈페이지(중)"/>
    <s v="-"/>
    <s v="-"/>
    <x v="2"/>
    <s v="25.02.02"/>
    <s v="25.02.02"/>
    <s v="-"/>
    <n v="819"/>
  </r>
  <r>
    <s v="m.app"/>
    <x v="1"/>
    <x v="24"/>
    <s v="가정용 전기전자"/>
    <s v="가사용 전기전자"/>
    <s v="청소기"/>
    <s v="LG코드제로"/>
    <x v="74"/>
    <s v="커뮤니티(대)홈페이지(중)"/>
    <s v="-"/>
    <s v="-"/>
    <x v="2"/>
    <s v="25.02.03"/>
    <s v="25.02.03"/>
    <s v="-"/>
    <n v="819"/>
  </r>
  <r>
    <s v="m.web"/>
    <x v="1"/>
    <x v="1"/>
    <s v="가정용 전기전자"/>
    <s v="가사용 전기전자"/>
    <s v="청소기"/>
    <s v="LG로보킹AI올인원"/>
    <x v="25"/>
    <s v="생활정보(대)쇼핑/가격정보(중)"/>
    <s v="-"/>
    <s v="-"/>
    <x v="1"/>
    <s v="25.05.12"/>
    <s v="25.05.12"/>
    <s v="-"/>
    <n v="165"/>
  </r>
  <r>
    <s v="m.web"/>
    <x v="1"/>
    <x v="1"/>
    <s v="가정용 전기전자"/>
    <s v="가사용 전기전자"/>
    <s v="청소기"/>
    <s v="LG로보킹AI올인원"/>
    <x v="25"/>
    <s v="생활정보(대)쇼핑/가격정보(중)"/>
    <s v="-"/>
    <s v="-"/>
    <x v="1"/>
    <s v="25.05.13"/>
    <s v="25.05.13"/>
    <s v="-"/>
    <n v="330"/>
  </r>
  <r>
    <s v="m.app"/>
    <x v="1"/>
    <x v="1"/>
    <s v="가정용 전기전자"/>
    <s v="가사용 전기전자"/>
    <s v="청소기"/>
    <s v="LG로보킹AI올인원"/>
    <x v="72"/>
    <s v="커뮤니케이션(대)채팅/메신저(중)"/>
    <s v="-"/>
    <s v="-"/>
    <x v="4"/>
    <s v="25.03.08"/>
    <s v="25.03.09"/>
    <s v="카카오광고"/>
    <n v="13866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3"/>
    <s v="25.01.23"/>
    <s v="25.01.23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3"/>
    <s v="25.01.25"/>
    <s v="25.01.25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3"/>
    <s v="25.01.26"/>
    <s v="25.01.26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3"/>
    <s v="25.01.30"/>
    <s v="25.01.30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3"/>
    <s v="25.01.31"/>
    <s v="25.01.31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01"/>
    <s v="25.02.01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05"/>
    <s v="25.02.05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06"/>
    <s v="25.02.09"/>
    <s v="카카오광고"/>
    <n v="23579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08"/>
    <s v="25.02.08"/>
    <s v="카카오광고"/>
    <n v="5895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10"/>
    <s v="25.02.16"/>
    <s v="카카오광고"/>
    <n v="41263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11"/>
    <s v="25.02.15"/>
    <s v="카카오광고"/>
    <n v="29474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17"/>
    <s v="25.02.18"/>
    <s v="카카오광고"/>
    <n v="11790"/>
  </r>
  <r>
    <s v="m.app"/>
    <x v="1"/>
    <x v="25"/>
    <s v="가정용 전기전자"/>
    <s v="가사용 전기전자"/>
    <s v="청소기"/>
    <s v="LG코드제로오브제컬렉션A9S"/>
    <x v="72"/>
    <s v="커뮤니케이션(대)채팅/메신저(중)"/>
    <s v="-"/>
    <s v="-"/>
    <x v="2"/>
    <s v="25.02.23"/>
    <s v="25.02.23"/>
    <s v="카카오광고"/>
    <n v="5895"/>
  </r>
  <r>
    <s v="m.app"/>
    <x v="1"/>
    <x v="25"/>
    <s v="가정용 전기전자"/>
    <s v="가사용 전기전자"/>
    <s v="청소기"/>
    <s v="LG코드제로오브제컬렉션A9S"/>
    <x v="74"/>
    <s v="커뮤니티(대)홈페이지(중)"/>
    <s v="-"/>
    <s v="-"/>
    <x v="2"/>
    <s v="25.02.26"/>
    <s v="25.02.26"/>
    <s v="-"/>
    <n v="819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3"/>
    <s v="25.01.01"/>
    <s v="25.01.01"/>
    <s v="카카오광고"/>
    <n v="745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3"/>
    <s v="25.01.31"/>
    <s v="25.01.31"/>
    <s v="카카오광고"/>
    <n v="745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2"/>
    <s v="25.02.01"/>
    <s v="25.02.02"/>
    <s v="카카오광고"/>
    <n v="1491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4"/>
    <s v="25.03.15"/>
    <s v="25.03.16"/>
    <s v="카카오광고"/>
    <n v="1491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4"/>
    <s v="25.03.17"/>
    <s v="25.03.23"/>
    <s v="카카오광고"/>
    <n v="5217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4"/>
    <s v="25.03.24"/>
    <s v="25.03.30"/>
    <s v="카카오광고"/>
    <n v="5217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0"/>
    <s v="25.04.17"/>
    <s v="25.04.20"/>
    <s v="카카오광고"/>
    <n v="2981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0"/>
    <s v="25.04.21"/>
    <s v="25.04.22"/>
    <s v="카카오광고"/>
    <n v="1491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0"/>
    <s v="25.04.23"/>
    <s v="25.04.27"/>
    <s v="카카오광고"/>
    <n v="3726"/>
  </r>
  <r>
    <s v="m.web"/>
    <x v="2"/>
    <x v="2"/>
    <s v="가정용 전기전자"/>
    <s v="가사용 전기전자"/>
    <s v="청소기"/>
    <s v="쿠쿠파워클론무선청소기"/>
    <x v="26"/>
    <s v="포털(대)포털(중)"/>
    <s v="-"/>
    <s v="-"/>
    <x v="0"/>
    <s v="25.04.29"/>
    <s v="25.04.29"/>
    <s v="카카오광고"/>
    <n v="745"/>
  </r>
  <r>
    <s v="m.app"/>
    <x v="2"/>
    <x v="2"/>
    <s v="가정용 전기전자"/>
    <s v="가사용 전기전자"/>
    <s v="청소기"/>
    <s v="쿠쿠파워클론무선청소기"/>
    <x v="72"/>
    <s v="커뮤니케이션(대)채팅/메신저(중)"/>
    <s v="-"/>
    <s v="-"/>
    <x v="3"/>
    <s v="25.01.04"/>
    <s v="25.01.04"/>
    <s v="카카오광고"/>
    <n v="5895"/>
  </r>
  <r>
    <s v="m.app"/>
    <x v="2"/>
    <x v="2"/>
    <s v="가정용 전기전자"/>
    <s v="가사용 전기전자"/>
    <s v="청소기"/>
    <s v="쿠쿠파워클론무선청소기"/>
    <x v="72"/>
    <s v="커뮤니케이션(대)채팅/메신저(중)"/>
    <s v="-"/>
    <s v="-"/>
    <x v="3"/>
    <s v="25.01.17"/>
    <s v="25.01.17"/>
    <s v="카카오광고"/>
    <n v="5895"/>
  </r>
  <r>
    <s v="m.app"/>
    <x v="2"/>
    <x v="2"/>
    <s v="가정용 전기전자"/>
    <s v="가사용 전기전자"/>
    <s v="청소기"/>
    <s v="쿠쿠파워클론무선청소기"/>
    <x v="72"/>
    <s v="커뮤니케이션(대)채팅/메신저(중)"/>
    <s v="-"/>
    <s v="-"/>
    <x v="3"/>
    <s v="25.01.30"/>
    <s v="25.01.30"/>
    <s v="카카오광고"/>
    <n v="5895"/>
  </r>
  <r>
    <s v="m.app"/>
    <x v="2"/>
    <x v="2"/>
    <s v="가정용 전기전자"/>
    <s v="가사용 전기전자"/>
    <s v="청소기"/>
    <s v="쿠쿠파워클론무선청소기"/>
    <x v="72"/>
    <s v="커뮤니케이션(대)채팅/메신저(중)"/>
    <s v="-"/>
    <s v="-"/>
    <x v="0"/>
    <s v="25.04.19"/>
    <s v="25.04.20"/>
    <s v="카카오광고"/>
    <n v="13866"/>
  </r>
  <r>
    <s v="m.app"/>
    <x v="2"/>
    <x v="2"/>
    <s v="가정용 전기전자"/>
    <s v="가사용 전기전자"/>
    <s v="청소기"/>
    <s v="쿠쿠파워클론무선청소기"/>
    <x v="74"/>
    <s v="커뮤니티(대)홈페이지(중)"/>
    <s v="-"/>
    <s v="-"/>
    <x v="0"/>
    <s v="25.04.15"/>
    <s v="25.04.16"/>
    <s v="-"/>
    <n v="807"/>
  </r>
  <r>
    <s v="m.app"/>
    <x v="2"/>
    <x v="2"/>
    <s v="가정용 전기전자"/>
    <s v="가사용 전기전자"/>
    <s v="청소기"/>
    <s v="쿠쿠파워클론무선청소기"/>
    <x v="74"/>
    <s v="커뮤니티(대)홈페이지(중)"/>
    <s v="-"/>
    <s v="-"/>
    <x v="0"/>
    <s v="25.04.19"/>
    <s v="25.04.20"/>
    <s v="-"/>
    <n v="807"/>
  </r>
  <r>
    <s v="m.app"/>
    <x v="2"/>
    <x v="2"/>
    <s v="가정용 전기전자"/>
    <s v="가사용 전기전자"/>
    <s v="청소기"/>
    <s v="쿠쿠파워클론무선청소기"/>
    <x v="74"/>
    <s v="커뮤니티(대)홈페이지(중)"/>
    <s v="-"/>
    <s v="-"/>
    <x v="0"/>
    <s v="25.04.21"/>
    <s v="25.04.23"/>
    <s v="-"/>
    <n v="1210"/>
  </r>
  <r>
    <s v="m.app"/>
    <x v="2"/>
    <x v="2"/>
    <s v="가정용 전기전자"/>
    <s v="가사용 전기전자"/>
    <s v="청소기"/>
    <s v="쿠쿠파워클론무선청소기"/>
    <x v="74"/>
    <s v="커뮤니티(대)홈페이지(중)"/>
    <s v="-"/>
    <s v="-"/>
    <x v="0"/>
    <s v="25.04.25"/>
    <s v="25.04.27"/>
    <s v="-"/>
    <n v="1210"/>
  </r>
  <r>
    <s v="m.app"/>
    <x v="2"/>
    <x v="2"/>
    <s v="가정용 전기전자"/>
    <s v="가사용 전기전자"/>
    <s v="청소기"/>
    <s v="쿠쿠파워클론무선청소기"/>
    <x v="74"/>
    <s v="커뮤니티(대)홈페이지(중)"/>
    <s v="-"/>
    <s v="-"/>
    <x v="0"/>
    <s v="25.04.28"/>
    <s v="25.04.29"/>
    <s v="-"/>
    <n v="807"/>
  </r>
  <r>
    <s v="m.web"/>
    <x v="2"/>
    <x v="3"/>
    <s v="가정용 전기전자"/>
    <s v="가사용 전기전자"/>
    <s v="청소기"/>
    <s v="쿠쿠파워클론슬림"/>
    <x v="63"/>
    <s v="포털(대)포털(중)"/>
    <s v="-"/>
    <s v="-"/>
    <x v="2"/>
    <s v="25.02.16"/>
    <s v="25.02.16"/>
    <s v="-"/>
    <n v="2547"/>
  </r>
  <r>
    <s v="m.app"/>
    <x v="2"/>
    <x v="3"/>
    <s v="가정용 전기전자"/>
    <s v="가사용 전기전자"/>
    <s v="청소기"/>
    <s v="쿠쿠파워클론슬림"/>
    <x v="74"/>
    <s v="커뮤니티(대)홈페이지(중)"/>
    <s v="-"/>
    <s v="-"/>
    <x v="0"/>
    <s v="25.04.25"/>
    <s v="25.04.27"/>
    <s v="-"/>
    <n v="1210"/>
  </r>
  <r>
    <s v="m.app"/>
    <x v="2"/>
    <x v="3"/>
    <s v="가정용 전기전자"/>
    <s v="가사용 전기전자"/>
    <s v="청소기"/>
    <s v="쿠쿠파워클론슬림"/>
    <x v="74"/>
    <s v="커뮤니티(대)홈페이지(중)"/>
    <s v="-"/>
    <s v="-"/>
    <x v="0"/>
    <s v="25.04.28"/>
    <s v="25.04.29"/>
    <s v="-"/>
    <n v="807"/>
  </r>
  <r>
    <s v="m.app"/>
    <x v="2"/>
    <x v="26"/>
    <s v="가정용 전기전자"/>
    <s v="가사용 전기전자"/>
    <s v="청소기"/>
    <s v="쿠쿠파워클론미니"/>
    <x v="74"/>
    <s v="커뮤니티(대)홈페이지(중)"/>
    <s v="-"/>
    <s v="-"/>
    <x v="0"/>
    <s v="25.04.17"/>
    <s v="25.04.20"/>
    <s v="-"/>
    <n v="1613"/>
  </r>
  <r>
    <s v="m.app"/>
    <x v="2"/>
    <x v="26"/>
    <s v="가정용 전기전자"/>
    <s v="가사용 전기전자"/>
    <s v="청소기"/>
    <s v="쿠쿠파워클론미니"/>
    <x v="74"/>
    <s v="커뮤니티(대)홈페이지(중)"/>
    <s v="-"/>
    <s v="-"/>
    <x v="0"/>
    <s v="25.04.21"/>
    <s v="25.04.27"/>
    <s v="-"/>
    <n v="2823"/>
  </r>
  <r>
    <s v="m.app"/>
    <x v="2"/>
    <x v="26"/>
    <s v="가정용 전기전자"/>
    <s v="가사용 전기전자"/>
    <s v="청소기"/>
    <s v="쿠쿠파워클론미니"/>
    <x v="74"/>
    <s v="커뮤니티(대)홈페이지(중)"/>
    <s v="-"/>
    <s v="-"/>
    <x v="0"/>
    <s v="25.04.28"/>
    <s v="25.04.29"/>
    <s v="-"/>
    <n v="807"/>
  </r>
  <r>
    <s v="m.web"/>
    <x v="3"/>
    <x v="4"/>
    <s v="가정용 전기전자"/>
    <s v="가사용 전기전자"/>
    <s v="청소기"/>
    <s v="로보락"/>
    <x v="26"/>
    <s v="포털(대)포털(중)"/>
    <s v="-"/>
    <s v="-"/>
    <x v="3"/>
    <s v="25.01.06"/>
    <s v="25.01.12"/>
    <s v="카카오광고"/>
    <n v="5217"/>
  </r>
  <r>
    <s v="m.web"/>
    <x v="3"/>
    <x v="4"/>
    <s v="가정용 전기전자"/>
    <s v="가사용 전기전자"/>
    <s v="청소기"/>
    <s v="로보락"/>
    <x v="26"/>
    <s v="포털(대)포털(중)"/>
    <s v="-"/>
    <s v="-"/>
    <x v="3"/>
    <s v="25.01.13"/>
    <s v="25.01.18"/>
    <s v="카카오광고"/>
    <n v="4472"/>
  </r>
  <r>
    <s v="m.web"/>
    <x v="3"/>
    <x v="4"/>
    <s v="가정용 전기전자"/>
    <s v="가사용 전기전자"/>
    <s v="청소기"/>
    <s v="로보락"/>
    <x v="26"/>
    <s v="포털(대)포털(중)"/>
    <s v="-"/>
    <s v="-"/>
    <x v="3"/>
    <s v="25.01.19"/>
    <s v="25.01.19"/>
    <s v="카카오광고"/>
    <n v="745"/>
  </r>
  <r>
    <s v="m.web"/>
    <x v="3"/>
    <x v="4"/>
    <s v="가정용 전기전자"/>
    <s v="가사용 전기전자"/>
    <s v="청소기"/>
    <s v="로보락"/>
    <x v="26"/>
    <s v="포털(대)포털(중)"/>
    <s v="-"/>
    <s v="-"/>
    <x v="3"/>
    <s v="25.01.20"/>
    <s v="25.01.20"/>
    <s v="카카오광고"/>
    <n v="745"/>
  </r>
  <r>
    <s v="m.web"/>
    <x v="3"/>
    <x v="4"/>
    <s v="가정용 전기전자"/>
    <s v="가사용 전기전자"/>
    <s v="청소기"/>
    <s v="로보락"/>
    <x v="26"/>
    <s v="포털(대)포털(중)"/>
    <s v="-"/>
    <s v="-"/>
    <x v="3"/>
    <s v="25.01.20"/>
    <s v="25.01.21"/>
    <s v="카카오광고"/>
    <n v="1491"/>
  </r>
  <r>
    <s v="m.web"/>
    <x v="3"/>
    <x v="4"/>
    <s v="가정용 전기전자"/>
    <s v="가사용 전기전자"/>
    <s v="청소기"/>
    <s v="로보락"/>
    <x v="26"/>
    <s v="포털(대)포털(중)"/>
    <s v="-"/>
    <s v="-"/>
    <x v="3"/>
    <s v="25.01.22"/>
    <s v="25.01.22"/>
    <s v="카카오광고"/>
    <n v="745"/>
  </r>
  <r>
    <s v="m.web"/>
    <x v="3"/>
    <x v="4"/>
    <s v="가정용 전기전자"/>
    <s v="가사용 전기전자"/>
    <s v="청소기"/>
    <s v="로보락"/>
    <x v="26"/>
    <s v="포털(대)포털(중)"/>
    <s v="-"/>
    <s v="-"/>
    <x v="2"/>
    <s v="25.02.10"/>
    <s v="25.02.13"/>
    <s v="카카오광고"/>
    <n v="2981"/>
  </r>
  <r>
    <s v="m.web"/>
    <x v="3"/>
    <x v="4"/>
    <s v="가정용 전기전자"/>
    <s v="가사용 전기전자"/>
    <s v="청소기"/>
    <s v="로보락"/>
    <x v="26"/>
    <s v="포털(대)포털(중)"/>
    <s v="-"/>
    <s v="-"/>
    <x v="2"/>
    <s v="25.02.17"/>
    <s v="25.02.17"/>
    <s v="카카오광고"/>
    <n v="745"/>
  </r>
  <r>
    <s v="m.web"/>
    <x v="3"/>
    <x v="4"/>
    <s v="가정용 전기전자"/>
    <s v="가사용 전기전자"/>
    <s v="청소기"/>
    <s v="로보락"/>
    <x v="26"/>
    <s v="포털(대)포털(중)"/>
    <s v="-"/>
    <s v="-"/>
    <x v="4"/>
    <s v="25.03.18"/>
    <s v="25.03.20"/>
    <s v="카카오광고"/>
    <n v="2236"/>
  </r>
  <r>
    <s v="m.web"/>
    <x v="3"/>
    <x v="4"/>
    <s v="가정용 전기전자"/>
    <s v="가사용 전기전자"/>
    <s v="청소기"/>
    <s v="로보락"/>
    <x v="26"/>
    <s v="포털(대)포털(중)"/>
    <s v="-"/>
    <s v="-"/>
    <x v="4"/>
    <s v="25.03.20"/>
    <s v="25.03.23"/>
    <s v="카카오광고"/>
    <n v="2981"/>
  </r>
  <r>
    <s v="m.web"/>
    <x v="3"/>
    <x v="4"/>
    <s v="가정용 전기전자"/>
    <s v="가사용 전기전자"/>
    <s v="청소기"/>
    <s v="로보락"/>
    <x v="26"/>
    <s v="포털(대)포털(중)"/>
    <s v="-"/>
    <s v="-"/>
    <x v="4"/>
    <s v="25.03.24"/>
    <s v="25.03.28"/>
    <s v="카카오광고"/>
    <n v="3726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03"/>
    <s v="25.04.05"/>
    <s v="카카오광고"/>
    <n v="2236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07"/>
    <s v="25.04.13"/>
    <s v="카카오광고"/>
    <n v="5217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11"/>
    <s v="25.04.11"/>
    <s v="카카오광고"/>
    <n v="745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14"/>
    <s v="25.04.14"/>
    <s v="카카오광고"/>
    <n v="745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21"/>
    <s v="25.04.22"/>
    <s v="카카오광고"/>
    <n v="1491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21"/>
    <s v="25.04.27"/>
    <s v="카카오광고"/>
    <n v="5217"/>
  </r>
  <r>
    <s v="m.web"/>
    <x v="3"/>
    <x v="4"/>
    <s v="가정용 전기전자"/>
    <s v="가사용 전기전자"/>
    <s v="청소기"/>
    <s v="로보락"/>
    <x v="26"/>
    <s v="포털(대)포털(중)"/>
    <s v="-"/>
    <s v="-"/>
    <x v="0"/>
    <s v="25.04.28"/>
    <s v="25.04.29"/>
    <s v="카카오광고"/>
    <n v="1491"/>
  </r>
  <r>
    <s v="m.web"/>
    <x v="3"/>
    <x v="4"/>
    <s v="가정용 전기전자"/>
    <s v="가사용 전기전자"/>
    <s v="청소기"/>
    <s v="로보락"/>
    <x v="26"/>
    <s v="포털(대)포털(중)"/>
    <s v="-"/>
    <s v="-"/>
    <x v="1"/>
    <s v="25.05.03"/>
    <s v="25.05.04"/>
    <s v="카카오광고"/>
    <n v="1763"/>
  </r>
  <r>
    <s v="m.web"/>
    <x v="3"/>
    <x v="4"/>
    <s v="가정용 전기전자"/>
    <s v="가사용 전기전자"/>
    <s v="청소기"/>
    <s v="로보락"/>
    <x v="26"/>
    <s v="포털(대)포털(중)"/>
    <s v="-"/>
    <s v="-"/>
    <x v="1"/>
    <s v="25.05.05"/>
    <s v="25.05.11"/>
    <s v="카카오광고"/>
    <n v="6169"/>
  </r>
  <r>
    <s v="m.web"/>
    <x v="3"/>
    <x v="4"/>
    <s v="가정용 전기전자"/>
    <s v="가사용 전기전자"/>
    <s v="청소기"/>
    <s v="로보락"/>
    <x v="26"/>
    <s v="포털(대)포털(중)"/>
    <s v="-"/>
    <s v="-"/>
    <x v="1"/>
    <s v="25.05.07"/>
    <s v="25.05.07"/>
    <s v="카카오광고"/>
    <n v="881"/>
  </r>
  <r>
    <s v="m.web"/>
    <x v="3"/>
    <x v="4"/>
    <s v="가정용 전기전자"/>
    <s v="가사용 전기전자"/>
    <s v="청소기"/>
    <s v="로보락"/>
    <x v="26"/>
    <s v="포털(대)포털(중)"/>
    <s v="-"/>
    <s v="-"/>
    <x v="1"/>
    <s v="25.05.12"/>
    <s v="25.05.17"/>
    <s v="카카오광고"/>
    <n v="5288"/>
  </r>
  <r>
    <s v="m.web"/>
    <x v="3"/>
    <x v="4"/>
    <s v="가정용 전기전자"/>
    <s v="가사용 전기전자"/>
    <s v="청소기"/>
    <s v="로보락"/>
    <x v="26"/>
    <s v="포털(대)포털(중)"/>
    <s v="-"/>
    <s v="-"/>
    <x v="1"/>
    <s v="25.05.20"/>
    <s v="25.05.24"/>
    <s v="카카오광고"/>
    <n v="4406"/>
  </r>
  <r>
    <s v="m.web"/>
    <x v="3"/>
    <x v="4"/>
    <s v="가정용 전기전자"/>
    <s v="가사용 전기전자"/>
    <s v="청소기"/>
    <s v="로보락"/>
    <x v="26"/>
    <s v="포털(대)포털(중)"/>
    <s v="-"/>
    <s v="-"/>
    <x v="1"/>
    <s v="25.05.26"/>
    <s v="25.05.29"/>
    <s v="카카오광고"/>
    <n v="3525"/>
  </r>
  <r>
    <s v="m.web"/>
    <x v="3"/>
    <x v="4"/>
    <s v="가정용 전기전자"/>
    <s v="가사용 전기전자"/>
    <s v="청소기"/>
    <s v="로보락"/>
    <x v="63"/>
    <s v="포털(대)포털(중)"/>
    <s v="-"/>
    <s v="-"/>
    <x v="3"/>
    <s v="25.01.01"/>
    <s v="25.01.04"/>
    <s v="-"/>
    <n v="9621"/>
  </r>
  <r>
    <s v="m.web"/>
    <x v="3"/>
    <x v="4"/>
    <s v="가정용 전기전자"/>
    <s v="가사용 전기전자"/>
    <s v="청소기"/>
    <s v="로보락"/>
    <x v="63"/>
    <s v="포털(대)포털(중)"/>
    <s v="-"/>
    <s v="-"/>
    <x v="3"/>
    <s v="25.01.01"/>
    <s v="25.01.05"/>
    <s v="-"/>
    <n v="12026"/>
  </r>
  <r>
    <s v="m.web"/>
    <x v="3"/>
    <x v="4"/>
    <s v="가정용 전기전자"/>
    <s v="가사용 전기전자"/>
    <s v="청소기"/>
    <s v="로보락"/>
    <x v="63"/>
    <s v="포털(대)포털(중)"/>
    <s v="-"/>
    <s v="-"/>
    <x v="3"/>
    <s v="25.01.02"/>
    <s v="25.01.02"/>
    <s v="-"/>
    <n v="2405"/>
  </r>
  <r>
    <s v="m.web"/>
    <x v="3"/>
    <x v="4"/>
    <s v="가정용 전기전자"/>
    <s v="가사용 전기전자"/>
    <s v="청소기"/>
    <s v="로보락"/>
    <x v="63"/>
    <s v="포털(대)포털(중)"/>
    <s v="-"/>
    <s v="-"/>
    <x v="3"/>
    <s v="25.01.02"/>
    <s v="25.01.05"/>
    <s v="-"/>
    <n v="9621"/>
  </r>
  <r>
    <s v="m.web"/>
    <x v="3"/>
    <x v="4"/>
    <s v="가정용 전기전자"/>
    <s v="가사용 전기전자"/>
    <s v="청소기"/>
    <s v="로보락"/>
    <x v="63"/>
    <s v="포털(대)포털(중)"/>
    <s v="-"/>
    <s v="-"/>
    <x v="1"/>
    <s v="25.05.14"/>
    <s v="25.05.15"/>
    <s v="-"/>
    <n v="6131"/>
  </r>
  <r>
    <s v="m.web"/>
    <x v="3"/>
    <x v="4"/>
    <s v="가정용 전기전자"/>
    <s v="가사용 전기전자"/>
    <s v="청소기"/>
    <s v="로보락"/>
    <x v="27"/>
    <s v="포털(대)포털(중)"/>
    <s v="-"/>
    <s v="-"/>
    <x v="1"/>
    <s v="25.05.07"/>
    <s v="25.05.07"/>
    <s v="Taboola"/>
    <n v="582"/>
  </r>
  <r>
    <s v="m.web"/>
    <x v="3"/>
    <x v="4"/>
    <s v="가정용 전기전자"/>
    <s v="가사용 전기전자"/>
    <s v="청소기"/>
    <s v="로보락"/>
    <x v="27"/>
    <s v="포털(대)포털(중)"/>
    <s v="-"/>
    <s v="-"/>
    <x v="1"/>
    <s v="25.05.14"/>
    <s v="25.05.14"/>
    <s v="Taboola"/>
    <n v="582"/>
  </r>
  <r>
    <s v="m.web"/>
    <x v="3"/>
    <x v="4"/>
    <s v="가정용 전기전자"/>
    <s v="가사용 전기전자"/>
    <s v="청소기"/>
    <s v="로보락"/>
    <x v="0"/>
    <s v="신문/잡지(대)종합일간지(중)"/>
    <s v="-"/>
    <s v="-"/>
    <x v="1"/>
    <s v="25.05.12"/>
    <s v="25.05.12"/>
    <s v="애드몹"/>
    <n v="252"/>
  </r>
  <r>
    <s v="m.web"/>
    <x v="3"/>
    <x v="4"/>
    <s v="가정용 전기전자"/>
    <s v="가사용 전기전자"/>
    <s v="청소기"/>
    <s v="로보락"/>
    <x v="31"/>
    <s v="신문/잡지(대)스포츠신문(중)"/>
    <s v="-"/>
    <s v="-"/>
    <x v="0"/>
    <s v="25.04.20"/>
    <s v="25.04.20"/>
    <s v="카카오광고"/>
    <n v="23"/>
  </r>
  <r>
    <s v="m.web"/>
    <x v="3"/>
    <x v="4"/>
    <s v="가정용 전기전자"/>
    <s v="가사용 전기전자"/>
    <s v="청소기"/>
    <s v="로보락"/>
    <x v="31"/>
    <s v="신문/잡지(대)스포츠신문(중)"/>
    <s v="-"/>
    <s v="-"/>
    <x v="0"/>
    <s v="25.04.26"/>
    <s v="25.04.26"/>
    <s v="카카오광고"/>
    <n v="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0"/>
    <s v="25.04.12"/>
    <s v="25.04.12"/>
    <s v="카카오광고"/>
    <n v="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0"/>
    <s v="25.04.21"/>
    <s v="25.04.21"/>
    <s v="Taboola"/>
    <n v="1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0"/>
    <s v="25.04.27"/>
    <s v="25.04.27"/>
    <s v="Taboola"/>
    <n v="1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1"/>
    <s v="25.05.07"/>
    <s v="25.05.07"/>
    <s v="Taboola"/>
    <n v="1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1"/>
    <s v="25.05.12"/>
    <s v="25.05.12"/>
    <s v="Taboola"/>
    <n v="1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1"/>
    <s v="25.05.15"/>
    <s v="25.05.15"/>
    <s v="Taboola"/>
    <n v="123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1"/>
    <s v="25.05.16"/>
    <s v="25.05.16"/>
    <s v="카카오광고"/>
    <n v="27"/>
  </r>
  <r>
    <s v="m.web"/>
    <x v="3"/>
    <x v="4"/>
    <s v="가정용 전기전자"/>
    <s v="가사용 전기전자"/>
    <s v="청소기"/>
    <s v="로보락"/>
    <x v="2"/>
    <s v="신문/잡지(대)종합일간지(중)"/>
    <s v="-"/>
    <s v="-"/>
    <x v="1"/>
    <s v="25.05.16"/>
    <s v="25.05.17"/>
    <s v="Taboola"/>
    <n v="246"/>
  </r>
  <r>
    <s v="m.web"/>
    <x v="3"/>
    <x v="4"/>
    <s v="가정용 전기전자"/>
    <s v="가사용 전기전자"/>
    <s v="청소기"/>
    <s v="로보락"/>
    <x v="33"/>
    <s v="신문/잡지(대)종합일간지(중)"/>
    <s v="-"/>
    <s v="-"/>
    <x v="1"/>
    <s v="25.05.15"/>
    <s v="25.05.15"/>
    <s v="Taboola"/>
    <n v="123"/>
  </r>
  <r>
    <s v="m.web"/>
    <x v="3"/>
    <x v="4"/>
    <s v="가정용 전기전자"/>
    <s v="가사용 전기전자"/>
    <s v="청소기"/>
    <s v="로보락"/>
    <x v="4"/>
    <s v="신문/잡지(대)종합일간지(중)"/>
    <s v="-"/>
    <s v="-"/>
    <x v="0"/>
    <s v="25.04.18"/>
    <s v="25.04.18"/>
    <s v="Taboola"/>
    <n v="123"/>
  </r>
  <r>
    <s v="m.web"/>
    <x v="3"/>
    <x v="4"/>
    <s v="가정용 전기전자"/>
    <s v="가사용 전기전자"/>
    <s v="청소기"/>
    <s v="로보락"/>
    <x v="4"/>
    <s v="신문/잡지(대)종합일간지(중)"/>
    <s v="-"/>
    <s v="-"/>
    <x v="0"/>
    <s v="25.04.23"/>
    <s v="25.04.25"/>
    <s v="Taboola"/>
    <n v="369"/>
  </r>
  <r>
    <s v="m.web"/>
    <x v="3"/>
    <x v="4"/>
    <s v="가정용 전기전자"/>
    <s v="가사용 전기전자"/>
    <s v="청소기"/>
    <s v="로보락"/>
    <x v="4"/>
    <s v="신문/잡지(대)종합일간지(중)"/>
    <s v="-"/>
    <s v="-"/>
    <x v="1"/>
    <s v="25.05.13"/>
    <s v="25.05.15"/>
    <s v="Taboola"/>
    <n v="369"/>
  </r>
  <r>
    <s v="m.web"/>
    <x v="3"/>
    <x v="4"/>
    <s v="가정용 전기전자"/>
    <s v="가사용 전기전자"/>
    <s v="청소기"/>
    <s v="로보락"/>
    <x v="34"/>
    <s v="신문/잡지(대)온라인뉴스(중)"/>
    <s v="-"/>
    <s v="-"/>
    <x v="1"/>
    <s v="25.05.09"/>
    <s v="25.05.11"/>
    <s v="카카오광고"/>
    <n v="82"/>
  </r>
  <r>
    <s v="m.web"/>
    <x v="3"/>
    <x v="4"/>
    <s v="가정용 전기전자"/>
    <s v="가사용 전기전자"/>
    <s v="청소기"/>
    <s v="로보락"/>
    <x v="5"/>
    <s v="신문/잡지(대)경제신문(중)"/>
    <s v="-"/>
    <s v="-"/>
    <x v="0"/>
    <s v="25.04.27"/>
    <s v="25.04.27"/>
    <s v="Taboola"/>
    <n v="123"/>
  </r>
  <r>
    <s v="m.web"/>
    <x v="3"/>
    <x v="4"/>
    <s v="가정용 전기전자"/>
    <s v="가사용 전기전자"/>
    <s v="청소기"/>
    <s v="로보락"/>
    <x v="5"/>
    <s v="신문/잡지(대)경제신문(중)"/>
    <s v="-"/>
    <s v="-"/>
    <x v="1"/>
    <s v="25.05.08"/>
    <s v="25.05.08"/>
    <s v="Taboola"/>
    <n v="123"/>
  </r>
  <r>
    <s v="m.web"/>
    <x v="3"/>
    <x v="4"/>
    <s v="가정용 전기전자"/>
    <s v="가사용 전기전자"/>
    <s v="청소기"/>
    <s v="로보락"/>
    <x v="5"/>
    <s v="신문/잡지(대)경제신문(중)"/>
    <s v="-"/>
    <s v="-"/>
    <x v="1"/>
    <s v="25.05.13"/>
    <s v="25.05.13"/>
    <s v="Taboola"/>
    <n v="123"/>
  </r>
  <r>
    <s v="m.web"/>
    <x v="3"/>
    <x v="4"/>
    <s v="가정용 전기전자"/>
    <s v="가사용 전기전자"/>
    <s v="청소기"/>
    <s v="로보락"/>
    <x v="5"/>
    <s v="신문/잡지(대)경제신문(중)"/>
    <s v="-"/>
    <s v="-"/>
    <x v="1"/>
    <s v="25.05.14"/>
    <s v="25.05.17"/>
    <s v="Taboola"/>
    <n v="492"/>
  </r>
  <r>
    <s v="m.web"/>
    <x v="3"/>
    <x v="4"/>
    <s v="가정용 전기전자"/>
    <s v="가사용 전기전자"/>
    <s v="청소기"/>
    <s v="로보락"/>
    <x v="6"/>
    <s v="생활정보(대)쇼핑/가격정보(중)"/>
    <s v="-"/>
    <s v="-"/>
    <x v="0"/>
    <s v="25.04.04"/>
    <s v="25.04.06"/>
    <s v="카카오광고"/>
    <n v="69"/>
  </r>
  <r>
    <s v="m.web"/>
    <x v="3"/>
    <x v="4"/>
    <s v="가정용 전기전자"/>
    <s v="가사용 전기전자"/>
    <s v="청소기"/>
    <s v="로보락"/>
    <x v="6"/>
    <s v="생활정보(대)쇼핑/가격정보(중)"/>
    <s v="-"/>
    <s v="-"/>
    <x v="0"/>
    <s v="25.04.22"/>
    <s v="25.04.27"/>
    <s v="카카오광고"/>
    <n v="139"/>
  </r>
  <r>
    <s v="m.web"/>
    <x v="3"/>
    <x v="4"/>
    <s v="가정용 전기전자"/>
    <s v="가사용 전기전자"/>
    <s v="청소기"/>
    <s v="로보락"/>
    <x v="6"/>
    <s v="생활정보(대)쇼핑/가격정보(중)"/>
    <s v="-"/>
    <s v="-"/>
    <x v="1"/>
    <s v="25.05.01"/>
    <s v="25.05.01"/>
    <s v="카카오광고"/>
    <n v="27"/>
  </r>
  <r>
    <s v="m.web"/>
    <x v="3"/>
    <x v="4"/>
    <s v="가정용 전기전자"/>
    <s v="가사용 전기전자"/>
    <s v="청소기"/>
    <s v="로보락"/>
    <x v="6"/>
    <s v="생활정보(대)쇼핑/가격정보(중)"/>
    <s v="-"/>
    <s v="-"/>
    <x v="1"/>
    <s v="25.05.07"/>
    <s v="25.05.11"/>
    <s v="카카오광고"/>
    <n v="136"/>
  </r>
  <r>
    <s v="m.web"/>
    <x v="3"/>
    <x v="4"/>
    <s v="가정용 전기전자"/>
    <s v="가사용 전기전자"/>
    <s v="청소기"/>
    <s v="로보락"/>
    <x v="6"/>
    <s v="생활정보(대)쇼핑/가격정보(중)"/>
    <s v="-"/>
    <s v="-"/>
    <x v="1"/>
    <s v="25.05.12"/>
    <s v="25.05.12"/>
    <s v="카카오광고"/>
    <n v="27"/>
  </r>
  <r>
    <s v="m.web"/>
    <x v="3"/>
    <x v="4"/>
    <s v="가정용 전기전자"/>
    <s v="가사용 전기전자"/>
    <s v="청소기"/>
    <s v="로보락"/>
    <x v="7"/>
    <s v="신문/잡지(대)온라인뉴스(중)"/>
    <s v="-"/>
    <s v="-"/>
    <x v="3"/>
    <s v="25.01.01"/>
    <s v="25.01.04"/>
    <s v="-"/>
    <n v="394"/>
  </r>
  <r>
    <s v="m.web"/>
    <x v="3"/>
    <x v="4"/>
    <s v="가정용 전기전자"/>
    <s v="가사용 전기전자"/>
    <s v="청소기"/>
    <s v="로보락"/>
    <x v="7"/>
    <s v="신문/잡지(대)온라인뉴스(중)"/>
    <s v="-"/>
    <s v="-"/>
    <x v="2"/>
    <s v="25.02.10"/>
    <s v="25.02.10"/>
    <s v="애드몹"/>
    <n v="209"/>
  </r>
  <r>
    <s v="m.web"/>
    <x v="3"/>
    <x v="4"/>
    <s v="가정용 전기전자"/>
    <s v="가사용 전기전자"/>
    <s v="청소기"/>
    <s v="로보락"/>
    <x v="7"/>
    <s v="신문/잡지(대)온라인뉴스(중)"/>
    <s v="-"/>
    <s v="-"/>
    <x v="1"/>
    <s v="25.05.21"/>
    <s v="25.05.21"/>
    <s v="카카오광고"/>
    <n v="26"/>
  </r>
  <r>
    <s v="m.web"/>
    <x v="3"/>
    <x v="4"/>
    <s v="가정용 전기전자"/>
    <s v="가사용 전기전자"/>
    <s v="청소기"/>
    <s v="로보락"/>
    <x v="35"/>
    <s v="신문/잡지(대)종합일간지(중)"/>
    <s v="-"/>
    <s v="-"/>
    <x v="1"/>
    <s v="25.05.17"/>
    <s v="25.05.17"/>
    <s v="Taboola"/>
    <n v="123"/>
  </r>
  <r>
    <s v="m.web"/>
    <x v="3"/>
    <x v="4"/>
    <s v="가정용 전기전자"/>
    <s v="가사용 전기전자"/>
    <s v="청소기"/>
    <s v="로보락"/>
    <x v="8"/>
    <s v="신문/잡지(대)경제신문(중)"/>
    <s v="-"/>
    <s v="-"/>
    <x v="1"/>
    <s v="25.05.02"/>
    <s v="25.05.02"/>
    <s v="애드몹"/>
    <n v="252"/>
  </r>
  <r>
    <s v="m.web"/>
    <x v="3"/>
    <x v="4"/>
    <s v="가정용 전기전자"/>
    <s v="가사용 전기전자"/>
    <s v="청소기"/>
    <s v="로보락"/>
    <x v="37"/>
    <s v="엔터테인먼트(대)엔터테인먼트 기타(중)"/>
    <s v="-"/>
    <s v="-"/>
    <x v="1"/>
    <s v="25.05.07"/>
    <s v="25.05.11"/>
    <s v="카카오광고"/>
    <n v="136"/>
  </r>
  <r>
    <s v="m.web"/>
    <x v="3"/>
    <x v="4"/>
    <s v="가정용 전기전자"/>
    <s v="가사용 전기전자"/>
    <s v="청소기"/>
    <s v="로보락"/>
    <x v="37"/>
    <s v="엔터테인먼트(대)엔터테인먼트 기타(중)"/>
    <s v="-"/>
    <s v="-"/>
    <x v="1"/>
    <s v="25.05.16"/>
    <s v="25.05.16"/>
    <s v="카카오광고"/>
    <n v="27"/>
  </r>
  <r>
    <s v="m.web"/>
    <x v="3"/>
    <x v="4"/>
    <s v="가정용 전기전자"/>
    <s v="가사용 전기전자"/>
    <s v="청소기"/>
    <s v="로보락"/>
    <x v="37"/>
    <s v="엔터테인먼트(대)엔터테인먼트 기타(중)"/>
    <s v="-"/>
    <s v="-"/>
    <x v="1"/>
    <s v="25.05.22"/>
    <s v="25.05.22"/>
    <s v="카카오광고"/>
    <n v="27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0"/>
    <s v="25.04.25"/>
    <s v="25.04.25"/>
    <s v="Taboola"/>
    <n v="123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0"/>
    <s v="25.04.29"/>
    <s v="25.04.29"/>
    <s v="Taboola"/>
    <n v="123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0"/>
    <s v="25.04.30"/>
    <s v="25.04.30"/>
    <s v="Taboola"/>
    <n v="123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1"/>
    <s v="25.05.01"/>
    <s v="25.05.01"/>
    <s v="Taboola"/>
    <n v="123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1"/>
    <s v="25.05.07"/>
    <s v="25.05.07"/>
    <s v="애드몹"/>
    <n v="252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1"/>
    <s v="25.05.08"/>
    <s v="25.05.08"/>
    <s v="Taboola"/>
    <n v="123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1"/>
    <s v="25.05.10"/>
    <s v="25.05.11"/>
    <s v="Taboola"/>
    <n v="246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1"/>
    <s v="25.05.12"/>
    <s v="25.05.12"/>
    <s v="Taboola"/>
    <n v="123"/>
  </r>
  <r>
    <s v="m.web"/>
    <x v="3"/>
    <x v="4"/>
    <s v="가정용 전기전자"/>
    <s v="가사용 전기전자"/>
    <s v="청소기"/>
    <s v="로보락"/>
    <x v="38"/>
    <s v="신문/잡지(대)온라인뉴스(중)"/>
    <s v="-"/>
    <s v="-"/>
    <x v="1"/>
    <s v="25.05.13"/>
    <s v="25.05.17"/>
    <s v="Taboola"/>
    <n v="615"/>
  </r>
  <r>
    <s v="m.web"/>
    <x v="3"/>
    <x v="4"/>
    <s v="가정용 전기전자"/>
    <s v="가사용 전기전자"/>
    <s v="청소기"/>
    <s v="로보락"/>
    <x v="9"/>
    <s v="신문/잡지(대)경제신문(중)"/>
    <s v="-"/>
    <s v="-"/>
    <x v="0"/>
    <s v="25.04.23"/>
    <s v="25.04.23"/>
    <s v="Taboola"/>
    <n v="123"/>
  </r>
  <r>
    <s v="m.web"/>
    <x v="3"/>
    <x v="4"/>
    <s v="가정용 전기전자"/>
    <s v="가사용 전기전자"/>
    <s v="청소기"/>
    <s v="로보락"/>
    <x v="9"/>
    <s v="신문/잡지(대)경제신문(중)"/>
    <s v="-"/>
    <s v="-"/>
    <x v="1"/>
    <s v="25.05.13"/>
    <s v="25.05.13"/>
    <s v="Taboola"/>
    <n v="123"/>
  </r>
  <r>
    <s v="m.web"/>
    <x v="3"/>
    <x v="4"/>
    <s v="가정용 전기전자"/>
    <s v="가사용 전기전자"/>
    <s v="청소기"/>
    <s v="로보락"/>
    <x v="11"/>
    <s v="신문/잡지(대)종합일간지(중)"/>
    <s v="-"/>
    <s v="-"/>
    <x v="0"/>
    <s v="25.04.16"/>
    <s v="25.04.19"/>
    <s v="카카오광고"/>
    <n v="87"/>
  </r>
  <r>
    <s v="m.web"/>
    <x v="3"/>
    <x v="4"/>
    <s v="가정용 전기전자"/>
    <s v="가사용 전기전자"/>
    <s v="청소기"/>
    <s v="로보락"/>
    <x v="11"/>
    <s v="신문/잡지(대)종합일간지(중)"/>
    <s v="-"/>
    <s v="-"/>
    <x v="1"/>
    <s v="25.05.07"/>
    <s v="25.05.07"/>
    <s v="카카오광고"/>
    <n v="26"/>
  </r>
  <r>
    <s v="m.web"/>
    <x v="3"/>
    <x v="4"/>
    <s v="가정용 전기전자"/>
    <s v="가사용 전기전자"/>
    <s v="청소기"/>
    <s v="로보락"/>
    <x v="11"/>
    <s v="신문/잡지(대)종합일간지(중)"/>
    <s v="-"/>
    <s v="-"/>
    <x v="1"/>
    <s v="25.05.13"/>
    <s v="25.05.13"/>
    <s v="카카오광고"/>
    <n v="26"/>
  </r>
  <r>
    <s v="m.web"/>
    <x v="3"/>
    <x v="4"/>
    <s v="가정용 전기전자"/>
    <s v="가사용 전기전자"/>
    <s v="청소기"/>
    <s v="로보락"/>
    <x v="41"/>
    <s v="신문/잡지(대)IT관련 뉴스(중)"/>
    <s v="-"/>
    <s v="-"/>
    <x v="1"/>
    <s v="25.05.09"/>
    <s v="25.05.11"/>
    <s v="Taboola"/>
    <n v="732"/>
  </r>
  <r>
    <s v="m.web"/>
    <x v="3"/>
    <x v="4"/>
    <s v="가정용 전기전자"/>
    <s v="가사용 전기전자"/>
    <s v="청소기"/>
    <s v="로보락"/>
    <x v="41"/>
    <s v="신문/잡지(대)IT관련 뉴스(중)"/>
    <s v="-"/>
    <s v="-"/>
    <x v="1"/>
    <s v="25.05.12"/>
    <s v="25.05.17"/>
    <s v="Taboola"/>
    <n v="1465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0"/>
    <s v="25.04.29"/>
    <s v="25.04.30"/>
    <s v="Taboola"/>
    <n v="246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02"/>
    <s v="25.05.02"/>
    <s v="Taboola"/>
    <n v="123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09"/>
    <s v="25.05.09"/>
    <s v="Taboola"/>
    <n v="123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10"/>
    <s v="25.05.10"/>
    <s v="Taboola"/>
    <n v="123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11"/>
    <s v="25.05.11"/>
    <s v="Taboola"/>
    <n v="123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12"/>
    <s v="25.05.16"/>
    <s v="Taboola"/>
    <n v="615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15"/>
    <s v="25.05.15"/>
    <s v="애드몹"/>
    <n v="252"/>
  </r>
  <r>
    <s v="m.web"/>
    <x v="3"/>
    <x v="4"/>
    <s v="가정용 전기전자"/>
    <s v="가사용 전기전자"/>
    <s v="청소기"/>
    <s v="로보락"/>
    <x v="45"/>
    <s v="신문/잡지(대)신문/잡지 기타(중)"/>
    <s v="-"/>
    <s v="-"/>
    <x v="1"/>
    <s v="25.05.15"/>
    <s v="25.05.15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2"/>
    <s v="25.02.24"/>
    <s v="25.02.24"/>
    <s v="애드몹"/>
    <n v="220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0"/>
    <s v="25.04.22"/>
    <s v="25.04.22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0"/>
    <s v="25.04.24"/>
    <s v="25.04.24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0"/>
    <s v="25.04.27"/>
    <s v="25.04.27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0"/>
    <s v="25.04.29"/>
    <s v="25.04.29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1"/>
    <s v="25.05.02"/>
    <s v="25.05.02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1"/>
    <s v="25.05.06"/>
    <s v="25.05.06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1"/>
    <s v="25.05.10"/>
    <s v="25.05.10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1"/>
    <s v="25.05.11"/>
    <s v="25.05.11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1"/>
    <s v="25.05.13"/>
    <s v="25.05.13"/>
    <s v="Taboola"/>
    <n v="123"/>
  </r>
  <r>
    <s v="m.web"/>
    <x v="3"/>
    <x v="4"/>
    <s v="가정용 전기전자"/>
    <s v="가사용 전기전자"/>
    <s v="청소기"/>
    <s v="로보락"/>
    <x v="13"/>
    <s v="신문/잡지(대)IT관련 뉴스(중)"/>
    <s v="-"/>
    <s v="-"/>
    <x v="1"/>
    <s v="25.05.15"/>
    <s v="25.05.17"/>
    <s v="Taboola"/>
    <n v="369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0"/>
    <s v="25.04.18"/>
    <s v="25.04.19"/>
    <s v="Taboola"/>
    <n v="488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0"/>
    <s v="25.04.23"/>
    <s v="25.04.23"/>
    <s v="Taboola"/>
    <n v="244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0"/>
    <s v="25.04.24"/>
    <s v="25.04.25"/>
    <s v="Taboola"/>
    <n v="488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0"/>
    <s v="25.04.26"/>
    <s v="25.04.26"/>
    <s v="Taboola"/>
    <n v="244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0"/>
    <s v="25.04.28"/>
    <s v="25.04.28"/>
    <s v="Taboola"/>
    <n v="244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0"/>
    <s v="25.04.30"/>
    <s v="25.04.30"/>
    <s v="Taboola"/>
    <n v="244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1"/>
    <s v="25.05.01"/>
    <s v="25.05.01"/>
    <s v="Taboola"/>
    <n v="244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1"/>
    <s v="25.05.06"/>
    <s v="25.05.07"/>
    <s v="Taboola"/>
    <n v="488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1"/>
    <s v="25.05.09"/>
    <s v="25.05.09"/>
    <s v="Taboola"/>
    <n v="244"/>
  </r>
  <r>
    <s v="m.web"/>
    <x v="3"/>
    <x v="4"/>
    <s v="가정용 전기전자"/>
    <s v="가사용 전기전자"/>
    <s v="청소기"/>
    <s v="로보락"/>
    <x v="46"/>
    <s v="신문/잡지(대)IT관련 뉴스(중)"/>
    <s v="-"/>
    <s v="-"/>
    <x v="1"/>
    <s v="25.05.14"/>
    <s v="25.05.16"/>
    <s v="Taboola"/>
    <n v="732"/>
  </r>
  <r>
    <s v="m.web"/>
    <x v="3"/>
    <x v="4"/>
    <s v="가정용 전기전자"/>
    <s v="가사용 전기전자"/>
    <s v="청소기"/>
    <s v="로보락"/>
    <x v="14"/>
    <s v="신문/잡지(대)IT관련 뉴스(중)"/>
    <s v="-"/>
    <s v="-"/>
    <x v="1"/>
    <s v="25.05.07"/>
    <s v="25.05.07"/>
    <s v="애드몹"/>
    <n v="499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0"/>
    <s v="25.04.18"/>
    <s v="25.04.19"/>
    <s v="Taboola"/>
    <n v="246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0"/>
    <s v="25.04.22"/>
    <s v="25.04.27"/>
    <s v="Taboola"/>
    <n v="738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0"/>
    <s v="25.04.23"/>
    <s v="25.04.23"/>
    <s v="Taboola"/>
    <n v="123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0"/>
    <s v="25.04.28"/>
    <s v="25.04.28"/>
    <s v="Taboola"/>
    <n v="123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0"/>
    <s v="25.04.29"/>
    <s v="25.04.29"/>
    <s v="Taboola"/>
    <n v="123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1"/>
    <s v="25.05.01"/>
    <s v="25.05.03"/>
    <s v="Taboola"/>
    <n v="369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1"/>
    <s v="25.05.02"/>
    <s v="25.05.02"/>
    <s v="Taboola"/>
    <n v="123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1"/>
    <s v="25.05.06"/>
    <s v="25.05.11"/>
    <s v="Taboola"/>
    <n v="738"/>
  </r>
  <r>
    <s v="m.web"/>
    <x v="3"/>
    <x v="4"/>
    <s v="가정용 전기전자"/>
    <s v="가사용 전기전자"/>
    <s v="청소기"/>
    <s v="로보락"/>
    <x v="15"/>
    <s v="신문/잡지(대)잡지(중)"/>
    <s v="-"/>
    <s v="-"/>
    <x v="1"/>
    <s v="25.05.12"/>
    <s v="25.05.17"/>
    <s v="Taboola"/>
    <n v="738"/>
  </r>
  <r>
    <s v="m.web"/>
    <x v="3"/>
    <x v="4"/>
    <s v="가정용 전기전자"/>
    <s v="가사용 전기전자"/>
    <s v="청소기"/>
    <s v="로보락"/>
    <x v="50"/>
    <s v="신문/잡지(대)경제신문(중)"/>
    <s v="-"/>
    <s v="-"/>
    <x v="0"/>
    <s v="25.04.21"/>
    <s v="25.04.22"/>
    <s v="카카오광고"/>
    <n v="46"/>
  </r>
  <r>
    <s v="m.web"/>
    <x v="3"/>
    <x v="4"/>
    <s v="가정용 전기전자"/>
    <s v="가사용 전기전자"/>
    <s v="청소기"/>
    <s v="로보락"/>
    <x v="22"/>
    <s v="커뮤니티(대)게시판(중)"/>
    <s v="-"/>
    <s v="-"/>
    <x v="0"/>
    <s v="25.04.17"/>
    <s v="25.04.20"/>
    <s v="카카오광고"/>
    <n v="188"/>
  </r>
  <r>
    <s v="m.web"/>
    <x v="3"/>
    <x v="4"/>
    <s v="가정용 전기전자"/>
    <s v="가사용 전기전자"/>
    <s v="청소기"/>
    <s v="로보락"/>
    <x v="22"/>
    <s v="커뮤니티(대)게시판(중)"/>
    <s v="-"/>
    <s v="-"/>
    <x v="1"/>
    <s v="25.05.17"/>
    <s v="25.05.17"/>
    <s v="카카오광고"/>
    <n v="56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0"/>
    <s v="25.04.18"/>
    <s v="25.04.20"/>
    <s v="Taboola"/>
    <n v="369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0"/>
    <s v="25.04.21"/>
    <s v="25.04.21"/>
    <s v="카카오광고"/>
    <n v="23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0"/>
    <s v="25.04.21"/>
    <s v="25.04.27"/>
    <s v="Taboola"/>
    <n v="862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0"/>
    <s v="25.04.25"/>
    <s v="25.04.25"/>
    <s v="Taboola"/>
    <n v="123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0"/>
    <s v="25.04.28"/>
    <s v="25.04.30"/>
    <s v="Taboola"/>
    <n v="369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1"/>
    <s v="25.05.01"/>
    <s v="25.05.03"/>
    <s v="Taboola"/>
    <n v="369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1"/>
    <s v="25.05.04"/>
    <s v="25.05.04"/>
    <s v="Taboola"/>
    <n v="123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1"/>
    <s v="25.05.05"/>
    <s v="25.05.06"/>
    <s v="Taboola"/>
    <n v="246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1"/>
    <s v="25.05.07"/>
    <s v="25.05.11"/>
    <s v="Taboola"/>
    <n v="615"/>
  </r>
  <r>
    <s v="m.web"/>
    <x v="3"/>
    <x v="4"/>
    <s v="가정용 전기전자"/>
    <s v="가사용 전기전자"/>
    <s v="청소기"/>
    <s v="로보락"/>
    <x v="54"/>
    <s v="신문/잡지(대)스포츠신문(중)"/>
    <s v="-"/>
    <s v="-"/>
    <x v="1"/>
    <s v="25.05.12"/>
    <s v="25.05.14"/>
    <s v="Taboola"/>
    <n v="369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2"/>
    <s v="25.02.15"/>
    <s v="25.02.15"/>
    <s v="카카오광고"/>
    <n v="5895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2"/>
    <s v="25.02.17"/>
    <s v="25.02.17"/>
    <s v="카카오광고"/>
    <n v="5895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2"/>
    <s v="25.02.18"/>
    <s v="25.02.18"/>
    <s v="카카오광고"/>
    <n v="5895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2"/>
    <s v="25.02.23"/>
    <s v="25.02.23"/>
    <s v="카카오광고"/>
    <n v="5895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2"/>
    <s v="25.02.24"/>
    <s v="25.02.28"/>
    <s v="카카오광고"/>
    <n v="29474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4"/>
    <s v="25.03.01"/>
    <s v="25.03.02"/>
    <s v="카카오광고"/>
    <n v="13866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4"/>
    <s v="25.03.05"/>
    <s v="25.03.09"/>
    <s v="카카오광고"/>
    <n v="34664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4"/>
    <s v="25.03.10"/>
    <s v="25.03.16"/>
    <s v="카카오광고"/>
    <n v="48529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4"/>
    <s v="25.03.17"/>
    <s v="25.03.23"/>
    <s v="카카오광고"/>
    <n v="48529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4"/>
    <s v="25.03.24"/>
    <s v="25.03.30"/>
    <s v="카카오광고"/>
    <n v="48529"/>
  </r>
  <r>
    <s v="m.app"/>
    <x v="3"/>
    <x v="4"/>
    <s v="가정용 전기전자"/>
    <s v="가사용 전기전자"/>
    <s v="청소기"/>
    <s v="로보락"/>
    <x v="72"/>
    <s v="커뮤니케이션(대)채팅/메신저(중)"/>
    <s v="-"/>
    <s v="-"/>
    <x v="4"/>
    <s v="25.03.31"/>
    <s v="25.03.31"/>
    <s v="카카오광고"/>
    <n v="6933"/>
  </r>
  <r>
    <s v="m.app"/>
    <x v="3"/>
    <x v="4"/>
    <s v="가정용 전기전자"/>
    <s v="가사용 전기전자"/>
    <s v="청소기"/>
    <s v="로보락"/>
    <x v="75"/>
    <s v="엔터테인먼트(대)엔터테인먼트 기타(중)"/>
    <s v="-"/>
    <s v="-"/>
    <x v="2"/>
    <s v="25.02.17"/>
    <s v="25.02.17"/>
    <s v="애드몹"/>
    <n v="128"/>
  </r>
  <r>
    <s v="m.app"/>
    <x v="3"/>
    <x v="4"/>
    <s v="가정용 전기전자"/>
    <s v="가사용 전기전자"/>
    <s v="청소기"/>
    <s v="로보락"/>
    <x v="76"/>
    <s v="생활정보(대)교통/날씨(중)"/>
    <s v="-"/>
    <s v="-"/>
    <x v="4"/>
    <s v="25.03.29"/>
    <s v="25.03.30"/>
    <s v="애드몹"/>
    <n v="266"/>
  </r>
  <r>
    <s v="m.app"/>
    <x v="3"/>
    <x v="4"/>
    <s v="가정용 전기전자"/>
    <s v="가사용 전기전자"/>
    <s v="청소기"/>
    <s v="로보락"/>
    <x v="76"/>
    <s v="생활정보(대)교통/날씨(중)"/>
    <s v="-"/>
    <s v="-"/>
    <x v="4"/>
    <s v="25.03.31"/>
    <s v="25.03.31"/>
    <s v="애드몹"/>
    <n v="133"/>
  </r>
  <r>
    <s v="m.app"/>
    <x v="3"/>
    <x v="4"/>
    <s v="가정용 전기전자"/>
    <s v="가사용 전기전자"/>
    <s v="청소기"/>
    <s v="로보락"/>
    <x v="76"/>
    <s v="생활정보(대)교통/날씨(중)"/>
    <s v="-"/>
    <s v="-"/>
    <x v="0"/>
    <s v="25.04.01"/>
    <s v="25.04.04"/>
    <s v="애드몹"/>
    <n v="532"/>
  </r>
  <r>
    <s v="m.web"/>
    <x v="3"/>
    <x v="4"/>
    <s v="가정용 전기전자"/>
    <s v="가사용 전기전자"/>
    <s v="청소기"/>
    <s v="로보락"/>
    <x v="52"/>
    <s v="신문/잡지(대)온라인뉴스(중)"/>
    <s v="-"/>
    <s v="-"/>
    <x v="1"/>
    <s v="25.05.11"/>
    <s v="25.05.11"/>
    <s v="애드몹"/>
    <n v="439"/>
  </r>
  <r>
    <s v="m.app"/>
    <x v="3"/>
    <x v="4"/>
    <s v="가정용 전기전자"/>
    <s v="가사용 전기전자"/>
    <s v="청소기"/>
    <s v="로보락"/>
    <x v="77"/>
    <s v="엔터테인먼트(대)스포츠/레포츠(중)"/>
    <s v="-"/>
    <s v="-"/>
    <x v="1"/>
    <s v="25.05.12"/>
    <s v="25.05.12"/>
    <s v="카카오광고"/>
    <n v="32"/>
  </r>
  <r>
    <s v="m.app"/>
    <x v="3"/>
    <x v="4"/>
    <s v="가정용 전기전자"/>
    <s v="가사용 전기전자"/>
    <s v="청소기"/>
    <s v="로보락"/>
    <x v="77"/>
    <s v="엔터테인먼트(대)스포츠/레포츠(중)"/>
    <s v="-"/>
    <s v="-"/>
    <x v="1"/>
    <s v="25.05.14"/>
    <s v="25.05.14"/>
    <s v="카카오광고"/>
    <n v="16"/>
  </r>
  <r>
    <s v="m.app"/>
    <x v="3"/>
    <x v="4"/>
    <s v="가정용 전기전자"/>
    <s v="가사용 전기전자"/>
    <s v="청소기"/>
    <s v="로보락"/>
    <x v="77"/>
    <s v="엔터테인먼트(대)스포츠/레포츠(중)"/>
    <s v="-"/>
    <s v="-"/>
    <x v="1"/>
    <s v="25.05.17"/>
    <s v="25.05.17"/>
    <s v="카카오광고"/>
    <n v="16"/>
  </r>
  <r>
    <s v="m.app"/>
    <x v="3"/>
    <x v="4"/>
    <s v="가정용 전기전자"/>
    <s v="가사용 전기전자"/>
    <s v="청소기"/>
    <s v="로보락"/>
    <x v="78"/>
    <s v="모바일(대)모바일기타(중)"/>
    <s v="-"/>
    <s v="-"/>
    <x v="4"/>
    <s v="25.03.18"/>
    <s v="25.03.18"/>
    <s v="카카오광고"/>
    <n v="13"/>
  </r>
  <r>
    <s v="m.app"/>
    <x v="3"/>
    <x v="4"/>
    <s v="가정용 전기전자"/>
    <s v="가사용 전기전자"/>
    <s v="청소기"/>
    <s v="로보락"/>
    <x v="78"/>
    <s v="모바일(대)모바일기타(중)"/>
    <s v="-"/>
    <s v="-"/>
    <x v="4"/>
    <s v="25.03.19"/>
    <s v="25.03.19"/>
    <s v="카카오광고"/>
    <n v="13"/>
  </r>
  <r>
    <s v="m.app"/>
    <x v="3"/>
    <x v="4"/>
    <s v="가정용 전기전자"/>
    <s v="가사용 전기전자"/>
    <s v="청소기"/>
    <s v="로보락"/>
    <x v="79"/>
    <s v="모바일(대)라이프스타일(중)"/>
    <s v="-"/>
    <s v="-"/>
    <x v="0"/>
    <s v="25.04.22"/>
    <s v="25.04.26"/>
    <s v="카카오광고"/>
    <n v="66"/>
  </r>
  <r>
    <s v="m.app"/>
    <x v="3"/>
    <x v="4"/>
    <s v="가정용 전기전자"/>
    <s v="가사용 전기전자"/>
    <s v="청소기"/>
    <s v="로보락"/>
    <x v="80"/>
    <s v="엔터테인먼트(대)엔터테인먼트 기타(중)"/>
    <s v="-"/>
    <s v="-"/>
    <x v="2"/>
    <s v="25.02.10"/>
    <s v="25.02.10"/>
    <s v="애드몹"/>
    <n v="128"/>
  </r>
  <r>
    <s v="m.app"/>
    <x v="3"/>
    <x v="4"/>
    <s v="가정용 전기전자"/>
    <s v="가사용 전기전자"/>
    <s v="청소기"/>
    <s v="로보락"/>
    <x v="81"/>
    <s v="모바일(대)도구/유틸리티(중)"/>
    <s v="-"/>
    <s v="-"/>
    <x v="1"/>
    <s v="25.05.12"/>
    <s v="25.05.12"/>
    <s v="애드몹"/>
    <n v="147"/>
  </r>
  <r>
    <s v="m.app"/>
    <x v="3"/>
    <x v="4"/>
    <s v="가정용 전기전자"/>
    <s v="가사용 전기전자"/>
    <s v="청소기"/>
    <s v="로보락"/>
    <x v="82"/>
    <s v="엔터테인먼트(대)게임(중)"/>
    <s v="-"/>
    <s v="-"/>
    <x v="4"/>
    <s v="25.03.20"/>
    <s v="25.03.20"/>
    <s v="카카오광고"/>
    <n v="13"/>
  </r>
  <r>
    <s v="m.app"/>
    <x v="3"/>
    <x v="4"/>
    <s v="가정용 전기전자"/>
    <s v="가사용 전기전자"/>
    <s v="청소기"/>
    <s v="로보락"/>
    <x v="82"/>
    <s v="엔터테인먼트(대)게임(중)"/>
    <s v="-"/>
    <s v="-"/>
    <x v="1"/>
    <s v="25.05.31"/>
    <s v="25.05.31"/>
    <s v="애드몹"/>
    <n v="147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0"/>
    <s v="25.04.06"/>
    <s v="25.04.06"/>
    <s v="-"/>
    <n v="66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0"/>
    <s v="25.04.10"/>
    <s v="25.04.10"/>
    <s v="-"/>
    <n v="66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0"/>
    <s v="25.04.16"/>
    <s v="25.04.19"/>
    <s v="-"/>
    <n v="264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0"/>
    <s v="25.04.21"/>
    <s v="25.04.21"/>
    <s v="-"/>
    <n v="66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0"/>
    <s v="25.04.22"/>
    <s v="25.04.22"/>
    <s v="-"/>
    <n v="66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0"/>
    <s v="25.04.28"/>
    <s v="25.04.28"/>
    <s v="-"/>
    <n v="66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1"/>
    <s v="25.05.09"/>
    <s v="25.05.09"/>
    <s v="-"/>
    <n v="66"/>
  </r>
  <r>
    <s v="m.web"/>
    <x v="3"/>
    <x v="4"/>
    <s v="가정용 전기전자"/>
    <s v="가사용 전기전자"/>
    <s v="청소기"/>
    <s v="로보락"/>
    <x v="62"/>
    <s v="생활정보(대)쇼핑/가격정보(중)"/>
    <s v="-"/>
    <s v="-"/>
    <x v="1"/>
    <s v="25.05.13"/>
    <s v="25.05.14"/>
    <s v="-"/>
    <n v="132"/>
  </r>
  <r>
    <s v="m.app"/>
    <x v="3"/>
    <x v="4"/>
    <s v="가정용 전기전자"/>
    <s v="가사용 전기전자"/>
    <s v="청소기"/>
    <s v="로보락"/>
    <x v="83"/>
    <s v="모바일(대)도구/유틸리티(중)"/>
    <s v="-"/>
    <s v="-"/>
    <x v="0"/>
    <s v="25.04.24"/>
    <s v="25.04.24"/>
    <s v="카카오광고"/>
    <n v="13"/>
  </r>
  <r>
    <s v="m.app"/>
    <x v="3"/>
    <x v="4"/>
    <s v="가정용 전기전자"/>
    <s v="가사용 전기전자"/>
    <s v="청소기"/>
    <s v="로보락"/>
    <x v="83"/>
    <s v="모바일(대)도구/유틸리티(중)"/>
    <s v="-"/>
    <s v="-"/>
    <x v="0"/>
    <s v="25.04.29"/>
    <s v="25.04.29"/>
    <s v="카카오광고"/>
    <n v="13"/>
  </r>
  <r>
    <s v="m.app"/>
    <x v="3"/>
    <x v="4"/>
    <s v="가정용 전기전자"/>
    <s v="가사용 전기전자"/>
    <s v="청소기"/>
    <s v="로보락"/>
    <x v="83"/>
    <s v="모바일(대)도구/유틸리티(중)"/>
    <s v="-"/>
    <s v="-"/>
    <x v="1"/>
    <s v="25.05.04"/>
    <s v="25.05.04"/>
    <s v="카카오광고"/>
    <n v="16"/>
  </r>
  <r>
    <s v="m.app"/>
    <x v="3"/>
    <x v="4"/>
    <s v="가정용 전기전자"/>
    <s v="가사용 전기전자"/>
    <s v="청소기"/>
    <s v="로보락"/>
    <x v="83"/>
    <s v="모바일(대)도구/유틸리티(중)"/>
    <s v="-"/>
    <s v="-"/>
    <x v="1"/>
    <s v="25.05.19"/>
    <s v="25.05.19"/>
    <s v="카카오광고"/>
    <n v="16"/>
  </r>
  <r>
    <s v="m.app"/>
    <x v="3"/>
    <x v="4"/>
    <s v="가정용 전기전자"/>
    <s v="가사용 전기전자"/>
    <s v="청소기"/>
    <s v="로보락"/>
    <x v="84"/>
    <s v="모바일(대)도구/유틸리티(중)"/>
    <s v="-"/>
    <s v="-"/>
    <x v="1"/>
    <s v="25.05.18"/>
    <s v="25.05.18"/>
    <s v="카카오광고"/>
    <n v="16"/>
  </r>
  <r>
    <s v="m.app"/>
    <x v="3"/>
    <x v="4"/>
    <s v="가정용 전기전자"/>
    <s v="가사용 전기전자"/>
    <s v="청소기"/>
    <s v="로보락"/>
    <x v="85"/>
    <s v="엔터테인먼트(대)엔터테인먼트 기타(중)"/>
    <s v="-"/>
    <s v="-"/>
    <x v="1"/>
    <s v="25.05.11"/>
    <s v="25.05.11"/>
    <s v="카카오광고"/>
    <n v="16"/>
  </r>
  <r>
    <s v="m.app"/>
    <x v="3"/>
    <x v="4"/>
    <s v="가정용 전기전자"/>
    <s v="가사용 전기전자"/>
    <s v="청소기"/>
    <s v="로보락"/>
    <x v="85"/>
    <s v="엔터테인먼트(대)엔터테인먼트 기타(중)"/>
    <s v="-"/>
    <s v="-"/>
    <x v="1"/>
    <s v="25.05.12"/>
    <s v="25.05.12"/>
    <s v="카카오광고"/>
    <n v="16"/>
  </r>
  <r>
    <s v="m.app"/>
    <x v="3"/>
    <x v="4"/>
    <s v="가정용 전기전자"/>
    <s v="가사용 전기전자"/>
    <s v="청소기"/>
    <s v="로보락"/>
    <x v="85"/>
    <s v="엔터테인먼트(대)엔터테인먼트 기타(중)"/>
    <s v="-"/>
    <s v="-"/>
    <x v="1"/>
    <s v="25.05.12"/>
    <s v="25.05.13"/>
    <s v="애드몹"/>
    <n v="294"/>
  </r>
  <r>
    <s v="m.app"/>
    <x v="3"/>
    <x v="4"/>
    <s v="가정용 전기전자"/>
    <s v="가사용 전기전자"/>
    <s v="청소기"/>
    <s v="로보락"/>
    <x v="85"/>
    <s v="엔터테인먼트(대)엔터테인먼트 기타(중)"/>
    <s v="-"/>
    <s v="-"/>
    <x v="1"/>
    <s v="25.05.23"/>
    <s v="25.05.23"/>
    <s v="카카오광고"/>
    <n v="16"/>
  </r>
  <r>
    <s v="m.app"/>
    <x v="3"/>
    <x v="4"/>
    <s v="가정용 전기전자"/>
    <s v="가사용 전기전자"/>
    <s v="청소기"/>
    <s v="로보락"/>
    <x v="85"/>
    <s v="엔터테인먼트(대)엔터테인먼트 기타(중)"/>
    <s v="-"/>
    <s v="-"/>
    <x v="1"/>
    <s v="25.05.29"/>
    <s v="25.05.29"/>
    <s v="카카오광고"/>
    <n v="16"/>
  </r>
  <r>
    <s v="m.app"/>
    <x v="3"/>
    <x v="4"/>
    <s v="가정용 전기전자"/>
    <s v="가사용 전기전자"/>
    <s v="청소기"/>
    <s v="로보락"/>
    <x v="86"/>
    <s v="생활정보(대)병원/건강정보(중)"/>
    <s v="-"/>
    <s v="-"/>
    <x v="2"/>
    <s v="25.02.07"/>
    <s v="25.02.07"/>
    <s v="애드몹"/>
    <n v="256"/>
  </r>
  <r>
    <s v="m.app"/>
    <x v="3"/>
    <x v="4"/>
    <s v="가정용 전기전자"/>
    <s v="가사용 전기전자"/>
    <s v="청소기"/>
    <s v="로보락"/>
    <x v="87"/>
    <s v="방송(대)방송기타(중)"/>
    <s v="-"/>
    <s v="-"/>
    <x v="2"/>
    <s v="25.02.07"/>
    <s v="25.02.07"/>
    <s v="애드몹"/>
    <n v="128"/>
  </r>
  <r>
    <s v="m.app"/>
    <x v="3"/>
    <x v="4"/>
    <s v="가정용 전기전자"/>
    <s v="가사용 전기전자"/>
    <s v="청소기"/>
    <s v="로보락"/>
    <x v="88"/>
    <s v="엔터테인먼트(대)게임(중)"/>
    <s v="-"/>
    <s v="-"/>
    <x v="1"/>
    <s v="25.05.25"/>
    <s v="25.05.25"/>
    <s v="애드몹"/>
    <n v="147"/>
  </r>
  <r>
    <s v="m.app"/>
    <x v="3"/>
    <x v="4"/>
    <s v="가정용 전기전자"/>
    <s v="가사용 전기전자"/>
    <s v="청소기"/>
    <s v="로보락"/>
    <x v="88"/>
    <s v="엔터테인먼트(대)게임(중)"/>
    <s v="-"/>
    <s v="-"/>
    <x v="1"/>
    <s v="25.05.31"/>
    <s v="25.05.31"/>
    <s v="애드몹"/>
    <n v="147"/>
  </r>
  <r>
    <s v="m.app"/>
    <x v="3"/>
    <x v="4"/>
    <s v="가정용 전기전자"/>
    <s v="가사용 전기전자"/>
    <s v="청소기"/>
    <s v="로보락"/>
    <x v="89"/>
    <s v="엔터테인먼트(대)음악(중)"/>
    <s v="-"/>
    <s v="-"/>
    <x v="2"/>
    <s v="25.02.09"/>
    <s v="25.02.09"/>
    <s v="애드몹"/>
    <n v="128"/>
  </r>
  <r>
    <s v="m.web"/>
    <x v="3"/>
    <x v="4"/>
    <s v="가정용 전기전자"/>
    <s v="가사용 전기전자"/>
    <s v="청소기"/>
    <s v="로보락"/>
    <x v="64"/>
    <s v="엔터테인먼트(대)영화/공연(중)"/>
    <s v="-"/>
    <s v="-"/>
    <x v="2"/>
    <s v="25.02.24"/>
    <s v="25.02.24"/>
    <s v="애드몹"/>
    <n v="139"/>
  </r>
  <r>
    <s v="m.app"/>
    <x v="3"/>
    <x v="4"/>
    <s v="가정용 전기전자"/>
    <s v="가사용 전기전자"/>
    <s v="청소기"/>
    <s v="로보락"/>
    <x v="90"/>
    <s v="모바일(대)도구/유틸리티(중)"/>
    <s v="-"/>
    <s v="-"/>
    <x v="1"/>
    <s v="25.05.01"/>
    <s v="25.05.01"/>
    <s v="카카오광고"/>
    <n v="16"/>
  </r>
  <r>
    <s v="m.app"/>
    <x v="3"/>
    <x v="4"/>
    <s v="가정용 전기전자"/>
    <s v="가사용 전기전자"/>
    <s v="청소기"/>
    <s v="로보락"/>
    <x v="90"/>
    <s v="모바일(대)도구/유틸리티(중)"/>
    <s v="-"/>
    <s v="-"/>
    <x v="1"/>
    <s v="25.05.22"/>
    <s v="25.05.25"/>
    <s v="카카오광고"/>
    <n v="63"/>
  </r>
  <r>
    <s v="m.web"/>
    <x v="3"/>
    <x v="4"/>
    <s v="가정용 전기전자"/>
    <s v="가사용 전기전자"/>
    <s v="청소기"/>
    <s v="로보락"/>
    <x v="39"/>
    <s v="금융/비즈니스(대)금융정보(중)"/>
    <s v="-"/>
    <s v="-"/>
    <x v="1"/>
    <s v="25.05.24"/>
    <s v="25.05.25"/>
    <s v="애드몹"/>
    <n v="320"/>
  </r>
  <r>
    <s v="m.app"/>
    <x v="3"/>
    <x v="4"/>
    <s v="가정용 전기전자"/>
    <s v="가사용 전기전자"/>
    <s v="청소기"/>
    <s v="로보락"/>
    <x v="91"/>
    <s v="엔터테인먼트(대)스포츠/레포츠(중)"/>
    <s v="-"/>
    <s v="-"/>
    <x v="1"/>
    <s v="25.05.02"/>
    <s v="25.05.04"/>
    <s v="애드몹"/>
    <n v="440"/>
  </r>
  <r>
    <s v="m.app"/>
    <x v="3"/>
    <x v="4"/>
    <s v="가정용 전기전자"/>
    <s v="가사용 전기전자"/>
    <s v="청소기"/>
    <s v="로보락"/>
    <x v="91"/>
    <s v="엔터테인먼트(대)스포츠/레포츠(중)"/>
    <s v="-"/>
    <s v="-"/>
    <x v="1"/>
    <s v="25.05.05"/>
    <s v="25.05.06"/>
    <s v="애드몹"/>
    <n v="294"/>
  </r>
  <r>
    <s v="m.app"/>
    <x v="3"/>
    <x v="4"/>
    <s v="가정용 전기전자"/>
    <s v="가사용 전기전자"/>
    <s v="청소기"/>
    <s v="로보락"/>
    <x v="92"/>
    <s v="엔터테인먼트(대)게임(중)"/>
    <s v="-"/>
    <s v="-"/>
    <x v="4"/>
    <s v="25.03.12"/>
    <s v="25.03.16"/>
    <s v="애드몹"/>
    <n v="665"/>
  </r>
  <r>
    <s v="m.app"/>
    <x v="3"/>
    <x v="4"/>
    <s v="가정용 전기전자"/>
    <s v="가사용 전기전자"/>
    <s v="청소기"/>
    <s v="로보락"/>
    <x v="93"/>
    <s v="엔터테인먼트(대)게임(중)"/>
    <s v="-"/>
    <s v="-"/>
    <x v="2"/>
    <s v="25.02.17"/>
    <s v="25.02.17"/>
    <s v="카카오광고"/>
    <n v="13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4"/>
    <s v="25.03.19"/>
    <s v="25.03.23"/>
    <s v="버즈빌"/>
    <n v="3398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4"/>
    <s v="25.03.24"/>
    <s v="25.03.29"/>
    <s v="버즈빌"/>
    <n v="4077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4"/>
    <s v="25.03.31"/>
    <s v="25.03.31"/>
    <s v="버즈빌"/>
    <n v="680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0"/>
    <s v="25.04.17"/>
    <s v="25.04.20"/>
    <s v="버즈빌"/>
    <n v="2718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0"/>
    <s v="25.04.22"/>
    <s v="25.04.27"/>
    <s v="버즈빌"/>
    <n v="4077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0"/>
    <s v="25.04.28"/>
    <s v="25.04.30"/>
    <s v="버즈빌"/>
    <n v="2039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1"/>
    <s v="25.05.22"/>
    <s v="25.05.25"/>
    <s v="버즈빌"/>
    <n v="2718"/>
  </r>
  <r>
    <s v="m.app"/>
    <x v="3"/>
    <x v="4"/>
    <s v="가정용 전기전자"/>
    <s v="가사용 전기전자"/>
    <s v="청소기"/>
    <s v="로보락"/>
    <x v="71"/>
    <s v="모바일(대)모바일기타(중)"/>
    <s v="-"/>
    <s v="-"/>
    <x v="1"/>
    <s v="25.05.26"/>
    <s v="25.05.31"/>
    <s v="버즈빌"/>
    <n v="4077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3"/>
    <s v="25.01.24"/>
    <s v="25.01.26"/>
    <s v="-"/>
    <n v="2456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3"/>
    <s v="25.01.28"/>
    <s v="25.01.31"/>
    <s v="-"/>
    <n v="3274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2"/>
    <s v="25.02.02"/>
    <s v="25.02.02"/>
    <s v="-"/>
    <n v="819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2"/>
    <s v="25.02.03"/>
    <s v="25.02.03"/>
    <s v="-"/>
    <n v="819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2"/>
    <s v="25.02.04"/>
    <s v="25.02.05"/>
    <s v="-"/>
    <n v="1637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2"/>
    <s v="25.02.26"/>
    <s v="25.02.26"/>
    <s v="-"/>
    <n v="819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02"/>
    <s v="25.04.02"/>
    <s v="-"/>
    <n v="403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03"/>
    <s v="25.04.04"/>
    <s v="-"/>
    <n v="807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09"/>
    <s v="25.04.10"/>
    <s v="-"/>
    <n v="807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11"/>
    <s v="25.04.13"/>
    <s v="-"/>
    <n v="1210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14"/>
    <s v="25.04.15"/>
    <s v="-"/>
    <n v="807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22"/>
    <s v="25.04.22"/>
    <s v="-"/>
    <n v="403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0"/>
    <s v="25.04.28"/>
    <s v="25.04.29"/>
    <s v="-"/>
    <n v="807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01"/>
    <s v="25.05.02"/>
    <s v="-"/>
    <n v="1121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02"/>
    <s v="25.05.04"/>
    <s v="-"/>
    <n v="1682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03"/>
    <s v="25.05.04"/>
    <s v="-"/>
    <n v="1121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05"/>
    <s v="25.05.07"/>
    <s v="-"/>
    <n v="1682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05"/>
    <s v="25.05.09"/>
    <s v="-"/>
    <n v="2803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09"/>
    <s v="25.05.09"/>
    <s v="-"/>
    <n v="561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10"/>
    <s v="25.05.11"/>
    <s v="-"/>
    <n v="1121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12"/>
    <s v="25.05.16"/>
    <s v="-"/>
    <n v="5606"/>
  </r>
  <r>
    <s v="m.app"/>
    <x v="3"/>
    <x v="4"/>
    <s v="가정용 전기전자"/>
    <s v="가사용 전기전자"/>
    <s v="청소기"/>
    <s v="로보락"/>
    <x v="74"/>
    <s v="커뮤니티(대)홈페이지(중)"/>
    <s v="-"/>
    <s v="-"/>
    <x v="1"/>
    <s v="25.05.22"/>
    <s v="25.05.23"/>
    <s v="-"/>
    <n v="1121"/>
  </r>
  <r>
    <s v="m.app"/>
    <x v="3"/>
    <x v="4"/>
    <s v="가정용 전기전자"/>
    <s v="가사용 전기전자"/>
    <s v="청소기"/>
    <s v="로보락"/>
    <x v="94"/>
    <s v="모바일(대)도구/유틸리티(중)"/>
    <s v="-"/>
    <s v="-"/>
    <x v="2"/>
    <s v="25.02.13"/>
    <s v="25.02.13"/>
    <s v="카카오광고"/>
    <n v="13"/>
  </r>
  <r>
    <s v="m.app"/>
    <x v="3"/>
    <x v="4"/>
    <s v="가정용 전기전자"/>
    <s v="가사용 전기전자"/>
    <s v="청소기"/>
    <s v="로보락"/>
    <x v="95"/>
    <s v="모바일(대)라이프스타일(중)"/>
    <s v="-"/>
    <s v="-"/>
    <x v="1"/>
    <s v="25.05.21"/>
    <s v="25.05.25"/>
    <s v="카카오광고"/>
    <n v="79"/>
  </r>
  <r>
    <s v="m.app"/>
    <x v="3"/>
    <x v="4"/>
    <s v="가정용 전기전자"/>
    <s v="가사용 전기전자"/>
    <s v="청소기"/>
    <s v="로보락"/>
    <x v="95"/>
    <s v="모바일(대)라이프스타일(중)"/>
    <s v="-"/>
    <s v="-"/>
    <x v="1"/>
    <s v="25.05.26"/>
    <s v="25.05.26"/>
    <s v="카카오광고"/>
    <n v="16"/>
  </r>
  <r>
    <s v="m.app"/>
    <x v="3"/>
    <x v="4"/>
    <s v="가정용 전기전자"/>
    <s v="가사용 전기전자"/>
    <s v="청소기"/>
    <s v="로보락"/>
    <x v="96"/>
    <s v="모바일(대)라이프스타일(중)"/>
    <s v="-"/>
    <s v="-"/>
    <x v="4"/>
    <s v="25.03.07"/>
    <s v="25.03.07"/>
    <s v="카카오광고"/>
    <n v="13"/>
  </r>
  <r>
    <s v="m.app"/>
    <x v="3"/>
    <x v="4"/>
    <s v="가정용 전기전자"/>
    <s v="가사용 전기전자"/>
    <s v="청소기"/>
    <s v="로보락"/>
    <x v="96"/>
    <s v="모바일(대)라이프스타일(중)"/>
    <s v="-"/>
    <s v="-"/>
    <x v="4"/>
    <s v="25.03.10"/>
    <s v="25.03.10"/>
    <s v="카카오광고"/>
    <n v="13"/>
  </r>
  <r>
    <s v="m.app"/>
    <x v="3"/>
    <x v="4"/>
    <s v="가정용 전기전자"/>
    <s v="가사용 전기전자"/>
    <s v="청소기"/>
    <s v="로보락"/>
    <x v="96"/>
    <s v="모바일(대)라이프스타일(중)"/>
    <s v="-"/>
    <s v="-"/>
    <x v="4"/>
    <s v="25.03.18"/>
    <s v="25.03.21"/>
    <s v="카카오광고"/>
    <n v="53"/>
  </r>
  <r>
    <s v="m.app"/>
    <x v="3"/>
    <x v="4"/>
    <s v="가정용 전기전자"/>
    <s v="가사용 전기전자"/>
    <s v="청소기"/>
    <s v="로보락"/>
    <x v="96"/>
    <s v="모바일(대)라이프스타일(중)"/>
    <s v="-"/>
    <s v="-"/>
    <x v="4"/>
    <s v="25.03.25"/>
    <s v="25.03.30"/>
    <s v="카카오광고"/>
    <n v="80"/>
  </r>
  <r>
    <s v="m.app"/>
    <x v="3"/>
    <x v="4"/>
    <s v="가정용 전기전자"/>
    <s v="가사용 전기전자"/>
    <s v="청소기"/>
    <s v="로보락"/>
    <x v="97"/>
    <s v="엔터테인먼트(대)게임(중)"/>
    <s v="-"/>
    <s v="-"/>
    <x v="4"/>
    <s v="25.03.16"/>
    <s v="25.03.16"/>
    <s v="카카오광고"/>
    <n v="13"/>
  </r>
  <r>
    <s v="m.app"/>
    <x v="3"/>
    <x v="4"/>
    <s v="가정용 전기전자"/>
    <s v="가사용 전기전자"/>
    <s v="청소기"/>
    <s v="로보락"/>
    <x v="98"/>
    <s v="엔터테인먼트(대)게임(중)"/>
    <s v="-"/>
    <s v="-"/>
    <x v="1"/>
    <s v="25.05.08"/>
    <s v="25.05.08"/>
    <s v="애드몹"/>
    <n v="147"/>
  </r>
  <r>
    <s v="m.app"/>
    <x v="3"/>
    <x v="4"/>
    <s v="가정용 전기전자"/>
    <s v="가사용 전기전자"/>
    <s v="청소기"/>
    <s v="로보락"/>
    <x v="98"/>
    <s v="엔터테인먼트(대)게임(중)"/>
    <s v="-"/>
    <s v="-"/>
    <x v="1"/>
    <s v="25.05.10"/>
    <s v="25.05.11"/>
    <s v="애드몹"/>
    <n v="294"/>
  </r>
  <r>
    <s v="m.app"/>
    <x v="3"/>
    <x v="4"/>
    <s v="가정용 전기전자"/>
    <s v="가사용 전기전자"/>
    <s v="청소기"/>
    <s v="로보락"/>
    <x v="98"/>
    <s v="엔터테인먼트(대)게임(중)"/>
    <s v="-"/>
    <s v="-"/>
    <x v="1"/>
    <s v="25.05.12"/>
    <s v="25.05.13"/>
    <s v="애드몹"/>
    <n v="294"/>
  </r>
  <r>
    <s v="m.app"/>
    <x v="3"/>
    <x v="4"/>
    <s v="가정용 전기전자"/>
    <s v="가사용 전기전자"/>
    <s v="청소기"/>
    <s v="로보락"/>
    <x v="99"/>
    <s v="엔터테인먼트(대)게임(중)"/>
    <s v="-"/>
    <s v="-"/>
    <x v="1"/>
    <s v="25.05.05"/>
    <s v="25.05.06"/>
    <s v="애드몹"/>
    <n v="294"/>
  </r>
  <r>
    <s v="m.app"/>
    <x v="3"/>
    <x v="4"/>
    <s v="가정용 전기전자"/>
    <s v="가사용 전기전자"/>
    <s v="청소기"/>
    <s v="로보락"/>
    <x v="100"/>
    <s v="모바일(대)엔터테인먼트(중)"/>
    <s v="-"/>
    <s v="-"/>
    <x v="1"/>
    <s v="25.05.12"/>
    <s v="25.05.13"/>
    <s v="애드몹"/>
    <n v="294"/>
  </r>
  <r>
    <s v="m.app"/>
    <x v="3"/>
    <x v="4"/>
    <s v="가정용 전기전자"/>
    <s v="가사용 전기전자"/>
    <s v="청소기"/>
    <s v="로보락"/>
    <x v="101"/>
    <s v="모바일(대)라이프스타일(중)"/>
    <s v="-"/>
    <s v="-"/>
    <x v="2"/>
    <s v="25.02.07"/>
    <s v="25.02.07"/>
    <s v="애드몹"/>
    <n v="128"/>
  </r>
  <r>
    <s v="m.app"/>
    <x v="3"/>
    <x v="4"/>
    <s v="가정용 전기전자"/>
    <s v="가사용 전기전자"/>
    <s v="청소기"/>
    <s v="로보락"/>
    <x v="102"/>
    <s v="엔터테인먼트(대)스포츠/레포츠(중)"/>
    <s v="-"/>
    <s v="-"/>
    <x v="1"/>
    <s v="25.05.24"/>
    <s v="25.05.24"/>
    <s v="애드몹"/>
    <n v="147"/>
  </r>
  <r>
    <s v="m.web"/>
    <x v="3"/>
    <x v="4"/>
    <s v="가정용 전기전자"/>
    <s v="가사용 전기전자"/>
    <s v="청소기"/>
    <s v="로보락"/>
    <x v="60"/>
    <s v="신문/잡지(대)종합일간지(중)"/>
    <s v="-"/>
    <s v="-"/>
    <x v="0"/>
    <s v="25.04.30"/>
    <s v="25.04.30"/>
    <s v="Taboola"/>
    <n v="117"/>
  </r>
  <r>
    <s v="m.web"/>
    <x v="3"/>
    <x v="4"/>
    <s v="가정용 전기전자"/>
    <s v="가사용 전기전자"/>
    <s v="청소기"/>
    <s v="로보락"/>
    <x v="60"/>
    <s v="신문/잡지(대)종합일간지(중)"/>
    <s v="-"/>
    <s v="-"/>
    <x v="1"/>
    <s v="25.05.10"/>
    <s v="25.05.10"/>
    <s v="Taboola"/>
    <n v="117"/>
  </r>
  <r>
    <s v="m.web"/>
    <x v="3"/>
    <x v="4"/>
    <s v="가정용 전기전자"/>
    <s v="가사용 전기전자"/>
    <s v="청소기"/>
    <s v="로보락"/>
    <x v="60"/>
    <s v="신문/잡지(대)종합일간지(중)"/>
    <s v="-"/>
    <s v="-"/>
    <x v="1"/>
    <s v="25.05.11"/>
    <s v="25.05.11"/>
    <s v="Taboola"/>
    <n v="117"/>
  </r>
  <r>
    <s v="m.web"/>
    <x v="3"/>
    <x v="4"/>
    <s v="가정용 전기전자"/>
    <s v="가사용 전기전자"/>
    <s v="청소기"/>
    <s v="로보락"/>
    <x v="60"/>
    <s v="신문/잡지(대)종합일간지(중)"/>
    <s v="-"/>
    <s v="-"/>
    <x v="1"/>
    <s v="25.05.13"/>
    <s v="25.05.13"/>
    <s v="애드몹"/>
    <n v="239"/>
  </r>
  <r>
    <s v="m.web"/>
    <x v="3"/>
    <x v="4"/>
    <s v="가정용 전기전자"/>
    <s v="가사용 전기전자"/>
    <s v="청소기"/>
    <s v="로보락"/>
    <x v="60"/>
    <s v="신문/잡지(대)종합일간지(중)"/>
    <s v="-"/>
    <s v="-"/>
    <x v="1"/>
    <s v="25.05.14"/>
    <s v="25.05.17"/>
    <s v="Taboola"/>
    <n v="468"/>
  </r>
  <r>
    <s v="m.web"/>
    <x v="3"/>
    <x v="4"/>
    <s v="가정용 전기전자"/>
    <s v="가사용 전기전자"/>
    <s v="청소기"/>
    <s v="로보락"/>
    <x v="60"/>
    <s v="신문/잡지(대)종합일간지(중)"/>
    <s v="-"/>
    <s v="-"/>
    <x v="1"/>
    <s v="25.05.15"/>
    <s v="25.05.15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0"/>
    <s v="25.04.18"/>
    <s v="25.04.20"/>
    <s v="Taboola"/>
    <n v="351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0"/>
    <s v="25.04.22"/>
    <s v="25.04.24"/>
    <s v="Taboola"/>
    <n v="351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0"/>
    <s v="25.04.23"/>
    <s v="25.04.27"/>
    <s v="Taboola"/>
    <n v="585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0"/>
    <s v="25.04.28"/>
    <s v="25.04.28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0"/>
    <s v="25.04.30"/>
    <s v="25.04.30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1"/>
    <s v="25.05.01"/>
    <s v="25.05.01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1"/>
    <s v="25.05.02"/>
    <s v="25.05.02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1"/>
    <s v="25.05.03"/>
    <s v="25.05.04"/>
    <s v="Taboola"/>
    <n v="234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1"/>
    <s v="25.05.07"/>
    <s v="25.05.07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1"/>
    <s v="25.05.14"/>
    <s v="25.05.14"/>
    <s v="Taboola"/>
    <n v="117"/>
  </r>
  <r>
    <s v="m.web"/>
    <x v="3"/>
    <x v="4"/>
    <s v="가정용 전기전자"/>
    <s v="가사용 전기전자"/>
    <s v="청소기"/>
    <s v="로보락"/>
    <x v="61"/>
    <s v="방송(대)방송기타(중)"/>
    <s v="-"/>
    <s v="-"/>
    <x v="1"/>
    <s v="25.05.17"/>
    <s v="25.05.17"/>
    <s v="Taboola"/>
    <n v="117"/>
  </r>
  <r>
    <s v="m.app"/>
    <x v="3"/>
    <x v="4"/>
    <s v="가정용 전기전자"/>
    <s v="가사용 전기전자"/>
    <s v="청소기"/>
    <s v="로보락"/>
    <x v="103"/>
    <s v="생활정보(대)교통/날씨(중)"/>
    <s v="-"/>
    <s v="-"/>
    <x v="3"/>
    <s v="25.01.09"/>
    <s v="25.01.09"/>
    <s v="카카오광고"/>
    <n v="13"/>
  </r>
  <r>
    <s v="m.app"/>
    <x v="3"/>
    <x v="4"/>
    <s v="가정용 전기전자"/>
    <s v="가사용 전기전자"/>
    <s v="청소기"/>
    <s v="로보락"/>
    <x v="103"/>
    <s v="생활정보(대)교통/날씨(중)"/>
    <s v="-"/>
    <s v="-"/>
    <x v="2"/>
    <s v="25.02.13"/>
    <s v="25.02.14"/>
    <s v="카카오광고"/>
    <n v="27"/>
  </r>
  <r>
    <s v="m.app"/>
    <x v="3"/>
    <x v="4"/>
    <s v="가정용 전기전자"/>
    <s v="가사용 전기전자"/>
    <s v="청소기"/>
    <s v="로보락"/>
    <x v="103"/>
    <s v="생활정보(대)교통/날씨(중)"/>
    <s v="-"/>
    <s v="-"/>
    <x v="2"/>
    <s v="25.02.17"/>
    <s v="25.02.17"/>
    <s v="카카오광고"/>
    <n v="13"/>
  </r>
  <r>
    <s v="m.app"/>
    <x v="3"/>
    <x v="4"/>
    <s v="가정용 전기전자"/>
    <s v="가사용 전기전자"/>
    <s v="청소기"/>
    <s v="로보락"/>
    <x v="104"/>
    <s v="생활정보(대)병원/건강정보(중)"/>
    <s v="-"/>
    <s v="-"/>
    <x v="2"/>
    <s v="25.02.10"/>
    <s v="25.02.10"/>
    <s v="애드몹"/>
    <n v="128"/>
  </r>
  <r>
    <s v="m.app"/>
    <x v="3"/>
    <x v="4"/>
    <s v="가정용 전기전자"/>
    <s v="가사용 전기전자"/>
    <s v="청소기"/>
    <s v="로보락"/>
    <x v="105"/>
    <s v="생활정보(대)생활정보 기타(중)"/>
    <s v="-"/>
    <s v="-"/>
    <x v="1"/>
    <s v="25.05.14"/>
    <s v="25.05.16"/>
    <s v="애드몹"/>
    <n v="440"/>
  </r>
  <r>
    <s v="m.web"/>
    <x v="3"/>
    <x v="27"/>
    <s v="가정용 전기전자"/>
    <s v="가사용 전기전자"/>
    <s v="청소기"/>
    <s v="로보락S8프로울트라"/>
    <x v="26"/>
    <s v="포털(대)포털(중)"/>
    <s v="-"/>
    <s v="-"/>
    <x v="0"/>
    <s v="25.04.10"/>
    <s v="25.04.10"/>
    <s v="카카오광고"/>
    <n v="745"/>
  </r>
  <r>
    <s v="m.web"/>
    <x v="3"/>
    <x v="27"/>
    <s v="가정용 전기전자"/>
    <s v="가사용 전기전자"/>
    <s v="청소기"/>
    <s v="로보락S8프로울트라"/>
    <x v="26"/>
    <s v="포털(대)포털(중)"/>
    <s v="-"/>
    <s v="-"/>
    <x v="0"/>
    <s v="25.04.15"/>
    <s v="25.04.18"/>
    <s v="카카오광고"/>
    <n v="2981"/>
  </r>
  <r>
    <s v="m.web"/>
    <x v="3"/>
    <x v="27"/>
    <s v="가정용 전기전자"/>
    <s v="가사용 전기전자"/>
    <s v="청소기"/>
    <s v="로보락S8프로울트라"/>
    <x v="62"/>
    <s v="생활정보(대)쇼핑/가격정보(중)"/>
    <s v="-"/>
    <s v="-"/>
    <x v="3"/>
    <s v="25.01.17"/>
    <s v="25.01.17"/>
    <s v="-"/>
    <n v="66"/>
  </r>
  <r>
    <s v="m.app"/>
    <x v="3"/>
    <x v="27"/>
    <s v="가정용 전기전자"/>
    <s v="가사용 전기전자"/>
    <s v="청소기"/>
    <s v="로보락S8프로울트라"/>
    <x v="74"/>
    <s v="커뮤니티(대)홈페이지(중)"/>
    <s v="-"/>
    <s v="-"/>
    <x v="3"/>
    <s v="25.01.26"/>
    <s v="25.01.26"/>
    <s v="-"/>
    <n v="819"/>
  </r>
  <r>
    <s v="m.app"/>
    <x v="3"/>
    <x v="27"/>
    <s v="가정용 전기전자"/>
    <s v="가사용 전기전자"/>
    <s v="청소기"/>
    <s v="로보락S8프로울트라"/>
    <x v="74"/>
    <s v="커뮤니티(대)홈페이지(중)"/>
    <s v="-"/>
    <s v="-"/>
    <x v="3"/>
    <s v="25.01.27"/>
    <s v="25.01.28"/>
    <s v="-"/>
    <n v="1637"/>
  </r>
  <r>
    <s v="m.web"/>
    <x v="3"/>
    <x v="28"/>
    <s v="가정용 전기전자"/>
    <s v="가사용 전기전자"/>
    <s v="청소기"/>
    <s v="로보락S8플러스"/>
    <x v="62"/>
    <s v="생활정보(대)쇼핑/가격정보(중)"/>
    <s v="-"/>
    <s v="-"/>
    <x v="4"/>
    <s v="25.03.31"/>
    <s v="25.03.31"/>
    <s v="-"/>
    <n v="66"/>
  </r>
  <r>
    <s v="m.web"/>
    <x v="3"/>
    <x v="28"/>
    <s v="가정용 전기전자"/>
    <s v="가사용 전기전자"/>
    <s v="청소기"/>
    <s v="로보락S8플러스"/>
    <x v="62"/>
    <s v="생활정보(대)쇼핑/가격정보(중)"/>
    <s v="-"/>
    <s v="-"/>
    <x v="0"/>
    <s v="25.04.06"/>
    <s v="25.04.06"/>
    <s v="-"/>
    <n v="66"/>
  </r>
  <r>
    <s v="m.web"/>
    <x v="3"/>
    <x v="28"/>
    <s v="가정용 전기전자"/>
    <s v="가사용 전기전자"/>
    <s v="청소기"/>
    <s v="로보락S8플러스"/>
    <x v="62"/>
    <s v="생활정보(대)쇼핑/가격정보(중)"/>
    <s v="-"/>
    <s v="-"/>
    <x v="0"/>
    <s v="25.04.09"/>
    <s v="25.04.12"/>
    <s v="-"/>
    <n v="264"/>
  </r>
  <r>
    <s v="m.web"/>
    <x v="3"/>
    <x v="28"/>
    <s v="가정용 전기전자"/>
    <s v="가사용 전기전자"/>
    <s v="청소기"/>
    <s v="로보락S8플러스"/>
    <x v="62"/>
    <s v="생활정보(대)쇼핑/가격정보(중)"/>
    <s v="-"/>
    <s v="-"/>
    <x v="0"/>
    <s v="25.04.20"/>
    <s v="25.04.20"/>
    <s v="-"/>
    <n v="66"/>
  </r>
  <r>
    <s v="m.web"/>
    <x v="3"/>
    <x v="28"/>
    <s v="가정용 전기전자"/>
    <s v="가사용 전기전자"/>
    <s v="청소기"/>
    <s v="로보락S8플러스"/>
    <x v="62"/>
    <s v="생활정보(대)쇼핑/가격정보(중)"/>
    <s v="-"/>
    <s v="-"/>
    <x v="0"/>
    <s v="25.04.26"/>
    <s v="25.04.27"/>
    <s v="-"/>
    <n v="132"/>
  </r>
  <r>
    <s v="m.web"/>
    <x v="3"/>
    <x v="28"/>
    <s v="가정용 전기전자"/>
    <s v="가사용 전기전자"/>
    <s v="청소기"/>
    <s v="로보락S8플러스"/>
    <x v="62"/>
    <s v="생활정보(대)쇼핑/가격정보(중)"/>
    <s v="-"/>
    <s v="-"/>
    <x v="0"/>
    <s v="25.04.30"/>
    <s v="25.04.30"/>
    <s v="-"/>
    <n v="66"/>
  </r>
  <r>
    <s v="m.web"/>
    <x v="3"/>
    <x v="5"/>
    <s v="가정용 전기전자"/>
    <s v="가사용 전기전자"/>
    <s v="청소기"/>
    <s v="로보락다이애드프로"/>
    <x v="26"/>
    <s v="포털(대)포털(중)"/>
    <s v="-"/>
    <s v="-"/>
    <x v="3"/>
    <s v="25.01.14"/>
    <s v="25.01.19"/>
    <s v="카카오광고"/>
    <n v="4472"/>
  </r>
  <r>
    <s v="m.web"/>
    <x v="3"/>
    <x v="5"/>
    <s v="가정용 전기전자"/>
    <s v="가사용 전기전자"/>
    <s v="청소기"/>
    <s v="로보락다이애드프로"/>
    <x v="63"/>
    <s v="포털(대)포털(중)"/>
    <s v="-"/>
    <s v="-"/>
    <x v="2"/>
    <s v="25.02.09"/>
    <s v="25.02.09"/>
    <s v="-"/>
    <n v="2547"/>
  </r>
  <r>
    <s v="m.web"/>
    <x v="3"/>
    <x v="5"/>
    <s v="가정용 전기전자"/>
    <s v="가사용 전기전자"/>
    <s v="청소기"/>
    <s v="로보락다이애드프로"/>
    <x v="63"/>
    <s v="포털(대)포털(중)"/>
    <s v="-"/>
    <s v="-"/>
    <x v="2"/>
    <s v="25.02.12"/>
    <s v="25.02.16"/>
    <s v="-"/>
    <n v="12733"/>
  </r>
  <r>
    <s v="m.web"/>
    <x v="3"/>
    <x v="5"/>
    <s v="가정용 전기전자"/>
    <s v="가사용 전기전자"/>
    <s v="청소기"/>
    <s v="로보락다이애드프로"/>
    <x v="1"/>
    <s v="포털(대)포털(중)"/>
    <s v="-"/>
    <s v="-"/>
    <x v="3"/>
    <s v="25.01.05"/>
    <s v="25.01.05"/>
    <s v="애드몹"/>
    <n v="316"/>
  </r>
  <r>
    <s v="m.web"/>
    <x v="3"/>
    <x v="5"/>
    <s v="가정용 전기전자"/>
    <s v="가사용 전기전자"/>
    <s v="청소기"/>
    <s v="로보락다이애드프로"/>
    <x v="1"/>
    <s v="포털(대)포털(중)"/>
    <s v="-"/>
    <s v="-"/>
    <x v="3"/>
    <s v="25.01.14"/>
    <s v="25.01.14"/>
    <s v="애드몹"/>
    <n v="316"/>
  </r>
  <r>
    <s v="m.web"/>
    <x v="3"/>
    <x v="5"/>
    <s v="가정용 전기전자"/>
    <s v="가사용 전기전자"/>
    <s v="청소기"/>
    <s v="로보락다이애드프로"/>
    <x v="2"/>
    <s v="신문/잡지(대)종합일간지(중)"/>
    <s v="-"/>
    <s v="-"/>
    <x v="3"/>
    <s v="25.01.23"/>
    <s v="25.01.23"/>
    <s v="애드몹"/>
    <n v="159"/>
  </r>
  <r>
    <s v="m.web"/>
    <x v="3"/>
    <x v="5"/>
    <s v="가정용 전기전자"/>
    <s v="가사용 전기전자"/>
    <s v="청소기"/>
    <s v="로보락다이애드프로"/>
    <x v="33"/>
    <s v="신문/잡지(대)종합일간지(중)"/>
    <s v="-"/>
    <s v="-"/>
    <x v="3"/>
    <s v="25.01.23"/>
    <s v="25.01.23"/>
    <s v="애드몹"/>
    <n v="159"/>
  </r>
  <r>
    <s v="m.web"/>
    <x v="3"/>
    <x v="5"/>
    <s v="가정용 전기전자"/>
    <s v="가사용 전기전자"/>
    <s v="청소기"/>
    <s v="로보락다이애드프로"/>
    <x v="5"/>
    <s v="신문/잡지(대)경제신문(중)"/>
    <s v="-"/>
    <s v="-"/>
    <x v="3"/>
    <s v="25.01.05"/>
    <s v="25.01.05"/>
    <s v="애드몹"/>
    <n v="159"/>
  </r>
  <r>
    <s v="m.web"/>
    <x v="3"/>
    <x v="5"/>
    <s v="가정용 전기전자"/>
    <s v="가사용 전기전자"/>
    <s v="청소기"/>
    <s v="로보락다이애드프로"/>
    <x v="5"/>
    <s v="신문/잡지(대)경제신문(중)"/>
    <s v="-"/>
    <s v="-"/>
    <x v="3"/>
    <s v="25.01.31"/>
    <s v="25.01.31"/>
    <s v="애드몹"/>
    <n v="159"/>
  </r>
  <r>
    <s v="m.web"/>
    <x v="3"/>
    <x v="5"/>
    <s v="가정용 전기전자"/>
    <s v="가사용 전기전자"/>
    <s v="청소기"/>
    <s v="로보락다이애드프로"/>
    <x v="38"/>
    <s v="신문/잡지(대)온라인뉴스(중)"/>
    <s v="-"/>
    <s v="-"/>
    <x v="3"/>
    <s v="25.01.20"/>
    <s v="25.01.20"/>
    <s v="애드몹"/>
    <n v="159"/>
  </r>
  <r>
    <s v="m.web"/>
    <x v="3"/>
    <x v="5"/>
    <s v="가정용 전기전자"/>
    <s v="가사용 전기전자"/>
    <s v="청소기"/>
    <s v="로보락다이애드프로"/>
    <x v="9"/>
    <s v="신문/잡지(대)경제신문(중)"/>
    <s v="-"/>
    <s v="-"/>
    <x v="3"/>
    <s v="25.01.13"/>
    <s v="25.01.13"/>
    <s v="애드몹"/>
    <n v="159"/>
  </r>
  <r>
    <s v="m.web"/>
    <x v="3"/>
    <x v="5"/>
    <s v="가정용 전기전자"/>
    <s v="가사용 전기전자"/>
    <s v="청소기"/>
    <s v="로보락다이애드프로"/>
    <x v="12"/>
    <s v="신문/잡지(대)IT관련 뉴스(중)"/>
    <s v="-"/>
    <s v="-"/>
    <x v="3"/>
    <s v="25.01.01"/>
    <s v="25.01.01"/>
    <s v="애드몹"/>
    <n v="159"/>
  </r>
  <r>
    <s v="m.web"/>
    <x v="3"/>
    <x v="5"/>
    <s v="가정용 전기전자"/>
    <s v="가사용 전기전자"/>
    <s v="청소기"/>
    <s v="로보락다이애드프로"/>
    <x v="46"/>
    <s v="신문/잡지(대)IT관련 뉴스(중)"/>
    <s v="-"/>
    <s v="-"/>
    <x v="3"/>
    <s v="25.01.20"/>
    <s v="25.01.20"/>
    <s v="애드몹"/>
    <n v="316"/>
  </r>
  <r>
    <s v="m.web"/>
    <x v="3"/>
    <x v="5"/>
    <s v="가정용 전기전자"/>
    <s v="가사용 전기전자"/>
    <s v="청소기"/>
    <s v="로보락다이애드프로"/>
    <x v="14"/>
    <s v="신문/잡지(대)IT관련 뉴스(중)"/>
    <s v="-"/>
    <s v="-"/>
    <x v="3"/>
    <s v="25.01.07"/>
    <s v="25.01.07"/>
    <s v="애드몹"/>
    <n v="316"/>
  </r>
  <r>
    <s v="m.web"/>
    <x v="3"/>
    <x v="5"/>
    <s v="가정용 전기전자"/>
    <s v="가사용 전기전자"/>
    <s v="청소기"/>
    <s v="로보락다이애드프로"/>
    <x v="14"/>
    <s v="신문/잡지(대)IT관련 뉴스(중)"/>
    <s v="-"/>
    <s v="-"/>
    <x v="3"/>
    <s v="25.01.15"/>
    <s v="25.01.15"/>
    <s v="애드몹"/>
    <n v="316"/>
  </r>
  <r>
    <s v="m.web"/>
    <x v="3"/>
    <x v="5"/>
    <s v="가정용 전기전자"/>
    <s v="가사용 전기전자"/>
    <s v="청소기"/>
    <s v="로보락다이애드프로"/>
    <x v="14"/>
    <s v="신문/잡지(대)IT관련 뉴스(중)"/>
    <s v="-"/>
    <s v="-"/>
    <x v="3"/>
    <s v="25.01.21"/>
    <s v="25.01.21"/>
    <s v="애드몹"/>
    <n v="316"/>
  </r>
  <r>
    <s v="m.web"/>
    <x v="3"/>
    <x v="5"/>
    <s v="가정용 전기전자"/>
    <s v="가사용 전기전자"/>
    <s v="청소기"/>
    <s v="로보락다이애드프로"/>
    <x v="14"/>
    <s v="신문/잡지(대)IT관련 뉴스(중)"/>
    <s v="-"/>
    <s v="-"/>
    <x v="3"/>
    <s v="25.01.29"/>
    <s v="25.01.29"/>
    <s v="애드몹"/>
    <n v="316"/>
  </r>
  <r>
    <s v="m.web"/>
    <x v="3"/>
    <x v="5"/>
    <s v="가정용 전기전자"/>
    <s v="가사용 전기전자"/>
    <s v="청소기"/>
    <s v="로보락다이애드프로"/>
    <x v="15"/>
    <s v="신문/잡지(대)잡지(중)"/>
    <s v="-"/>
    <s v="-"/>
    <x v="3"/>
    <s v="25.01.16"/>
    <s v="25.01.16"/>
    <s v="애드몹"/>
    <n v="159"/>
  </r>
  <r>
    <s v="m.web"/>
    <x v="3"/>
    <x v="5"/>
    <s v="가정용 전기전자"/>
    <s v="가사용 전기전자"/>
    <s v="청소기"/>
    <s v="로보락다이애드프로"/>
    <x v="57"/>
    <s v="신문/잡지(대)온라인뉴스(중)"/>
    <s v="-"/>
    <s v="-"/>
    <x v="3"/>
    <s v="25.01.20"/>
    <s v="25.01.20"/>
    <s v="애드몹"/>
    <n v="252"/>
  </r>
  <r>
    <s v="m.app"/>
    <x v="3"/>
    <x v="5"/>
    <s v="가정용 전기전자"/>
    <s v="가사용 전기전자"/>
    <s v="청소기"/>
    <s v="로보락다이애드프로"/>
    <x v="106"/>
    <s v="모바일(대)엔터테인먼트(중)"/>
    <s v="-"/>
    <s v="-"/>
    <x v="3"/>
    <s v="25.01.08"/>
    <s v="25.01.08"/>
    <s v="애드몹"/>
    <n v="93"/>
  </r>
  <r>
    <s v="m.app"/>
    <x v="3"/>
    <x v="5"/>
    <s v="가정용 전기전자"/>
    <s v="가사용 전기전자"/>
    <s v="청소기"/>
    <s v="로보락다이애드프로"/>
    <x v="107"/>
    <s v="모바일(대)도구/유틸리티(중)"/>
    <s v="-"/>
    <s v="-"/>
    <x v="3"/>
    <s v="25.01.11"/>
    <s v="25.01.11"/>
    <s v="애드몹"/>
    <n v="93"/>
  </r>
  <r>
    <s v="m.web"/>
    <x v="3"/>
    <x v="5"/>
    <s v="가정용 전기전자"/>
    <s v="가사용 전기전자"/>
    <s v="청소기"/>
    <s v="로보락다이애드프로"/>
    <x v="62"/>
    <s v="생활정보(대)쇼핑/가격정보(중)"/>
    <s v="-"/>
    <s v="-"/>
    <x v="3"/>
    <s v="25.01.17"/>
    <s v="25.01.17"/>
    <s v="-"/>
    <n v="66"/>
  </r>
  <r>
    <s v="m.app"/>
    <x v="3"/>
    <x v="5"/>
    <s v="가정용 전기전자"/>
    <s v="가사용 전기전자"/>
    <s v="청소기"/>
    <s v="로보락다이애드프로"/>
    <x v="108"/>
    <s v="모바일(대)엔터테인먼트(중)"/>
    <s v="-"/>
    <s v="-"/>
    <x v="3"/>
    <s v="25.01.02"/>
    <s v="25.01.02"/>
    <s v="애드몹"/>
    <n v="93"/>
  </r>
  <r>
    <s v="m.app"/>
    <x v="3"/>
    <x v="5"/>
    <s v="가정용 전기전자"/>
    <s v="가사용 전기전자"/>
    <s v="청소기"/>
    <s v="로보락다이애드프로"/>
    <x v="109"/>
    <s v="생활정보(대)생활정보 기타(중)"/>
    <s v="-"/>
    <s v="-"/>
    <x v="3"/>
    <s v="25.01.03"/>
    <s v="25.01.03"/>
    <s v="애드몹"/>
    <n v="93"/>
  </r>
  <r>
    <s v="m.app"/>
    <x v="3"/>
    <x v="5"/>
    <s v="가정용 전기전자"/>
    <s v="가사용 전기전자"/>
    <s v="청소기"/>
    <s v="로보락다이애드프로"/>
    <x v="110"/>
    <s v="생활정보(대)생활정보 기타(중)"/>
    <s v="-"/>
    <s v="-"/>
    <x v="3"/>
    <s v="25.01.23"/>
    <s v="25.01.23"/>
    <s v="애드몹"/>
    <n v="93"/>
  </r>
  <r>
    <s v="m.app"/>
    <x v="3"/>
    <x v="5"/>
    <s v="가정용 전기전자"/>
    <s v="가사용 전기전자"/>
    <s v="청소기"/>
    <s v="로보락다이애드프로"/>
    <x v="111"/>
    <s v="생활정보(대)생활정보 기타(중)"/>
    <s v="-"/>
    <s v="-"/>
    <x v="3"/>
    <s v="25.01.09"/>
    <s v="25.01.09"/>
    <s v="애드몹"/>
    <n v="93"/>
  </r>
  <r>
    <s v="m.web"/>
    <x v="3"/>
    <x v="5"/>
    <s v="가정용 전기전자"/>
    <s v="가사용 전기전자"/>
    <s v="청소기"/>
    <s v="로보락다이애드프로"/>
    <x v="60"/>
    <s v="신문/잡지(대)종합일간지(중)"/>
    <s v="-"/>
    <s v="-"/>
    <x v="3"/>
    <s v="25.01.23"/>
    <s v="25.01.23"/>
    <s v="애드몹"/>
    <n v="152"/>
  </r>
  <r>
    <s v="m.app"/>
    <x v="3"/>
    <x v="5"/>
    <s v="가정용 전기전자"/>
    <s v="가사용 전기전자"/>
    <s v="청소기"/>
    <s v="로보락다이애드프로"/>
    <x v="112"/>
    <s v="모바일(대)도구/유틸리티(중)"/>
    <s v="-"/>
    <s v="-"/>
    <x v="3"/>
    <s v="25.01.14"/>
    <s v="25.01.14"/>
    <s v="애드몹"/>
    <n v="93"/>
  </r>
  <r>
    <s v="m.web"/>
    <x v="3"/>
    <x v="6"/>
    <s v="가정용 전기전자"/>
    <s v="가사용 전기전자"/>
    <s v="청소기"/>
    <s v="로보락S8MaxVUltra"/>
    <x v="26"/>
    <s v="포털(대)포털(중)"/>
    <s v="-"/>
    <s v="-"/>
    <x v="3"/>
    <s v="25.01.15"/>
    <s v="25.01.19"/>
    <s v="카카오광고"/>
    <n v="3726"/>
  </r>
  <r>
    <s v="m.web"/>
    <x v="3"/>
    <x v="6"/>
    <s v="가정용 전기전자"/>
    <s v="가사용 전기전자"/>
    <s v="청소기"/>
    <s v="로보락S8MaxVUltra"/>
    <x v="26"/>
    <s v="포털(대)포털(중)"/>
    <s v="-"/>
    <s v="-"/>
    <x v="3"/>
    <s v="25.01.20"/>
    <s v="25.01.20"/>
    <s v="카카오광고"/>
    <n v="745"/>
  </r>
  <r>
    <s v="m.web"/>
    <x v="3"/>
    <x v="6"/>
    <s v="가정용 전기전자"/>
    <s v="가사용 전기전자"/>
    <s v="청소기"/>
    <s v="로보락S8MaxVUltra"/>
    <x v="63"/>
    <s v="포털(대)포털(중)"/>
    <s v="-"/>
    <s v="-"/>
    <x v="2"/>
    <s v="25.02.08"/>
    <s v="25.02.08"/>
    <s v="-"/>
    <n v="2547"/>
  </r>
  <r>
    <s v="m.web"/>
    <x v="3"/>
    <x v="6"/>
    <s v="가정용 전기전자"/>
    <s v="가사용 전기전자"/>
    <s v="청소기"/>
    <s v="로보락S8MaxVUltra"/>
    <x v="63"/>
    <s v="포털(대)포털(중)"/>
    <s v="-"/>
    <s v="-"/>
    <x v="2"/>
    <s v="25.02.12"/>
    <s v="25.02.12"/>
    <s v="-"/>
    <n v="2547"/>
  </r>
  <r>
    <s v="m.web"/>
    <x v="3"/>
    <x v="6"/>
    <s v="가정용 전기전자"/>
    <s v="가사용 전기전자"/>
    <s v="청소기"/>
    <s v="로보락S8MaxVUltra"/>
    <x v="63"/>
    <s v="포털(대)포털(중)"/>
    <s v="-"/>
    <s v="-"/>
    <x v="2"/>
    <s v="25.02.13"/>
    <s v="25.02.13"/>
    <s v="-"/>
    <n v="2547"/>
  </r>
  <r>
    <s v="m.app"/>
    <x v="3"/>
    <x v="6"/>
    <s v="가정용 전기전자"/>
    <s v="가사용 전기전자"/>
    <s v="청소기"/>
    <s v="로보락S8MaxVUltra"/>
    <x v="72"/>
    <s v="커뮤니케이션(대)채팅/메신저(중)"/>
    <s v="-"/>
    <s v="-"/>
    <x v="2"/>
    <s v="25.02.10"/>
    <s v="25.02.10"/>
    <s v="카카오광고"/>
    <n v="5895"/>
  </r>
  <r>
    <s v="m.web"/>
    <x v="3"/>
    <x v="6"/>
    <s v="가정용 전기전자"/>
    <s v="가사용 전기전자"/>
    <s v="청소기"/>
    <s v="로보락S8MaxVUltra"/>
    <x v="62"/>
    <s v="생활정보(대)쇼핑/가격정보(중)"/>
    <s v="-"/>
    <s v="-"/>
    <x v="2"/>
    <s v="25.02.05"/>
    <s v="25.02.05"/>
    <s v="-"/>
    <n v="66"/>
  </r>
  <r>
    <s v="m.web"/>
    <x v="3"/>
    <x v="6"/>
    <s v="가정용 전기전자"/>
    <s v="가사용 전기전자"/>
    <s v="청소기"/>
    <s v="로보락S8MaxVUltra"/>
    <x v="62"/>
    <s v="생활정보(대)쇼핑/가격정보(중)"/>
    <s v="-"/>
    <s v="-"/>
    <x v="0"/>
    <s v="25.04.21"/>
    <s v="25.04.21"/>
    <s v="-"/>
    <n v="66"/>
  </r>
  <r>
    <s v="m.web"/>
    <x v="3"/>
    <x v="6"/>
    <s v="가정용 전기전자"/>
    <s v="가사용 전기전자"/>
    <s v="청소기"/>
    <s v="로보락S8MaxVUltra"/>
    <x v="62"/>
    <s v="생활정보(대)쇼핑/가격정보(중)"/>
    <s v="-"/>
    <s v="-"/>
    <x v="0"/>
    <s v="25.04.30"/>
    <s v="25.04.30"/>
    <s v="-"/>
    <n v="66"/>
  </r>
  <r>
    <s v="m.app"/>
    <x v="3"/>
    <x v="6"/>
    <s v="가정용 전기전자"/>
    <s v="가사용 전기전자"/>
    <s v="청소기"/>
    <s v="로보락S8MaxVUltra"/>
    <x v="71"/>
    <s v="모바일(대)모바일기타(중)"/>
    <s v="-"/>
    <s v="-"/>
    <x v="3"/>
    <s v="25.01.01"/>
    <s v="25.01.05"/>
    <s v="버즈빌"/>
    <n v="3398"/>
  </r>
  <r>
    <s v="m.app"/>
    <x v="3"/>
    <x v="6"/>
    <s v="가정용 전기전자"/>
    <s v="가사용 전기전자"/>
    <s v="청소기"/>
    <s v="로보락S8MaxVUltra"/>
    <x v="71"/>
    <s v="모바일(대)모바일기타(중)"/>
    <s v="-"/>
    <s v="-"/>
    <x v="3"/>
    <s v="25.01.06"/>
    <s v="25.01.12"/>
    <s v="버즈빌"/>
    <n v="4757"/>
  </r>
  <r>
    <s v="m.app"/>
    <x v="3"/>
    <x v="6"/>
    <s v="가정용 전기전자"/>
    <s v="가사용 전기전자"/>
    <s v="청소기"/>
    <s v="로보락S8MaxVUltra"/>
    <x v="71"/>
    <s v="모바일(대)모바일기타(중)"/>
    <s v="-"/>
    <s v="-"/>
    <x v="3"/>
    <s v="25.01.13"/>
    <s v="25.01.13"/>
    <s v="버즈빌"/>
    <n v="680"/>
  </r>
  <r>
    <s v="m.app"/>
    <x v="3"/>
    <x v="6"/>
    <s v="가정용 전기전자"/>
    <s v="가사용 전기전자"/>
    <s v="청소기"/>
    <s v="로보락S8MaxVUltra"/>
    <x v="71"/>
    <s v="모바일(대)모바일기타(중)"/>
    <s v="-"/>
    <s v="-"/>
    <x v="2"/>
    <s v="25.02.02"/>
    <s v="25.02.02"/>
    <s v="버즈빌"/>
    <n v="680"/>
  </r>
  <r>
    <s v="m.app"/>
    <x v="3"/>
    <x v="6"/>
    <s v="가정용 전기전자"/>
    <s v="가사용 전기전자"/>
    <s v="청소기"/>
    <s v="로보락S8MaxVUltra"/>
    <x v="71"/>
    <s v="모바일(대)모바일기타(중)"/>
    <s v="-"/>
    <s v="-"/>
    <x v="2"/>
    <s v="25.02.03"/>
    <s v="25.02.08"/>
    <s v="버즈빌"/>
    <n v="4077"/>
  </r>
  <r>
    <s v="m.app"/>
    <x v="3"/>
    <x v="6"/>
    <s v="가정용 전기전자"/>
    <s v="가사용 전기전자"/>
    <s v="청소기"/>
    <s v="로보락S8MaxVUltra"/>
    <x v="71"/>
    <s v="모바일(대)모바일기타(중)"/>
    <s v="-"/>
    <s v="-"/>
    <x v="2"/>
    <s v="25.02.10"/>
    <s v="25.02.15"/>
    <s v="버즈빌"/>
    <n v="4077"/>
  </r>
  <r>
    <s v="m.web"/>
    <x v="3"/>
    <x v="6"/>
    <s v="가정용 전기전자"/>
    <s v="가사용 전기전자"/>
    <s v="청소기"/>
    <s v="로보락S8MaxVUltra"/>
    <x v="60"/>
    <s v="신문/잡지(대)종합일간지(중)"/>
    <s v="-"/>
    <s v="-"/>
    <x v="3"/>
    <s v="25.01.26"/>
    <s v="25.01.26"/>
    <s v="애드몹"/>
    <n v="152"/>
  </r>
  <r>
    <s v="m.web"/>
    <x v="3"/>
    <x v="8"/>
    <s v="가정용 전기전자"/>
    <s v="가사용 전기전자"/>
    <s v="청소기"/>
    <s v="로보락Q레보프로"/>
    <x v="26"/>
    <s v="포털(대)포털(중)"/>
    <s v="-"/>
    <s v="-"/>
    <x v="3"/>
    <s v="25.01.17"/>
    <s v="25.01.17"/>
    <s v="카카오광고"/>
    <n v="745"/>
  </r>
  <r>
    <s v="m.web"/>
    <x v="3"/>
    <x v="8"/>
    <s v="가정용 전기전자"/>
    <s v="가사용 전기전자"/>
    <s v="청소기"/>
    <s v="로보락Q레보프로"/>
    <x v="27"/>
    <s v="포털(대)포털(중)"/>
    <s v="-"/>
    <s v="-"/>
    <x v="3"/>
    <s v="25.01.18"/>
    <s v="25.01.18"/>
    <s v="애드몹"/>
    <n v="751"/>
  </r>
  <r>
    <s v="m.web"/>
    <x v="3"/>
    <x v="8"/>
    <s v="가정용 전기전자"/>
    <s v="가사용 전기전자"/>
    <s v="청소기"/>
    <s v="로보락Q레보프로"/>
    <x v="27"/>
    <s v="포털(대)포털(중)"/>
    <s v="-"/>
    <s v="-"/>
    <x v="3"/>
    <s v="25.01.21"/>
    <s v="25.01.21"/>
    <s v="애드몹"/>
    <n v="751"/>
  </r>
  <r>
    <s v="m.web"/>
    <x v="3"/>
    <x v="8"/>
    <s v="가정용 전기전자"/>
    <s v="가사용 전기전자"/>
    <s v="청소기"/>
    <s v="로보락Q레보프로"/>
    <x v="27"/>
    <s v="포털(대)포털(중)"/>
    <s v="-"/>
    <s v="-"/>
    <x v="3"/>
    <s v="25.01.30"/>
    <s v="25.01.30"/>
    <s v="애드몹"/>
    <n v="751"/>
  </r>
  <r>
    <s v="m.web"/>
    <x v="3"/>
    <x v="8"/>
    <s v="가정용 전기전자"/>
    <s v="가사용 전기전자"/>
    <s v="청소기"/>
    <s v="로보락Q레보프로"/>
    <x v="33"/>
    <s v="신문/잡지(대)종합일간지(중)"/>
    <s v="-"/>
    <s v="-"/>
    <x v="3"/>
    <s v="25.01.22"/>
    <s v="25.01.22"/>
    <s v="애드몹"/>
    <n v="159"/>
  </r>
  <r>
    <s v="m.web"/>
    <x v="3"/>
    <x v="8"/>
    <s v="가정용 전기전자"/>
    <s v="가사용 전기전자"/>
    <s v="청소기"/>
    <s v="로보락Q레보프로"/>
    <x v="36"/>
    <s v="신문/잡지(대)종합일간지(중)"/>
    <s v="-"/>
    <s v="-"/>
    <x v="3"/>
    <s v="25.01.25"/>
    <s v="25.01.25"/>
    <s v="애드몹"/>
    <n v="159"/>
  </r>
  <r>
    <s v="m.web"/>
    <x v="3"/>
    <x v="8"/>
    <s v="가정용 전기전자"/>
    <s v="가사용 전기전자"/>
    <s v="청소기"/>
    <s v="로보락Q레보프로"/>
    <x v="36"/>
    <s v="신문/잡지(대)종합일간지(중)"/>
    <s v="-"/>
    <s v="-"/>
    <x v="3"/>
    <s v="25.01.31"/>
    <s v="25.01.31"/>
    <s v="애드몹"/>
    <n v="159"/>
  </r>
  <r>
    <s v="m.web"/>
    <x v="3"/>
    <x v="8"/>
    <s v="가정용 전기전자"/>
    <s v="가사용 전기전자"/>
    <s v="청소기"/>
    <s v="로보락Q레보프로"/>
    <x v="12"/>
    <s v="신문/잡지(대)IT관련 뉴스(중)"/>
    <s v="-"/>
    <s v="-"/>
    <x v="3"/>
    <s v="25.01.01"/>
    <s v="25.01.01"/>
    <s v="애드몹"/>
    <n v="159"/>
  </r>
  <r>
    <s v="m.web"/>
    <x v="3"/>
    <x v="8"/>
    <s v="가정용 전기전자"/>
    <s v="가사용 전기전자"/>
    <s v="청소기"/>
    <s v="로보락Q레보프로"/>
    <x v="13"/>
    <s v="신문/잡지(대)IT관련 뉴스(중)"/>
    <s v="-"/>
    <s v="-"/>
    <x v="3"/>
    <s v="25.01.03"/>
    <s v="25.01.03"/>
    <s v="애드몹"/>
    <n v="318"/>
  </r>
  <r>
    <s v="m.web"/>
    <x v="3"/>
    <x v="8"/>
    <s v="가정용 전기전자"/>
    <s v="가사용 전기전자"/>
    <s v="청소기"/>
    <s v="로보락Q레보프로"/>
    <x v="13"/>
    <s v="신문/잡지(대)IT관련 뉴스(중)"/>
    <s v="-"/>
    <s v="-"/>
    <x v="3"/>
    <s v="25.01.15"/>
    <s v="25.01.15"/>
    <s v="애드몹"/>
    <n v="159"/>
  </r>
  <r>
    <s v="m.web"/>
    <x v="3"/>
    <x v="8"/>
    <s v="가정용 전기전자"/>
    <s v="가사용 전기전자"/>
    <s v="청소기"/>
    <s v="로보락Q레보프로"/>
    <x v="13"/>
    <s v="신문/잡지(대)IT관련 뉴스(중)"/>
    <s v="-"/>
    <s v="-"/>
    <x v="3"/>
    <s v="25.01.18"/>
    <s v="25.01.18"/>
    <s v="애드몹"/>
    <n v="159"/>
  </r>
  <r>
    <s v="m.web"/>
    <x v="3"/>
    <x v="8"/>
    <s v="가정용 전기전자"/>
    <s v="가사용 전기전자"/>
    <s v="청소기"/>
    <s v="로보락Q레보프로"/>
    <x v="13"/>
    <s v="신문/잡지(대)IT관련 뉴스(중)"/>
    <s v="-"/>
    <s v="-"/>
    <x v="3"/>
    <s v="25.01.29"/>
    <s v="25.01.29"/>
    <s v="애드몹"/>
    <n v="159"/>
  </r>
  <r>
    <s v="m.web"/>
    <x v="3"/>
    <x v="8"/>
    <s v="가정용 전기전자"/>
    <s v="가사용 전기전자"/>
    <s v="청소기"/>
    <s v="로보락Q레보프로"/>
    <x v="46"/>
    <s v="신문/잡지(대)IT관련 뉴스(중)"/>
    <s v="-"/>
    <s v="-"/>
    <x v="3"/>
    <s v="25.01.05"/>
    <s v="25.01.05"/>
    <s v="애드몹"/>
    <n v="316"/>
  </r>
  <r>
    <s v="m.web"/>
    <x v="3"/>
    <x v="8"/>
    <s v="가정용 전기전자"/>
    <s v="가사용 전기전자"/>
    <s v="청소기"/>
    <s v="로보락Q레보프로"/>
    <x v="56"/>
    <s v="엔터테인먼트(대)게임(중)"/>
    <s v="-"/>
    <s v="-"/>
    <x v="3"/>
    <s v="25.01.26"/>
    <s v="25.01.26"/>
    <s v="애드몹"/>
    <n v="285"/>
  </r>
  <r>
    <s v="m.web"/>
    <x v="3"/>
    <x v="8"/>
    <s v="가정용 전기전자"/>
    <s v="가사용 전기전자"/>
    <s v="청소기"/>
    <s v="로보락Q레보프로"/>
    <x v="52"/>
    <s v="신문/잡지(대)온라인뉴스(중)"/>
    <s v="-"/>
    <s v="-"/>
    <x v="3"/>
    <s v="25.01.08"/>
    <s v="25.01.08"/>
    <s v="애드몹"/>
    <n v="277"/>
  </r>
  <r>
    <s v="m.web"/>
    <x v="3"/>
    <x v="8"/>
    <s v="가정용 전기전자"/>
    <s v="가사용 전기전자"/>
    <s v="청소기"/>
    <s v="로보락Q레보프로"/>
    <x v="52"/>
    <s v="신문/잡지(대)온라인뉴스(중)"/>
    <s v="-"/>
    <s v="-"/>
    <x v="3"/>
    <s v="25.01.16"/>
    <s v="25.01.16"/>
    <s v="애드몹"/>
    <n v="277"/>
  </r>
  <r>
    <s v="m.web"/>
    <x v="3"/>
    <x v="8"/>
    <s v="가정용 전기전자"/>
    <s v="가사용 전기전자"/>
    <s v="청소기"/>
    <s v="로보락Q레보프로"/>
    <x v="48"/>
    <s v="엔터테인먼트(대)엔터테인먼트 기타(중)"/>
    <s v="-"/>
    <s v="-"/>
    <x v="3"/>
    <s v="25.01.22"/>
    <s v="25.01.22"/>
    <s v="애드몹"/>
    <n v="101"/>
  </r>
  <r>
    <s v="m.app"/>
    <x v="3"/>
    <x v="8"/>
    <s v="가정용 전기전자"/>
    <s v="가사용 전기전자"/>
    <s v="청소기"/>
    <s v="로보락Q레보프로"/>
    <x v="113"/>
    <s v="모바일(대)도구/유틸리티(중)"/>
    <s v="-"/>
    <s v="-"/>
    <x v="3"/>
    <s v="25.01.16"/>
    <s v="25.01.16"/>
    <s v="애드몹"/>
    <n v="93"/>
  </r>
  <r>
    <s v="m.app"/>
    <x v="3"/>
    <x v="8"/>
    <s v="가정용 전기전자"/>
    <s v="가사용 전기전자"/>
    <s v="청소기"/>
    <s v="로보락Q레보프로"/>
    <x v="86"/>
    <s v="생활정보(대)병원/건강정보(중)"/>
    <s v="-"/>
    <s v="-"/>
    <x v="3"/>
    <s v="25.01.17"/>
    <s v="25.01.17"/>
    <s v="애드몹"/>
    <n v="93"/>
  </r>
  <r>
    <s v="m.web"/>
    <x v="3"/>
    <x v="8"/>
    <s v="가정용 전기전자"/>
    <s v="가사용 전기전자"/>
    <s v="청소기"/>
    <s v="로보락Q레보프로"/>
    <x v="20"/>
    <s v="생활정보(대)쇼핑/가격정보(중)"/>
    <s v="-"/>
    <s v="-"/>
    <x v="3"/>
    <s v="25.01.14"/>
    <s v="25.01.14"/>
    <s v="애드몹"/>
    <n v="101"/>
  </r>
  <r>
    <s v="m.web"/>
    <x v="3"/>
    <x v="8"/>
    <s v="가정용 전기전자"/>
    <s v="가사용 전기전자"/>
    <s v="청소기"/>
    <s v="로보락Q레보프로"/>
    <x v="20"/>
    <s v="생활정보(대)쇼핑/가격정보(중)"/>
    <s v="-"/>
    <s v="-"/>
    <x v="3"/>
    <s v="25.01.20"/>
    <s v="25.01.20"/>
    <s v="애드몹"/>
    <n v="101"/>
  </r>
  <r>
    <s v="m.app"/>
    <x v="3"/>
    <x v="8"/>
    <s v="가정용 전기전자"/>
    <s v="가사용 전기전자"/>
    <s v="청소기"/>
    <s v="로보락Q레보프로"/>
    <x v="114"/>
    <s v="모바일(대)도구/유틸리티(중)"/>
    <s v="-"/>
    <s v="-"/>
    <x v="3"/>
    <s v="25.01.28"/>
    <s v="25.01.28"/>
    <s v="애드몹"/>
    <n v="93"/>
  </r>
  <r>
    <s v="m.app"/>
    <x v="3"/>
    <x v="8"/>
    <s v="가정용 전기전자"/>
    <s v="가사용 전기전자"/>
    <s v="청소기"/>
    <s v="로보락Q레보프로"/>
    <x v="115"/>
    <s v="모바일(대)도구/유틸리티(중)"/>
    <s v="-"/>
    <s v="-"/>
    <x v="3"/>
    <s v="25.01.06"/>
    <s v="25.01.06"/>
    <s v="애드몹"/>
    <n v="93"/>
  </r>
  <r>
    <s v="m.app"/>
    <x v="3"/>
    <x v="8"/>
    <s v="가정용 전기전자"/>
    <s v="가사용 전기전자"/>
    <s v="청소기"/>
    <s v="로보락Q레보프로"/>
    <x v="116"/>
    <s v="방송(대)인터넷방송(중)"/>
    <s v="-"/>
    <s v="-"/>
    <x v="3"/>
    <s v="25.01.17"/>
    <s v="25.01.17"/>
    <s v="애드몹"/>
    <n v="93"/>
  </r>
  <r>
    <s v="m.app"/>
    <x v="3"/>
    <x v="8"/>
    <s v="가정용 전기전자"/>
    <s v="가사용 전기전자"/>
    <s v="청소기"/>
    <s v="로보락Q레보프로"/>
    <x v="117"/>
    <s v="엔터테인먼트(대)게임(중)"/>
    <s v="-"/>
    <s v="-"/>
    <x v="3"/>
    <s v="25.01.27"/>
    <s v="25.01.27"/>
    <s v="애드몹"/>
    <n v="93"/>
  </r>
  <r>
    <s v="m.app"/>
    <x v="3"/>
    <x v="8"/>
    <s v="가정용 전기전자"/>
    <s v="가사용 전기전자"/>
    <s v="청소기"/>
    <s v="로보락Q레보프로"/>
    <x v="108"/>
    <s v="모바일(대)엔터테인먼트(중)"/>
    <s v="-"/>
    <s v="-"/>
    <x v="3"/>
    <s v="25.01.02"/>
    <s v="25.01.04"/>
    <s v="애드몹"/>
    <n v="278"/>
  </r>
  <r>
    <s v="m.web"/>
    <x v="3"/>
    <x v="10"/>
    <s v="가정용 전기전자"/>
    <s v="가사용 전기전자"/>
    <s v="청소기"/>
    <s v="로보락Q레보커브"/>
    <x v="26"/>
    <s v="포털(대)포털(중)"/>
    <s v="-"/>
    <s v="-"/>
    <x v="3"/>
    <s v="25.01.14"/>
    <s v="25.01.15"/>
    <s v="카카오광고"/>
    <n v="1491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2"/>
    <s v="25.02.05"/>
    <s v="25.02.09"/>
    <s v="카카오광고"/>
    <n v="3726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2"/>
    <s v="25.02.10"/>
    <s v="25.02.16"/>
    <s v="카카오광고"/>
    <n v="5217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2"/>
    <s v="25.02.21"/>
    <s v="25.02.23"/>
    <s v="카카오광고"/>
    <n v="2236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2"/>
    <s v="25.02.24"/>
    <s v="25.02.27"/>
    <s v="카카오광고"/>
    <n v="2981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4"/>
    <s v="25.03.06"/>
    <s v="25.03.09"/>
    <s v="카카오광고"/>
    <n v="2981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4"/>
    <s v="25.03.10"/>
    <s v="25.03.15"/>
    <s v="카카오광고"/>
    <n v="4472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4"/>
    <s v="25.03.16"/>
    <s v="25.03.16"/>
    <s v="카카오광고"/>
    <n v="745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4"/>
    <s v="25.03.19"/>
    <s v="25.03.19"/>
    <s v="카카오광고"/>
    <n v="745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07"/>
    <s v="25.04.08"/>
    <s v="카카오광고"/>
    <n v="1491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07"/>
    <s v="25.04.13"/>
    <s v="카카오광고"/>
    <n v="5217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11"/>
    <s v="25.04.11"/>
    <s v="카카오광고"/>
    <n v="745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12"/>
    <s v="25.04.12"/>
    <s v="카카오광고"/>
    <n v="745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13"/>
    <s v="25.04.13"/>
    <s v="카카오광고"/>
    <n v="745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15"/>
    <s v="25.04.15"/>
    <s v="카카오광고"/>
    <n v="745"/>
  </r>
  <r>
    <s v="m.web"/>
    <x v="3"/>
    <x v="11"/>
    <s v="가정용 전기전자"/>
    <s v="가사용 전기전자"/>
    <s v="청소기"/>
    <s v="로보락S9MaxV"/>
    <x v="26"/>
    <s v="포털(대)포털(중)"/>
    <s v="-"/>
    <s v="-"/>
    <x v="0"/>
    <s v="25.04.16"/>
    <s v="25.04.16"/>
    <s v="카카오광고"/>
    <n v="745"/>
  </r>
  <r>
    <s v="m.web"/>
    <x v="3"/>
    <x v="11"/>
    <s v="가정용 전기전자"/>
    <s v="가사용 전기전자"/>
    <s v="청소기"/>
    <s v="로보락S9MaxV"/>
    <x v="63"/>
    <s v="포털(대)포털(중)"/>
    <s v="-"/>
    <s v="-"/>
    <x v="2"/>
    <s v="25.02.23"/>
    <s v="25.02.23"/>
    <s v="-"/>
    <n v="5094"/>
  </r>
  <r>
    <s v="m.web"/>
    <x v="3"/>
    <x v="11"/>
    <s v="가정용 전기전자"/>
    <s v="가사용 전기전자"/>
    <s v="청소기"/>
    <s v="로보락S9MaxV"/>
    <x v="63"/>
    <s v="포털(대)포털(중)"/>
    <s v="-"/>
    <s v="-"/>
    <x v="4"/>
    <s v="25.03.17"/>
    <s v="25.03.23"/>
    <s v="-"/>
    <n v="17826"/>
  </r>
  <r>
    <s v="m.web"/>
    <x v="3"/>
    <x v="11"/>
    <s v="가정용 전기전자"/>
    <s v="가사용 전기전자"/>
    <s v="청소기"/>
    <s v="로보락S9MaxV"/>
    <x v="63"/>
    <s v="포털(대)포털(중)"/>
    <s v="-"/>
    <s v="-"/>
    <x v="4"/>
    <s v="25.03.24"/>
    <s v="25.03.30"/>
    <s v="-"/>
    <n v="17826"/>
  </r>
  <r>
    <s v="m.web"/>
    <x v="3"/>
    <x v="11"/>
    <s v="가정용 전기전자"/>
    <s v="가사용 전기전자"/>
    <s v="청소기"/>
    <s v="로보락S9MaxV"/>
    <x v="27"/>
    <s v="포털(대)포털(중)"/>
    <s v="-"/>
    <s v="-"/>
    <x v="2"/>
    <s v="25.02.15"/>
    <s v="25.02.15"/>
    <s v="애드몹"/>
    <n v="1039"/>
  </r>
  <r>
    <s v="m.web"/>
    <x v="3"/>
    <x v="11"/>
    <s v="가정용 전기전자"/>
    <s v="가사용 전기전자"/>
    <s v="청소기"/>
    <s v="로보락S9MaxV"/>
    <x v="27"/>
    <s v="포털(대)포털(중)"/>
    <s v="-"/>
    <s v="-"/>
    <x v="2"/>
    <s v="25.02.17"/>
    <s v="25.02.17"/>
    <s v="애드몹"/>
    <n v="1039"/>
  </r>
  <r>
    <s v="m.web"/>
    <x v="3"/>
    <x v="11"/>
    <s v="가정용 전기전자"/>
    <s v="가사용 전기전자"/>
    <s v="청소기"/>
    <s v="로보락S9MaxV"/>
    <x v="0"/>
    <s v="신문/잡지(대)종합일간지(중)"/>
    <s v="-"/>
    <s v="-"/>
    <x v="2"/>
    <s v="25.02.27"/>
    <s v="25.02.27"/>
    <s v="애드몹"/>
    <n v="220"/>
  </r>
  <r>
    <s v="m.web"/>
    <x v="3"/>
    <x v="11"/>
    <s v="가정용 전기전자"/>
    <s v="가사용 전기전자"/>
    <s v="청소기"/>
    <s v="로보락S9MaxV"/>
    <x v="31"/>
    <s v="신문/잡지(대)스포츠신문(중)"/>
    <s v="-"/>
    <s v="-"/>
    <x v="4"/>
    <s v="25.03.05"/>
    <s v="25.03.05"/>
    <s v="카카오광고"/>
    <n v="23"/>
  </r>
  <r>
    <s v="m.web"/>
    <x v="3"/>
    <x v="11"/>
    <s v="가정용 전기전자"/>
    <s v="가사용 전기전자"/>
    <s v="청소기"/>
    <s v="로보락S9MaxV"/>
    <x v="31"/>
    <s v="신문/잡지(대)스포츠신문(중)"/>
    <s v="-"/>
    <s v="-"/>
    <x v="4"/>
    <s v="25.03.28"/>
    <s v="25.03.28"/>
    <s v="카카오광고"/>
    <n v="23"/>
  </r>
  <r>
    <s v="m.web"/>
    <x v="3"/>
    <x v="11"/>
    <s v="가정용 전기전자"/>
    <s v="가사용 전기전자"/>
    <s v="청소기"/>
    <s v="로보락S9MaxV"/>
    <x v="6"/>
    <s v="생활정보(대)쇼핑/가격정보(중)"/>
    <s v="-"/>
    <s v="-"/>
    <x v="4"/>
    <s v="25.03.28"/>
    <s v="25.03.28"/>
    <s v="카카오광고"/>
    <n v="23"/>
  </r>
  <r>
    <s v="m.web"/>
    <x v="3"/>
    <x v="11"/>
    <s v="가정용 전기전자"/>
    <s v="가사용 전기전자"/>
    <s v="청소기"/>
    <s v="로보락S9MaxV"/>
    <x v="6"/>
    <s v="생활정보(대)쇼핑/가격정보(중)"/>
    <s v="-"/>
    <s v="-"/>
    <x v="0"/>
    <s v="25.04.07"/>
    <s v="25.04.07"/>
    <s v="카카오광고"/>
    <n v="23"/>
  </r>
  <r>
    <s v="m.web"/>
    <x v="3"/>
    <x v="11"/>
    <s v="가정용 전기전자"/>
    <s v="가사용 전기전자"/>
    <s v="청소기"/>
    <s v="로보락S9MaxV"/>
    <x v="37"/>
    <s v="엔터테인먼트(대)엔터테인먼트 기타(중)"/>
    <s v="-"/>
    <s v="-"/>
    <x v="4"/>
    <s v="25.03.23"/>
    <s v="25.03.23"/>
    <s v="카카오광고"/>
    <n v="23"/>
  </r>
  <r>
    <s v="m.web"/>
    <x v="3"/>
    <x v="11"/>
    <s v="가정용 전기전자"/>
    <s v="가사용 전기전자"/>
    <s v="청소기"/>
    <s v="로보락S9MaxV"/>
    <x v="37"/>
    <s v="엔터테인먼트(대)엔터테인먼트 기타(중)"/>
    <s v="-"/>
    <s v="-"/>
    <x v="4"/>
    <s v="25.03.25"/>
    <s v="25.03.25"/>
    <s v="카카오광고"/>
    <n v="23"/>
  </r>
  <r>
    <s v="m.web"/>
    <x v="3"/>
    <x v="11"/>
    <s v="가정용 전기전자"/>
    <s v="가사용 전기전자"/>
    <s v="청소기"/>
    <s v="로보락S9MaxV"/>
    <x v="37"/>
    <s v="엔터테인먼트(대)엔터테인먼트 기타(중)"/>
    <s v="-"/>
    <s v="-"/>
    <x v="4"/>
    <s v="25.03.27"/>
    <s v="25.03.27"/>
    <s v="카카오광고"/>
    <n v="23"/>
  </r>
  <r>
    <s v="m.web"/>
    <x v="3"/>
    <x v="11"/>
    <s v="가정용 전기전자"/>
    <s v="가사용 전기전자"/>
    <s v="청소기"/>
    <s v="로보락S9MaxV"/>
    <x v="38"/>
    <s v="신문/잡지(대)온라인뉴스(중)"/>
    <s v="-"/>
    <s v="-"/>
    <x v="2"/>
    <s v="25.02.26"/>
    <s v="25.02.26"/>
    <s v="애드몹"/>
    <n v="220"/>
  </r>
  <r>
    <s v="m.web"/>
    <x v="3"/>
    <x v="11"/>
    <s v="가정용 전기전자"/>
    <s v="가사용 전기전자"/>
    <s v="청소기"/>
    <s v="로보락S9MaxV"/>
    <x v="9"/>
    <s v="신문/잡지(대)경제신문(중)"/>
    <s v="-"/>
    <s v="-"/>
    <x v="2"/>
    <s v="25.02.12"/>
    <s v="25.02.12"/>
    <s v="애드몹"/>
    <n v="220"/>
  </r>
  <r>
    <s v="m.web"/>
    <x v="3"/>
    <x v="11"/>
    <s v="가정용 전기전자"/>
    <s v="가사용 전기전자"/>
    <s v="청소기"/>
    <s v="로보락S9MaxV"/>
    <x v="11"/>
    <s v="신문/잡지(대)종합일간지(중)"/>
    <s v="-"/>
    <s v="-"/>
    <x v="4"/>
    <s v="25.03.24"/>
    <s v="25.03.24"/>
    <s v="카카오광고"/>
    <n v="22"/>
  </r>
  <r>
    <s v="m.web"/>
    <x v="3"/>
    <x v="11"/>
    <s v="가정용 전기전자"/>
    <s v="가사용 전기전자"/>
    <s v="청소기"/>
    <s v="로보락S9MaxV"/>
    <x v="12"/>
    <s v="신문/잡지(대)IT관련 뉴스(중)"/>
    <s v="-"/>
    <s v="-"/>
    <x v="4"/>
    <s v="25.03.21"/>
    <s v="25.03.21"/>
    <s v="카카오광고"/>
    <n v="23"/>
  </r>
  <r>
    <s v="m.web"/>
    <x v="3"/>
    <x v="11"/>
    <s v="가정용 전기전자"/>
    <s v="가사용 전기전자"/>
    <s v="청소기"/>
    <s v="로보락S9MaxV"/>
    <x v="45"/>
    <s v="신문/잡지(대)신문/잡지 기타(중)"/>
    <s v="-"/>
    <s v="-"/>
    <x v="2"/>
    <s v="25.02.20"/>
    <s v="25.02.20"/>
    <s v="애드몹"/>
    <n v="220"/>
  </r>
  <r>
    <s v="m.web"/>
    <x v="3"/>
    <x v="11"/>
    <s v="가정용 전기전자"/>
    <s v="가사용 전기전자"/>
    <s v="청소기"/>
    <s v="로보락S9MaxV"/>
    <x v="13"/>
    <s v="신문/잡지(대)IT관련 뉴스(중)"/>
    <s v="-"/>
    <s v="-"/>
    <x v="2"/>
    <s v="25.02.27"/>
    <s v="25.02.27"/>
    <s v="애드몹"/>
    <n v="220"/>
  </r>
  <r>
    <s v="m.web"/>
    <x v="3"/>
    <x v="11"/>
    <s v="가정용 전기전자"/>
    <s v="가사용 전기전자"/>
    <s v="청소기"/>
    <s v="로보락S9MaxV"/>
    <x v="46"/>
    <s v="신문/잡지(대)IT관련 뉴스(중)"/>
    <s v="-"/>
    <s v="-"/>
    <x v="2"/>
    <s v="25.02.10"/>
    <s v="25.02.10"/>
    <s v="애드몹"/>
    <n v="436"/>
  </r>
  <r>
    <s v="m.web"/>
    <x v="3"/>
    <x v="11"/>
    <s v="가정용 전기전자"/>
    <s v="가사용 전기전자"/>
    <s v="청소기"/>
    <s v="로보락S9MaxV"/>
    <x v="46"/>
    <s v="신문/잡지(대)IT관련 뉴스(중)"/>
    <s v="-"/>
    <s v="-"/>
    <x v="2"/>
    <s v="25.02.18"/>
    <s v="25.02.18"/>
    <s v="애드몹"/>
    <n v="436"/>
  </r>
  <r>
    <s v="m.web"/>
    <x v="3"/>
    <x v="11"/>
    <s v="가정용 전기전자"/>
    <s v="가사용 전기전자"/>
    <s v="청소기"/>
    <s v="로보락S9MaxV"/>
    <x v="46"/>
    <s v="신문/잡지(대)IT관련 뉴스(중)"/>
    <s v="-"/>
    <s v="-"/>
    <x v="2"/>
    <s v="25.02.19"/>
    <s v="25.02.19"/>
    <s v="애드몹"/>
    <n v="436"/>
  </r>
  <r>
    <s v="m.web"/>
    <x v="3"/>
    <x v="11"/>
    <s v="가정용 전기전자"/>
    <s v="가사용 전기전자"/>
    <s v="청소기"/>
    <s v="로보락S9MaxV"/>
    <x v="50"/>
    <s v="신문/잡지(대)경제신문(중)"/>
    <s v="-"/>
    <s v="-"/>
    <x v="4"/>
    <s v="25.03.26"/>
    <s v="25.03.26"/>
    <s v="카카오광고"/>
    <n v="23"/>
  </r>
  <r>
    <s v="m.web"/>
    <x v="3"/>
    <x v="11"/>
    <s v="가정용 전기전자"/>
    <s v="가사용 전기전자"/>
    <s v="청소기"/>
    <s v="로보락S9MaxV"/>
    <x v="51"/>
    <s v="신문/잡지(대)온라인뉴스(중)"/>
    <s v="-"/>
    <s v="-"/>
    <x v="4"/>
    <s v="25.03.26"/>
    <s v="25.03.26"/>
    <s v="카카오광고"/>
    <n v="23"/>
  </r>
  <r>
    <s v="m.web"/>
    <x v="3"/>
    <x v="11"/>
    <s v="가정용 전기전자"/>
    <s v="가사용 전기전자"/>
    <s v="청소기"/>
    <s v="로보락S9MaxV"/>
    <x v="51"/>
    <s v="신문/잡지(대)온라인뉴스(중)"/>
    <s v="-"/>
    <s v="-"/>
    <x v="0"/>
    <s v="25.04.23"/>
    <s v="25.04.23"/>
    <s v="카카오광고"/>
    <n v="23"/>
  </r>
  <r>
    <s v="m.web"/>
    <x v="3"/>
    <x v="11"/>
    <s v="가정용 전기전자"/>
    <s v="가사용 전기전자"/>
    <s v="청소기"/>
    <s v="로보락S9MaxV"/>
    <x v="22"/>
    <s v="커뮤니티(대)게시판(중)"/>
    <s v="-"/>
    <s v="-"/>
    <x v="2"/>
    <s v="25.02.14"/>
    <s v="25.02.14"/>
    <s v="애드몹"/>
    <n v="454"/>
  </r>
  <r>
    <s v="m.web"/>
    <x v="3"/>
    <x v="11"/>
    <s v="가정용 전기전자"/>
    <s v="가사용 전기전자"/>
    <s v="청소기"/>
    <s v="로보락S9MaxV"/>
    <x v="22"/>
    <s v="커뮤니티(대)게시판(중)"/>
    <s v="-"/>
    <s v="-"/>
    <x v="0"/>
    <s v="25.04.14"/>
    <s v="25.04.14"/>
    <s v="카카오광고"/>
    <n v="47"/>
  </r>
  <r>
    <s v="m.web"/>
    <x v="3"/>
    <x v="11"/>
    <s v="가정용 전기전자"/>
    <s v="가사용 전기전자"/>
    <s v="청소기"/>
    <s v="로보락S9MaxV"/>
    <x v="54"/>
    <s v="신문/잡지(대)스포츠신문(중)"/>
    <s v="-"/>
    <s v="-"/>
    <x v="0"/>
    <s v="25.04.12"/>
    <s v="25.04.12"/>
    <s v="카카오광고"/>
    <n v="23"/>
  </r>
  <r>
    <s v="m.web"/>
    <x v="3"/>
    <x v="11"/>
    <s v="가정용 전기전자"/>
    <s v="가사용 전기전자"/>
    <s v="청소기"/>
    <s v="로보락S9MaxV"/>
    <x v="55"/>
    <s v="엔터테인먼트(대)게임(중)"/>
    <s v="-"/>
    <s v="-"/>
    <x v="2"/>
    <s v="25.02.16"/>
    <s v="25.02.16"/>
    <s v="애드몹"/>
    <n v="976"/>
  </r>
  <r>
    <s v="m.web"/>
    <x v="3"/>
    <x v="11"/>
    <s v="가정용 전기전자"/>
    <s v="가사용 전기전자"/>
    <s v="청소기"/>
    <s v="로보락S9MaxV"/>
    <x v="55"/>
    <s v="엔터테인먼트(대)게임(중)"/>
    <s v="-"/>
    <s v="-"/>
    <x v="2"/>
    <s v="25.02.27"/>
    <s v="25.02.27"/>
    <s v="애드몹"/>
    <n v="976"/>
  </r>
  <r>
    <s v="m.app"/>
    <x v="3"/>
    <x v="11"/>
    <s v="가정용 전기전자"/>
    <s v="가사용 전기전자"/>
    <s v="청소기"/>
    <s v="로보락S9MaxV"/>
    <x v="106"/>
    <s v="모바일(대)엔터테인먼트(중)"/>
    <s v="-"/>
    <s v="-"/>
    <x v="2"/>
    <s v="25.02.11"/>
    <s v="25.02.11"/>
    <s v="애드몹"/>
    <n v="128"/>
  </r>
  <r>
    <s v="m.app"/>
    <x v="3"/>
    <x v="11"/>
    <s v="가정용 전기전자"/>
    <s v="가사용 전기전자"/>
    <s v="청소기"/>
    <s v="로보락S9MaxV"/>
    <x v="106"/>
    <s v="모바일(대)엔터테인먼트(중)"/>
    <s v="-"/>
    <s v="-"/>
    <x v="2"/>
    <s v="25.02.17"/>
    <s v="25.02.17"/>
    <s v="애드몹"/>
    <n v="128"/>
  </r>
  <r>
    <s v="m.app"/>
    <x v="3"/>
    <x v="11"/>
    <s v="가정용 전기전자"/>
    <s v="가사용 전기전자"/>
    <s v="청소기"/>
    <s v="로보락S9MaxV"/>
    <x v="118"/>
    <s v="엔터테인먼트(대)엔터테인먼트 기타(중)"/>
    <s v="-"/>
    <s v="-"/>
    <x v="2"/>
    <s v="25.02.20"/>
    <s v="25.02.20"/>
    <s v="애드몹"/>
    <n v="128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2"/>
    <s v="25.02.05"/>
    <s v="25.02.05"/>
    <s v="카카오광고"/>
    <n v="5895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2"/>
    <s v="25.02.23"/>
    <s v="25.02.23"/>
    <s v="카카오광고"/>
    <n v="5895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2"/>
    <s v="25.02.24"/>
    <s v="25.02.24"/>
    <s v="카카오광고"/>
    <n v="5895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2"/>
    <s v="25.02.25"/>
    <s v="25.02.25"/>
    <s v="카카오광고"/>
    <n v="5895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2"/>
    <s v="25.02.26"/>
    <s v="25.02.26"/>
    <s v="카카오광고"/>
    <n v="5895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05"/>
    <s v="25.03.05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07"/>
    <s v="25.03.07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10"/>
    <s v="25.03.10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15"/>
    <s v="25.03.15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17"/>
    <s v="25.03.19"/>
    <s v="카카오광고"/>
    <n v="20798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20"/>
    <s v="25.03.20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22"/>
    <s v="25.03.22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24"/>
    <s v="25.03.24"/>
    <s v="카카오광고"/>
    <n v="6933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28"/>
    <s v="25.03.30"/>
    <s v="카카오광고"/>
    <n v="20798"/>
  </r>
  <r>
    <s v="m.app"/>
    <x v="3"/>
    <x v="11"/>
    <s v="가정용 전기전자"/>
    <s v="가사용 전기전자"/>
    <s v="청소기"/>
    <s v="로보락S9MaxV"/>
    <x v="72"/>
    <s v="커뮤니케이션(대)채팅/메신저(중)"/>
    <s v="-"/>
    <s v="-"/>
    <x v="4"/>
    <s v="25.03.31"/>
    <s v="25.03.31"/>
    <s v="카카오광고"/>
    <n v="6933"/>
  </r>
  <r>
    <s v="m.app"/>
    <x v="3"/>
    <x v="11"/>
    <s v="가정용 전기전자"/>
    <s v="가사용 전기전자"/>
    <s v="청소기"/>
    <s v="로보락S9MaxV"/>
    <x v="119"/>
    <s v="모바일(대)도구/유틸리티(중)"/>
    <s v="-"/>
    <s v="-"/>
    <x v="2"/>
    <s v="25.02.14"/>
    <s v="25.02.14"/>
    <s v="애드몹"/>
    <n v="128"/>
  </r>
  <r>
    <s v="m.app"/>
    <x v="3"/>
    <x v="11"/>
    <s v="가정용 전기전자"/>
    <s v="가사용 전기전자"/>
    <s v="청소기"/>
    <s v="로보락S9MaxV"/>
    <x v="120"/>
    <s v="생활정보(대)교통/날씨(중)"/>
    <s v="-"/>
    <s v="-"/>
    <x v="2"/>
    <s v="25.02.11"/>
    <s v="25.02.11"/>
    <s v="애드몹"/>
    <n v="128"/>
  </r>
  <r>
    <s v="m.app"/>
    <x v="3"/>
    <x v="11"/>
    <s v="가정용 전기전자"/>
    <s v="가사용 전기전자"/>
    <s v="청소기"/>
    <s v="로보락S9MaxV"/>
    <x v="120"/>
    <s v="생활정보(대)교통/날씨(중)"/>
    <s v="-"/>
    <s v="-"/>
    <x v="2"/>
    <s v="25.02.20"/>
    <s v="25.02.20"/>
    <s v="애드몹"/>
    <n v="128"/>
  </r>
  <r>
    <s v="m.web"/>
    <x v="3"/>
    <x v="11"/>
    <s v="가정용 전기전자"/>
    <s v="가사용 전기전자"/>
    <s v="청소기"/>
    <s v="로보락S9MaxV"/>
    <x v="52"/>
    <s v="신문/잡지(대)온라인뉴스(중)"/>
    <s v="-"/>
    <s v="-"/>
    <x v="2"/>
    <s v="25.02.09"/>
    <s v="25.02.09"/>
    <s v="애드몹"/>
    <n v="384"/>
  </r>
  <r>
    <s v="m.web"/>
    <x v="3"/>
    <x v="11"/>
    <s v="가정용 전기전자"/>
    <s v="가사용 전기전자"/>
    <s v="청소기"/>
    <s v="로보락S9MaxV"/>
    <x v="52"/>
    <s v="신문/잡지(대)온라인뉴스(중)"/>
    <s v="-"/>
    <s v="-"/>
    <x v="2"/>
    <s v="25.02.10"/>
    <s v="25.02.10"/>
    <s v="애드몹"/>
    <n v="384"/>
  </r>
  <r>
    <s v="m.web"/>
    <x v="3"/>
    <x v="11"/>
    <s v="가정용 전기전자"/>
    <s v="가사용 전기전자"/>
    <s v="청소기"/>
    <s v="로보락S9MaxV"/>
    <x v="52"/>
    <s v="신문/잡지(대)온라인뉴스(중)"/>
    <s v="-"/>
    <s v="-"/>
    <x v="2"/>
    <s v="25.02.19"/>
    <s v="25.02.19"/>
    <s v="애드몹"/>
    <n v="384"/>
  </r>
  <r>
    <s v="m.web"/>
    <x v="3"/>
    <x v="11"/>
    <s v="가정용 전기전자"/>
    <s v="가사용 전기전자"/>
    <s v="청소기"/>
    <s v="로보락S9MaxV"/>
    <x v="52"/>
    <s v="신문/잡지(대)온라인뉴스(중)"/>
    <s v="-"/>
    <s v="-"/>
    <x v="2"/>
    <s v="25.02.27"/>
    <s v="25.02.27"/>
    <s v="애드몹"/>
    <n v="768"/>
  </r>
  <r>
    <s v="m.app"/>
    <x v="3"/>
    <x v="11"/>
    <s v="가정용 전기전자"/>
    <s v="가사용 전기전자"/>
    <s v="청소기"/>
    <s v="로보락S9MaxV"/>
    <x v="121"/>
    <s v="생활정보(대)교통/날씨(중)"/>
    <s v="-"/>
    <s v="-"/>
    <x v="2"/>
    <s v="25.02.09"/>
    <s v="25.02.09"/>
    <s v="애드몹"/>
    <n v="128"/>
  </r>
  <r>
    <s v="m.app"/>
    <x v="3"/>
    <x v="11"/>
    <s v="가정용 전기전자"/>
    <s v="가사용 전기전자"/>
    <s v="청소기"/>
    <s v="로보락S9MaxV"/>
    <x v="121"/>
    <s v="생활정보(대)교통/날씨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78"/>
    <s v="모바일(대)모바일기타(중)"/>
    <s v="-"/>
    <s v="-"/>
    <x v="2"/>
    <s v="25.02.28"/>
    <s v="25.02.28"/>
    <s v="카카오광고"/>
    <n v="13"/>
  </r>
  <r>
    <s v="m.app"/>
    <x v="3"/>
    <x v="11"/>
    <s v="가정용 전기전자"/>
    <s v="가사용 전기전자"/>
    <s v="청소기"/>
    <s v="로보락S9MaxV"/>
    <x v="122"/>
    <s v="엔터테인먼트(대)엔터테인먼트 기타(중)"/>
    <s v="-"/>
    <s v="-"/>
    <x v="2"/>
    <s v="25.02.14"/>
    <s v="25.02.14"/>
    <s v="애드몹"/>
    <n v="128"/>
  </r>
  <r>
    <s v="m.app"/>
    <x v="3"/>
    <x v="11"/>
    <s v="가정용 전기전자"/>
    <s v="가사용 전기전자"/>
    <s v="청소기"/>
    <s v="로보락S9MaxV"/>
    <x v="122"/>
    <s v="엔터테인먼트(대)엔터테인먼트 기타(중)"/>
    <s v="-"/>
    <s v="-"/>
    <x v="2"/>
    <s v="25.02.17"/>
    <s v="25.02.17"/>
    <s v="애드몹"/>
    <n v="128"/>
  </r>
  <r>
    <s v="m.app"/>
    <x v="3"/>
    <x v="11"/>
    <s v="가정용 전기전자"/>
    <s v="가사용 전기전자"/>
    <s v="청소기"/>
    <s v="로보락S9MaxV"/>
    <x v="80"/>
    <s v="엔터테인먼트(대)엔터테인먼트 기타(중)"/>
    <s v="-"/>
    <s v="-"/>
    <x v="2"/>
    <s v="25.02.17"/>
    <s v="25.02.17"/>
    <s v="애드몹"/>
    <n v="256"/>
  </r>
  <r>
    <s v="m.app"/>
    <x v="3"/>
    <x v="11"/>
    <s v="가정용 전기전자"/>
    <s v="가사용 전기전자"/>
    <s v="청소기"/>
    <s v="로보락S9MaxV"/>
    <x v="80"/>
    <s v="엔터테인먼트(대)엔터테인먼트 기타(중)"/>
    <s v="-"/>
    <s v="-"/>
    <x v="2"/>
    <s v="25.02.19"/>
    <s v="25.02.19"/>
    <s v="애드몹"/>
    <n v="128"/>
  </r>
  <r>
    <s v="m.app"/>
    <x v="3"/>
    <x v="11"/>
    <s v="가정용 전기전자"/>
    <s v="가사용 전기전자"/>
    <s v="청소기"/>
    <s v="로보락S9MaxV"/>
    <x v="123"/>
    <s v="방송(대)방송기타(중)"/>
    <s v="-"/>
    <s v="-"/>
    <x v="2"/>
    <s v="25.02.27"/>
    <s v="25.02.27"/>
    <s v="애드몹"/>
    <n v="128"/>
  </r>
  <r>
    <s v="m.app"/>
    <x v="3"/>
    <x v="11"/>
    <s v="가정용 전기전자"/>
    <s v="가사용 전기전자"/>
    <s v="청소기"/>
    <s v="로보락S9MaxV"/>
    <x v="123"/>
    <s v="방송(대)방송기타(중)"/>
    <s v="-"/>
    <s v="-"/>
    <x v="4"/>
    <s v="25.03.01"/>
    <s v="25.03.02"/>
    <s v="애드몹"/>
    <n v="266"/>
  </r>
  <r>
    <s v="m.app"/>
    <x v="3"/>
    <x v="11"/>
    <s v="가정용 전기전자"/>
    <s v="가사용 전기전자"/>
    <s v="청소기"/>
    <s v="로보락S9MaxV"/>
    <x v="81"/>
    <s v="모바일(대)도구/유틸리티(중)"/>
    <s v="-"/>
    <s v="-"/>
    <x v="2"/>
    <s v="25.02.07"/>
    <s v="25.02.07"/>
    <s v="애드몹"/>
    <n v="128"/>
  </r>
  <r>
    <s v="m.app"/>
    <x v="3"/>
    <x v="11"/>
    <s v="가정용 전기전자"/>
    <s v="가사용 전기전자"/>
    <s v="청소기"/>
    <s v="로보락S9MaxV"/>
    <x v="113"/>
    <s v="모바일(대)도구/유틸리티(중)"/>
    <s v="-"/>
    <s v="-"/>
    <x v="2"/>
    <s v="25.02.09"/>
    <s v="25.02.09"/>
    <s v="애드몹"/>
    <n v="128"/>
  </r>
  <r>
    <s v="m.app"/>
    <x v="3"/>
    <x v="11"/>
    <s v="가정용 전기전자"/>
    <s v="가사용 전기전자"/>
    <s v="청소기"/>
    <s v="로보락S9MaxV"/>
    <x v="113"/>
    <s v="모바일(대)도구/유틸리티(중)"/>
    <s v="-"/>
    <s v="-"/>
    <x v="2"/>
    <s v="25.02.11"/>
    <s v="25.02.11"/>
    <s v="애드몹"/>
    <n v="128"/>
  </r>
  <r>
    <s v="m.app"/>
    <x v="3"/>
    <x v="11"/>
    <s v="가정용 전기전자"/>
    <s v="가사용 전기전자"/>
    <s v="청소기"/>
    <s v="로보락S9MaxV"/>
    <x v="113"/>
    <s v="모바일(대)도구/유틸리티(중)"/>
    <s v="-"/>
    <s v="-"/>
    <x v="2"/>
    <s v="25.02.15"/>
    <s v="25.02.15"/>
    <s v="애드몹"/>
    <n v="128"/>
  </r>
  <r>
    <s v="m.app"/>
    <x v="3"/>
    <x v="11"/>
    <s v="가정용 전기전자"/>
    <s v="가사용 전기전자"/>
    <s v="청소기"/>
    <s v="로보락S9MaxV"/>
    <x v="113"/>
    <s v="모바일(대)도구/유틸리티(중)"/>
    <s v="-"/>
    <s v="-"/>
    <x v="2"/>
    <s v="25.02.18"/>
    <s v="25.02.19"/>
    <s v="애드몹"/>
    <n v="257"/>
  </r>
  <r>
    <s v="m.web"/>
    <x v="3"/>
    <x v="11"/>
    <s v="가정용 전기전자"/>
    <s v="가사용 전기전자"/>
    <s v="청소기"/>
    <s v="로보락S9MaxV"/>
    <x v="62"/>
    <s v="생활정보(대)쇼핑/가격정보(중)"/>
    <s v="-"/>
    <s v="-"/>
    <x v="2"/>
    <s v="25.02.21"/>
    <s v="25.02.21"/>
    <s v="-"/>
    <n v="66"/>
  </r>
  <r>
    <s v="m.web"/>
    <x v="3"/>
    <x v="11"/>
    <s v="가정용 전기전자"/>
    <s v="가사용 전기전자"/>
    <s v="청소기"/>
    <s v="로보락S9MaxV"/>
    <x v="62"/>
    <s v="생활정보(대)쇼핑/가격정보(중)"/>
    <s v="-"/>
    <s v="-"/>
    <x v="4"/>
    <s v="25.03.04"/>
    <s v="25.03.04"/>
    <s v="-"/>
    <n v="132"/>
  </r>
  <r>
    <s v="m.web"/>
    <x v="3"/>
    <x v="11"/>
    <s v="가정용 전기전자"/>
    <s v="가사용 전기전자"/>
    <s v="청소기"/>
    <s v="로보락S9MaxV"/>
    <x v="62"/>
    <s v="생활정보(대)쇼핑/가격정보(중)"/>
    <s v="-"/>
    <s v="-"/>
    <x v="0"/>
    <s v="25.04.26"/>
    <s v="25.04.26"/>
    <s v="-"/>
    <n v="66"/>
  </r>
  <r>
    <s v="m.web"/>
    <x v="3"/>
    <x v="11"/>
    <s v="가정용 전기전자"/>
    <s v="가사용 전기전자"/>
    <s v="청소기"/>
    <s v="로보락S9MaxV"/>
    <x v="62"/>
    <s v="생활정보(대)쇼핑/가격정보(중)"/>
    <s v="-"/>
    <s v="-"/>
    <x v="1"/>
    <s v="25.05.06"/>
    <s v="25.05.06"/>
    <s v="-"/>
    <n v="66"/>
  </r>
  <r>
    <s v="m.web"/>
    <x v="3"/>
    <x v="11"/>
    <s v="가정용 전기전자"/>
    <s v="가사용 전기전자"/>
    <s v="청소기"/>
    <s v="로보락S9MaxV"/>
    <x v="62"/>
    <s v="생활정보(대)쇼핑/가격정보(중)"/>
    <s v="-"/>
    <s v="-"/>
    <x v="1"/>
    <s v="25.05.29"/>
    <s v="25.05.29"/>
    <s v="-"/>
    <n v="66"/>
  </r>
  <r>
    <s v="m.app"/>
    <x v="3"/>
    <x v="11"/>
    <s v="가정용 전기전자"/>
    <s v="가사용 전기전자"/>
    <s v="청소기"/>
    <s v="로보락S9MaxV"/>
    <x v="83"/>
    <s v="모바일(대)도구/유틸리티(중)"/>
    <s v="-"/>
    <s v="-"/>
    <x v="2"/>
    <s v="25.02.16"/>
    <s v="25.02.16"/>
    <s v="애드몹"/>
    <n v="128"/>
  </r>
  <r>
    <s v="m.app"/>
    <x v="3"/>
    <x v="11"/>
    <s v="가정용 전기전자"/>
    <s v="가사용 전기전자"/>
    <s v="청소기"/>
    <s v="로보락S9MaxV"/>
    <x v="124"/>
    <s v="모바일(대)라이프스타일(중)"/>
    <s v="-"/>
    <s v="-"/>
    <x v="2"/>
    <s v="25.02.12"/>
    <s v="25.02.12"/>
    <s v="애드몹"/>
    <n v="128"/>
  </r>
  <r>
    <s v="m.app"/>
    <x v="3"/>
    <x v="11"/>
    <s v="가정용 전기전자"/>
    <s v="가사용 전기전자"/>
    <s v="청소기"/>
    <s v="로보락S9MaxV"/>
    <x v="125"/>
    <s v="엔터테인먼트(대)엔터테인먼트 기타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26"/>
    <s v="모바일(대)도구/유틸리티(중)"/>
    <s v="-"/>
    <s v="-"/>
    <x v="2"/>
    <s v="25.02.13"/>
    <s v="25.02.13"/>
    <s v="애드몹"/>
    <n v="128"/>
  </r>
  <r>
    <s v="m.app"/>
    <x v="3"/>
    <x v="11"/>
    <s v="가정용 전기전자"/>
    <s v="가사용 전기전자"/>
    <s v="청소기"/>
    <s v="로보락S9MaxV"/>
    <x v="127"/>
    <s v="엔터테인먼트(대)엔터테인먼트 기타(중)"/>
    <s v="-"/>
    <s v="-"/>
    <x v="2"/>
    <s v="25.02.13"/>
    <s v="25.02.13"/>
    <s v="애드몹"/>
    <n v="128"/>
  </r>
  <r>
    <s v="m.app"/>
    <x v="3"/>
    <x v="11"/>
    <s v="가정용 전기전자"/>
    <s v="가사용 전기전자"/>
    <s v="청소기"/>
    <s v="로보락S9MaxV"/>
    <x v="128"/>
    <s v="생활정보(대)교통/날씨(중)"/>
    <s v="-"/>
    <s v="-"/>
    <x v="2"/>
    <s v="25.02.19"/>
    <s v="25.02.19"/>
    <s v="애드몹"/>
    <n v="128"/>
  </r>
  <r>
    <s v="m.web"/>
    <x v="3"/>
    <x v="11"/>
    <s v="가정용 전기전자"/>
    <s v="가사용 전기전자"/>
    <s v="청소기"/>
    <s v="로보락S9MaxV"/>
    <x v="20"/>
    <s v="생활정보(대)쇼핑/가격정보(중)"/>
    <s v="-"/>
    <s v="-"/>
    <x v="2"/>
    <s v="25.02.09"/>
    <s v="25.02.09"/>
    <s v="애드몹"/>
    <n v="139"/>
  </r>
  <r>
    <s v="m.web"/>
    <x v="3"/>
    <x v="11"/>
    <s v="가정용 전기전자"/>
    <s v="가사용 전기전자"/>
    <s v="청소기"/>
    <s v="로보락S9MaxV"/>
    <x v="20"/>
    <s v="생활정보(대)쇼핑/가격정보(중)"/>
    <s v="-"/>
    <s v="-"/>
    <x v="2"/>
    <s v="25.02.17"/>
    <s v="25.02.17"/>
    <s v="애드몹"/>
    <n v="139"/>
  </r>
  <r>
    <s v="m.web"/>
    <x v="3"/>
    <x v="11"/>
    <s v="가정용 전기전자"/>
    <s v="가사용 전기전자"/>
    <s v="청소기"/>
    <s v="로보락S9MaxV"/>
    <x v="39"/>
    <s v="금융/비즈니스(대)금융정보(중)"/>
    <s v="-"/>
    <s v="-"/>
    <x v="2"/>
    <s v="25.02.19"/>
    <s v="25.02.19"/>
    <s v="애드몹"/>
    <n v="139"/>
  </r>
  <r>
    <s v="m.web"/>
    <x v="3"/>
    <x v="11"/>
    <s v="가정용 전기전자"/>
    <s v="가사용 전기전자"/>
    <s v="청소기"/>
    <s v="로보락S9MaxV"/>
    <x v="68"/>
    <s v="생활정보(대)여성/육아(중)"/>
    <s v="-"/>
    <s v="-"/>
    <x v="2"/>
    <s v="25.02.09"/>
    <s v="25.02.09"/>
    <s v="애드몹"/>
    <n v="139"/>
  </r>
  <r>
    <s v="m.app"/>
    <x v="3"/>
    <x v="11"/>
    <s v="가정용 전기전자"/>
    <s v="가사용 전기전자"/>
    <s v="청소기"/>
    <s v="로보락S9MaxV"/>
    <x v="114"/>
    <s v="모바일(대)도구/유틸리티(중)"/>
    <s v="-"/>
    <s v="-"/>
    <x v="2"/>
    <s v="25.02.07"/>
    <s v="25.02.07"/>
    <s v="애드몹"/>
    <n v="128"/>
  </r>
  <r>
    <s v="m.app"/>
    <x v="3"/>
    <x v="11"/>
    <s v="가정용 전기전자"/>
    <s v="가사용 전기전자"/>
    <s v="청소기"/>
    <s v="로보락S9MaxV"/>
    <x v="116"/>
    <s v="방송(대)인터넷방송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29"/>
    <s v="모바일(대)도구/유틸리티(중)"/>
    <s v="-"/>
    <s v="-"/>
    <x v="2"/>
    <s v="25.02.10"/>
    <s v="25.02.15"/>
    <s v="애드몹"/>
    <n v="770"/>
  </r>
  <r>
    <s v="m.app"/>
    <x v="3"/>
    <x v="11"/>
    <s v="가정용 전기전자"/>
    <s v="가사용 전기전자"/>
    <s v="청소기"/>
    <s v="로보락S9MaxV"/>
    <x v="129"/>
    <s v="모바일(대)도구/유틸리티(중)"/>
    <s v="-"/>
    <s v="-"/>
    <x v="2"/>
    <s v="25.02.16"/>
    <s v="25.02.16"/>
    <s v="애드몹"/>
    <n v="128"/>
  </r>
  <r>
    <s v="m.app"/>
    <x v="3"/>
    <x v="11"/>
    <s v="가정용 전기전자"/>
    <s v="가사용 전기전자"/>
    <s v="청소기"/>
    <s v="로보락S9MaxV"/>
    <x v="130"/>
    <s v="엔터테인먼트(대)게임(중)"/>
    <s v="-"/>
    <s v="-"/>
    <x v="2"/>
    <s v="25.02.17"/>
    <s v="25.02.17"/>
    <s v="카카오광고"/>
    <n v="13"/>
  </r>
  <r>
    <s v="m.app"/>
    <x v="3"/>
    <x v="11"/>
    <s v="가정용 전기전자"/>
    <s v="가사용 전기전자"/>
    <s v="청소기"/>
    <s v="로보락S9MaxV"/>
    <x v="71"/>
    <s v="모바일(대)모바일기타(중)"/>
    <s v="-"/>
    <s v="-"/>
    <x v="2"/>
    <s v="25.02.18"/>
    <s v="25.02.23"/>
    <s v="버즈빌"/>
    <n v="4077"/>
  </r>
  <r>
    <s v="m.app"/>
    <x v="3"/>
    <x v="11"/>
    <s v="가정용 전기전자"/>
    <s v="가사용 전기전자"/>
    <s v="청소기"/>
    <s v="로보락S9MaxV"/>
    <x v="71"/>
    <s v="모바일(대)모바일기타(중)"/>
    <s v="-"/>
    <s v="-"/>
    <x v="2"/>
    <s v="25.02.24"/>
    <s v="25.02.25"/>
    <s v="버즈빌"/>
    <n v="1359"/>
  </r>
  <r>
    <s v="m.app"/>
    <x v="3"/>
    <x v="11"/>
    <s v="가정용 전기전자"/>
    <s v="가사용 전기전자"/>
    <s v="청소기"/>
    <s v="로보락S9MaxV"/>
    <x v="71"/>
    <s v="모바일(대)모바일기타(중)"/>
    <s v="-"/>
    <s v="-"/>
    <x v="2"/>
    <s v="25.02.26"/>
    <s v="25.02.26"/>
    <s v="버즈빌"/>
    <n v="680"/>
  </r>
  <r>
    <s v="m.app"/>
    <x v="3"/>
    <x v="11"/>
    <s v="가정용 전기전자"/>
    <s v="가사용 전기전자"/>
    <s v="청소기"/>
    <s v="로보락S9MaxV"/>
    <x v="71"/>
    <s v="모바일(대)모바일기타(중)"/>
    <s v="-"/>
    <s v="-"/>
    <x v="4"/>
    <s v="25.03.09"/>
    <s v="25.03.09"/>
    <s v="버즈빌"/>
    <n v="680"/>
  </r>
  <r>
    <s v="m.app"/>
    <x v="3"/>
    <x v="11"/>
    <s v="가정용 전기전자"/>
    <s v="가사용 전기전자"/>
    <s v="청소기"/>
    <s v="로보락S9MaxV"/>
    <x v="71"/>
    <s v="모바일(대)모바일기타(중)"/>
    <s v="-"/>
    <s v="-"/>
    <x v="4"/>
    <s v="25.03.11"/>
    <s v="25.03.11"/>
    <s v="버즈빌"/>
    <n v="680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2"/>
    <s v="25.02.06"/>
    <s v="25.02.07"/>
    <s v="-"/>
    <n v="1637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2"/>
    <s v="25.02.08"/>
    <s v="25.02.08"/>
    <s v="-"/>
    <n v="819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2"/>
    <s v="25.02.26"/>
    <s v="25.02.26"/>
    <s v="-"/>
    <n v="819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2"/>
    <s v="25.02.28"/>
    <s v="25.02.28"/>
    <s v="-"/>
    <n v="819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4"/>
    <s v="25.03.01"/>
    <s v="25.03.02"/>
    <s v="-"/>
    <n v="1637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4"/>
    <s v="25.03.03"/>
    <s v="25.03.04"/>
    <s v="-"/>
    <n v="1637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0"/>
    <s v="25.04.17"/>
    <s v="25.04.20"/>
    <s v="-"/>
    <n v="1613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0"/>
    <s v="25.04.21"/>
    <s v="25.04.27"/>
    <s v="-"/>
    <n v="2823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0"/>
    <s v="25.04.28"/>
    <s v="25.04.29"/>
    <s v="-"/>
    <n v="807"/>
  </r>
  <r>
    <s v="m.app"/>
    <x v="3"/>
    <x v="11"/>
    <s v="가정용 전기전자"/>
    <s v="가사용 전기전자"/>
    <s v="청소기"/>
    <s v="로보락S9MaxV"/>
    <x v="74"/>
    <s v="커뮤니티(대)홈페이지(중)"/>
    <s v="-"/>
    <s v="-"/>
    <x v="1"/>
    <s v="25.05.15"/>
    <s v="25.05.16"/>
    <s v="-"/>
    <n v="1121"/>
  </r>
  <r>
    <s v="m.app"/>
    <x v="3"/>
    <x v="11"/>
    <s v="가정용 전기전자"/>
    <s v="가사용 전기전자"/>
    <s v="청소기"/>
    <s v="로보락S9MaxV"/>
    <x v="95"/>
    <s v="모바일(대)라이프스타일(중)"/>
    <s v="-"/>
    <s v="-"/>
    <x v="2"/>
    <s v="25.02.15"/>
    <s v="25.02.15"/>
    <s v="애드몹"/>
    <n v="128"/>
  </r>
  <r>
    <s v="m.app"/>
    <x v="3"/>
    <x v="11"/>
    <s v="가정용 전기전자"/>
    <s v="가사용 전기전자"/>
    <s v="청소기"/>
    <s v="로보락S9MaxV"/>
    <x v="131"/>
    <s v="모바일(대)엔터테인먼트(중)"/>
    <s v="-"/>
    <s v="-"/>
    <x v="1"/>
    <s v="25.05.07"/>
    <s v="25.05.07"/>
    <s v="애드몹"/>
    <n v="147"/>
  </r>
  <r>
    <s v="m.app"/>
    <x v="3"/>
    <x v="11"/>
    <s v="가정용 전기전자"/>
    <s v="가사용 전기전자"/>
    <s v="청소기"/>
    <s v="로보락S9MaxV"/>
    <x v="132"/>
    <s v="모바일(대)엔터테인먼트(중)"/>
    <s v="-"/>
    <s v="-"/>
    <x v="2"/>
    <s v="25.02.13"/>
    <s v="25.02.13"/>
    <s v="애드몹"/>
    <n v="128"/>
  </r>
  <r>
    <s v="m.app"/>
    <x v="3"/>
    <x v="11"/>
    <s v="가정용 전기전자"/>
    <s v="가사용 전기전자"/>
    <s v="청소기"/>
    <s v="로보락S9MaxV"/>
    <x v="132"/>
    <s v="모바일(대)엔터테인먼트(중)"/>
    <s v="-"/>
    <s v="-"/>
    <x v="2"/>
    <s v="25.02.18"/>
    <s v="25.02.18"/>
    <s v="애드몹"/>
    <n v="128"/>
  </r>
  <r>
    <s v="m.app"/>
    <x v="3"/>
    <x v="11"/>
    <s v="가정용 전기전자"/>
    <s v="가사용 전기전자"/>
    <s v="청소기"/>
    <s v="로보락S9MaxV"/>
    <x v="133"/>
    <s v="모바일(대)엔터테인먼트(중)"/>
    <s v="-"/>
    <s v="-"/>
    <x v="2"/>
    <s v="25.02.07"/>
    <s v="25.02.07"/>
    <s v="애드몹"/>
    <n v="128"/>
  </r>
  <r>
    <s v="m.app"/>
    <x v="3"/>
    <x v="11"/>
    <s v="가정용 전기전자"/>
    <s v="가사용 전기전자"/>
    <s v="청소기"/>
    <s v="로보락S9MaxV"/>
    <x v="134"/>
    <s v="엔터테인먼트(대)게임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35"/>
    <s v="생활정보(대)교통/날씨(중)"/>
    <s v="-"/>
    <s v="-"/>
    <x v="2"/>
    <s v="25.02.07"/>
    <s v="25.02.07"/>
    <s v="애드몹"/>
    <n v="256"/>
  </r>
  <r>
    <s v="m.app"/>
    <x v="3"/>
    <x v="11"/>
    <s v="가정용 전기전자"/>
    <s v="가사용 전기전자"/>
    <s v="청소기"/>
    <s v="로보락S9MaxV"/>
    <x v="136"/>
    <s v="생활정보(대)생활정보 기타(중)"/>
    <s v="-"/>
    <s v="-"/>
    <x v="2"/>
    <s v="25.02.08"/>
    <s v="25.02.08"/>
    <s v="애드몹"/>
    <n v="128"/>
  </r>
  <r>
    <s v="m.app"/>
    <x v="3"/>
    <x v="11"/>
    <s v="가정용 전기전자"/>
    <s v="가사용 전기전자"/>
    <s v="청소기"/>
    <s v="로보락S9MaxV"/>
    <x v="137"/>
    <s v="생활정보(대)생활정보 기타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38"/>
    <s v="생활정보(대)교통/날씨(중)"/>
    <s v="-"/>
    <s v="-"/>
    <x v="2"/>
    <s v="25.02.08"/>
    <s v="25.02.08"/>
    <s v="애드몹"/>
    <n v="128"/>
  </r>
  <r>
    <s v="m.app"/>
    <x v="3"/>
    <x v="11"/>
    <s v="가정용 전기전자"/>
    <s v="가사용 전기전자"/>
    <s v="청소기"/>
    <s v="로보락S9MaxV"/>
    <x v="139"/>
    <s v="생활정보(대)생활정보 기타(중)"/>
    <s v="-"/>
    <s v="-"/>
    <x v="2"/>
    <s v="25.02.07"/>
    <s v="25.02.07"/>
    <s v="애드몹"/>
    <n v="128"/>
  </r>
  <r>
    <s v="m.app"/>
    <x v="3"/>
    <x v="11"/>
    <s v="가정용 전기전자"/>
    <s v="가사용 전기전자"/>
    <s v="청소기"/>
    <s v="로보락S9MaxV"/>
    <x v="140"/>
    <s v="생활정보(대)생활정보 기타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41"/>
    <s v="엔터테인먼트(대)게임(중)"/>
    <s v="-"/>
    <s v="-"/>
    <x v="1"/>
    <s v="25.05.07"/>
    <s v="25.05.07"/>
    <s v="애드몹"/>
    <n v="147"/>
  </r>
  <r>
    <s v="m.app"/>
    <x v="3"/>
    <x v="11"/>
    <s v="가정용 전기전자"/>
    <s v="가사용 전기전자"/>
    <s v="청소기"/>
    <s v="로보락S9MaxV"/>
    <x v="114"/>
    <s v="모바일(대)도구/유틸리티(중)"/>
    <s v="-"/>
    <s v="-"/>
    <x v="2"/>
    <s v="25.02.07"/>
    <s v="25.02.07"/>
    <s v="애드몹"/>
    <n v="128"/>
  </r>
  <r>
    <s v="m.app"/>
    <x v="3"/>
    <x v="11"/>
    <s v="가정용 전기전자"/>
    <s v="가사용 전기전자"/>
    <s v="청소기"/>
    <s v="로보락S9MaxV"/>
    <x v="142"/>
    <s v="생활정보(대)교통/날씨(중)"/>
    <s v="-"/>
    <s v="-"/>
    <x v="1"/>
    <s v="25.05.08"/>
    <s v="25.05.11"/>
    <s v="애드몹"/>
    <n v="587"/>
  </r>
  <r>
    <s v="m.app"/>
    <x v="3"/>
    <x v="11"/>
    <s v="가정용 전기전자"/>
    <s v="가사용 전기전자"/>
    <s v="청소기"/>
    <s v="로보락S9MaxV"/>
    <x v="143"/>
    <s v="모바일(대)라이프스타일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44"/>
    <s v="금융/비즈니스(대)금융정보(중)"/>
    <s v="-"/>
    <s v="-"/>
    <x v="2"/>
    <s v="25.02.08"/>
    <s v="25.02.08"/>
    <s v="애드몹"/>
    <n v="128"/>
  </r>
  <r>
    <s v="m.web"/>
    <x v="3"/>
    <x v="11"/>
    <s v="가정용 전기전자"/>
    <s v="가사용 전기전자"/>
    <s v="청소기"/>
    <s v="로보락S9MaxV"/>
    <x v="24"/>
    <s v="신문/잡지(대)스포츠신문(중)"/>
    <s v="-"/>
    <s v="-"/>
    <x v="2"/>
    <s v="25.02.27"/>
    <s v="25.02.27"/>
    <s v="애드몹"/>
    <n v="209"/>
  </r>
  <r>
    <s v="m.web"/>
    <x v="3"/>
    <x v="11"/>
    <s v="가정용 전기전자"/>
    <s v="가사용 전기전자"/>
    <s v="청소기"/>
    <s v="로보락S9MaxV"/>
    <x v="60"/>
    <s v="신문/잡지(대)종합일간지(중)"/>
    <s v="-"/>
    <s v="-"/>
    <x v="2"/>
    <s v="25.02.27"/>
    <s v="25.02.27"/>
    <s v="애드몹"/>
    <n v="418"/>
  </r>
  <r>
    <s v="m.app"/>
    <x v="3"/>
    <x v="11"/>
    <s v="가정용 전기전자"/>
    <s v="가사용 전기전자"/>
    <s v="청소기"/>
    <s v="로보락S9MaxV"/>
    <x v="145"/>
    <s v="모바일(대)도구/유틸리티(중)"/>
    <s v="-"/>
    <s v="-"/>
    <x v="2"/>
    <s v="25.02.19"/>
    <s v="25.02.19"/>
    <s v="애드몹"/>
    <n v="128"/>
  </r>
  <r>
    <s v="m.app"/>
    <x v="3"/>
    <x v="11"/>
    <s v="가정용 전기전자"/>
    <s v="가사용 전기전자"/>
    <s v="청소기"/>
    <s v="로보락S9MaxV"/>
    <x v="103"/>
    <s v="생활정보(대)교통/날씨(중)"/>
    <s v="-"/>
    <s v="-"/>
    <x v="2"/>
    <s v="25.02.06"/>
    <s v="25.02.09"/>
    <s v="카카오광고"/>
    <n v="53"/>
  </r>
  <r>
    <s v="m.app"/>
    <x v="3"/>
    <x v="11"/>
    <s v="가정용 전기전자"/>
    <s v="가사용 전기전자"/>
    <s v="청소기"/>
    <s v="로보락S9MaxV"/>
    <x v="103"/>
    <s v="생활정보(대)교통/날씨(중)"/>
    <s v="-"/>
    <s v="-"/>
    <x v="2"/>
    <s v="25.02.17"/>
    <s v="25.02.17"/>
    <s v="카카오광고"/>
    <n v="13"/>
  </r>
  <r>
    <s v="m.app"/>
    <x v="3"/>
    <x v="11"/>
    <s v="가정용 전기전자"/>
    <s v="가사용 전기전자"/>
    <s v="청소기"/>
    <s v="로보락S9MaxV"/>
    <x v="103"/>
    <s v="생활정보(대)교통/날씨(중)"/>
    <s v="-"/>
    <s v="-"/>
    <x v="1"/>
    <s v="25.05.17"/>
    <s v="25.05.17"/>
    <s v="카카오광고"/>
    <n v="16"/>
  </r>
  <r>
    <s v="m.app"/>
    <x v="3"/>
    <x v="11"/>
    <s v="가정용 전기전자"/>
    <s v="가사용 전기전자"/>
    <s v="청소기"/>
    <s v="로보락S9MaxV"/>
    <x v="146"/>
    <s v="생활정보(대)여성/육아(중)"/>
    <s v="-"/>
    <s v="-"/>
    <x v="2"/>
    <s v="25.02.10"/>
    <s v="25.02.10"/>
    <s v="애드몹"/>
    <n v="128"/>
  </r>
  <r>
    <s v="m.app"/>
    <x v="3"/>
    <x v="11"/>
    <s v="가정용 전기전자"/>
    <s v="가사용 전기전자"/>
    <s v="청소기"/>
    <s v="로보락S9MaxV"/>
    <x v="147"/>
    <s v="생활정보(대)생활정보 기타(중)"/>
    <s v="-"/>
    <s v="-"/>
    <x v="2"/>
    <s v="25.02.13"/>
    <s v="25.02.13"/>
    <s v="애드몹"/>
    <n v="128"/>
  </r>
  <r>
    <s v="m.app"/>
    <x v="3"/>
    <x v="11"/>
    <s v="가정용 전기전자"/>
    <s v="가사용 전기전자"/>
    <s v="청소기"/>
    <s v="로보락S9MaxV"/>
    <x v="148"/>
    <s v="엔터테인먼트(대)엔터테인먼트 기타(중)"/>
    <s v="-"/>
    <s v="-"/>
    <x v="2"/>
    <s v="25.02.18"/>
    <s v="25.02.18"/>
    <s v="애드몹"/>
    <n v="128"/>
  </r>
  <r>
    <s v="m.app"/>
    <x v="3"/>
    <x v="11"/>
    <s v="가정용 전기전자"/>
    <s v="가사용 전기전자"/>
    <s v="청소기"/>
    <s v="로보락S9MaxV"/>
    <x v="149"/>
    <s v="모바일(대)도구/유틸리티(중)"/>
    <s v="-"/>
    <s v="-"/>
    <x v="2"/>
    <s v="25.02.09"/>
    <s v="25.02.09"/>
    <s v="애드몹"/>
    <n v="256"/>
  </r>
  <r>
    <s v="m.app"/>
    <x v="3"/>
    <x v="11"/>
    <s v="가정용 전기전자"/>
    <s v="가사용 전기전자"/>
    <s v="청소기"/>
    <s v="로보락S9MaxV"/>
    <x v="149"/>
    <s v="모바일(대)도구/유틸리티(중)"/>
    <s v="-"/>
    <s v="-"/>
    <x v="2"/>
    <s v="25.02.15"/>
    <s v="25.02.15"/>
    <s v="애드몹"/>
    <n v="128"/>
  </r>
  <r>
    <s v="m.app"/>
    <x v="3"/>
    <x v="11"/>
    <s v="가정용 전기전자"/>
    <s v="가사용 전기전자"/>
    <s v="청소기"/>
    <s v="로보락S9MaxV"/>
    <x v="149"/>
    <s v="모바일(대)도구/유틸리티(중)"/>
    <s v="-"/>
    <s v="-"/>
    <x v="2"/>
    <s v="25.02.18"/>
    <s v="25.02.18"/>
    <s v="애드몹"/>
    <n v="128"/>
  </r>
  <r>
    <s v="m.app"/>
    <x v="3"/>
    <x v="11"/>
    <s v="가정용 전기전자"/>
    <s v="가사용 전기전자"/>
    <s v="청소기"/>
    <s v="로보락S9MaxV"/>
    <x v="150"/>
    <s v="생활정보(대)생활정보 기타(중)"/>
    <s v="-"/>
    <s v="-"/>
    <x v="2"/>
    <s v="25.02.08"/>
    <s v="25.02.08"/>
    <s v="애드몹"/>
    <n v="128"/>
  </r>
  <r>
    <s v="m.app"/>
    <x v="3"/>
    <x v="11"/>
    <s v="가정용 전기전자"/>
    <s v="가사용 전기전자"/>
    <s v="청소기"/>
    <s v="로보락S9MaxV"/>
    <x v="151"/>
    <s v="생활정보(대)생활정보 기타(중)"/>
    <s v="-"/>
    <s v="-"/>
    <x v="2"/>
    <s v="25.02.13"/>
    <s v="25.02.13"/>
    <s v="애드몹"/>
    <n v="128"/>
  </r>
  <r>
    <s v="m.app"/>
    <x v="3"/>
    <x v="11"/>
    <s v="가정용 전기전자"/>
    <s v="가사용 전기전자"/>
    <s v="청소기"/>
    <s v="로보락S9MaxV"/>
    <x v="152"/>
    <s v="모바일(대)라이프스타일(중)"/>
    <s v="-"/>
    <s v="-"/>
    <x v="2"/>
    <s v="25.02.13"/>
    <s v="25.02.13"/>
    <s v="애드몹"/>
    <n v="128"/>
  </r>
  <r>
    <s v="m.app"/>
    <x v="3"/>
    <x v="11"/>
    <s v="가정용 전기전자"/>
    <s v="가사용 전기전자"/>
    <s v="청소기"/>
    <s v="로보락S9MaxV"/>
    <x v="153"/>
    <s v="모바일(대)도구/유틸리티(중)"/>
    <s v="-"/>
    <s v="-"/>
    <x v="2"/>
    <s v="25.02.11"/>
    <s v="25.02.11"/>
    <s v="애드몹"/>
    <n v="128"/>
  </r>
  <r>
    <s v="m.app"/>
    <x v="3"/>
    <x v="11"/>
    <s v="가정용 전기전자"/>
    <s v="가사용 전기전자"/>
    <s v="청소기"/>
    <s v="로보락S9MaxV"/>
    <x v="154"/>
    <s v="생활정보(대)소설/도서(중)"/>
    <s v="-"/>
    <s v="-"/>
    <x v="2"/>
    <s v="25.02.07"/>
    <s v="25.02.07"/>
    <s v="애드몹"/>
    <n v="128"/>
  </r>
  <r>
    <s v="m.app"/>
    <x v="3"/>
    <x v="11"/>
    <s v="가정용 전기전자"/>
    <s v="가사용 전기전자"/>
    <s v="청소기"/>
    <s v="로보락S9MaxV"/>
    <x v="155"/>
    <s v="모바일(대)엔터테인먼트(중)"/>
    <s v="-"/>
    <s v="-"/>
    <x v="2"/>
    <s v="25.02.07"/>
    <s v="25.02.07"/>
    <s v="애드몹"/>
    <n v="128"/>
  </r>
  <r>
    <s v="m.web"/>
    <x v="3"/>
    <x v="12"/>
    <s v="가정용 전기전자"/>
    <s v="가사용 전기전자"/>
    <s v="청소기"/>
    <s v="로보락F25Ace"/>
    <x v="26"/>
    <s v="포털(대)포털(중)"/>
    <s v="-"/>
    <s v="-"/>
    <x v="4"/>
    <s v="25.03.30"/>
    <s v="25.03.30"/>
    <s v="카카오광고"/>
    <n v="745"/>
  </r>
  <r>
    <s v="m.web"/>
    <x v="3"/>
    <x v="12"/>
    <s v="가정용 전기전자"/>
    <s v="가사용 전기전자"/>
    <s v="청소기"/>
    <s v="로보락F25Ace"/>
    <x v="2"/>
    <s v="신문/잡지(대)종합일간지(중)"/>
    <s v="-"/>
    <s v="-"/>
    <x v="2"/>
    <s v="25.02.26"/>
    <s v="25.02.26"/>
    <s v="애드몹"/>
    <n v="220"/>
  </r>
  <r>
    <s v="m.web"/>
    <x v="3"/>
    <x v="12"/>
    <s v="가정용 전기전자"/>
    <s v="가사용 전기전자"/>
    <s v="청소기"/>
    <s v="로보락F25Ace"/>
    <x v="8"/>
    <s v="신문/잡지(대)경제신문(중)"/>
    <s v="-"/>
    <s v="-"/>
    <x v="4"/>
    <s v="25.03.09"/>
    <s v="25.03.09"/>
    <s v="카카오광고"/>
    <n v="23"/>
  </r>
  <r>
    <s v="m.web"/>
    <x v="3"/>
    <x v="12"/>
    <s v="가정용 전기전자"/>
    <s v="가사용 전기전자"/>
    <s v="청소기"/>
    <s v="로보락F25Ace"/>
    <x v="38"/>
    <s v="신문/잡지(대)온라인뉴스(중)"/>
    <s v="-"/>
    <s v="-"/>
    <x v="2"/>
    <s v="25.02.13"/>
    <s v="25.02.13"/>
    <s v="애드몹"/>
    <n v="220"/>
  </r>
  <r>
    <s v="m.web"/>
    <x v="3"/>
    <x v="12"/>
    <s v="가정용 전기전자"/>
    <s v="가사용 전기전자"/>
    <s v="청소기"/>
    <s v="로보락F25Ace"/>
    <x v="42"/>
    <s v="신문/잡지(대)경제신문(중)"/>
    <s v="-"/>
    <s v="-"/>
    <x v="4"/>
    <s v="25.03.07"/>
    <s v="25.03.07"/>
    <s v="카카오광고"/>
    <n v="14"/>
  </r>
  <r>
    <s v="m.web"/>
    <x v="3"/>
    <x v="12"/>
    <s v="가정용 전기전자"/>
    <s v="가사용 전기전자"/>
    <s v="청소기"/>
    <s v="로보락F25Ace"/>
    <x v="42"/>
    <s v="신문/잡지(대)경제신문(중)"/>
    <s v="-"/>
    <s v="-"/>
    <x v="0"/>
    <s v="25.04.05"/>
    <s v="25.04.05"/>
    <s v="카카오광고"/>
    <n v="14"/>
  </r>
  <r>
    <s v="m.web"/>
    <x v="3"/>
    <x v="12"/>
    <s v="가정용 전기전자"/>
    <s v="가사용 전기전자"/>
    <s v="청소기"/>
    <s v="로보락F25Ace"/>
    <x v="51"/>
    <s v="신문/잡지(대)온라인뉴스(중)"/>
    <s v="-"/>
    <s v="-"/>
    <x v="0"/>
    <s v="25.04.05"/>
    <s v="25.04.05"/>
    <s v="카카오광고"/>
    <n v="23"/>
  </r>
  <r>
    <s v="m.web"/>
    <x v="3"/>
    <x v="12"/>
    <s v="가정용 전기전자"/>
    <s v="가사용 전기전자"/>
    <s v="청소기"/>
    <s v="로보락F25Ace"/>
    <x v="23"/>
    <s v="포털(대)포털(중)"/>
    <s v="-"/>
    <s v="-"/>
    <x v="2"/>
    <s v="25.02.27"/>
    <s v="25.02.27"/>
    <s v="애드몹"/>
    <n v="436"/>
  </r>
  <r>
    <s v="m.app"/>
    <x v="3"/>
    <x v="12"/>
    <s v="가정용 전기전자"/>
    <s v="가사용 전기전자"/>
    <s v="청소기"/>
    <s v="로보락F25Ace"/>
    <x v="106"/>
    <s v="모바일(대)엔터테인먼트(중)"/>
    <s v="-"/>
    <s v="-"/>
    <x v="2"/>
    <s v="25.02.16"/>
    <s v="25.02.16"/>
    <s v="애드몹"/>
    <n v="128"/>
  </r>
  <r>
    <s v="m.app"/>
    <x v="3"/>
    <x v="12"/>
    <s v="가정용 전기전자"/>
    <s v="가사용 전기전자"/>
    <s v="청소기"/>
    <s v="로보락F25Ace"/>
    <x v="72"/>
    <s v="커뮤니케이션(대)채팅/메신저(중)"/>
    <s v="-"/>
    <s v="-"/>
    <x v="2"/>
    <s v="25.02.11"/>
    <s v="25.02.11"/>
    <s v="카카오광고"/>
    <n v="5895"/>
  </r>
  <r>
    <s v="m.app"/>
    <x v="3"/>
    <x v="12"/>
    <s v="가정용 전기전자"/>
    <s v="가사용 전기전자"/>
    <s v="청소기"/>
    <s v="로보락F25Ace"/>
    <x v="72"/>
    <s v="커뮤니케이션(대)채팅/메신저(중)"/>
    <s v="-"/>
    <s v="-"/>
    <x v="2"/>
    <s v="25.02.12"/>
    <s v="25.02.16"/>
    <s v="카카오광고"/>
    <n v="29474"/>
  </r>
  <r>
    <s v="m.app"/>
    <x v="3"/>
    <x v="12"/>
    <s v="가정용 전기전자"/>
    <s v="가사용 전기전자"/>
    <s v="청소기"/>
    <s v="로보락F25Ace"/>
    <x v="72"/>
    <s v="커뮤니케이션(대)채팅/메신저(중)"/>
    <s v="-"/>
    <s v="-"/>
    <x v="2"/>
    <s v="25.02.13"/>
    <s v="25.02.13"/>
    <s v="카카오광고"/>
    <n v="5895"/>
  </r>
  <r>
    <s v="m.app"/>
    <x v="3"/>
    <x v="12"/>
    <s v="가정용 전기전자"/>
    <s v="가사용 전기전자"/>
    <s v="청소기"/>
    <s v="로보락F25Ace"/>
    <x v="72"/>
    <s v="커뮤니케이션(대)채팅/메신저(중)"/>
    <s v="-"/>
    <s v="-"/>
    <x v="2"/>
    <s v="25.02.14"/>
    <s v="25.02.14"/>
    <s v="카카오광고"/>
    <n v="5895"/>
  </r>
  <r>
    <s v="m.app"/>
    <x v="3"/>
    <x v="12"/>
    <s v="가정용 전기전자"/>
    <s v="가사용 전기전자"/>
    <s v="청소기"/>
    <s v="로보락F25Ace"/>
    <x v="72"/>
    <s v="커뮤니케이션(대)채팅/메신저(중)"/>
    <s v="-"/>
    <s v="-"/>
    <x v="2"/>
    <s v="25.02.17"/>
    <s v="25.02.18"/>
    <s v="카카오광고"/>
    <n v="11790"/>
  </r>
  <r>
    <s v="m.app"/>
    <x v="3"/>
    <x v="12"/>
    <s v="가정용 전기전자"/>
    <s v="가사용 전기전자"/>
    <s v="청소기"/>
    <s v="로보락F25Ace"/>
    <x v="72"/>
    <s v="커뮤니케이션(대)채팅/메신저(중)"/>
    <s v="-"/>
    <s v="-"/>
    <x v="2"/>
    <s v="25.02.22"/>
    <s v="25.02.22"/>
    <s v="카카오광고"/>
    <n v="5895"/>
  </r>
  <r>
    <s v="m.app"/>
    <x v="3"/>
    <x v="12"/>
    <s v="가정용 전기전자"/>
    <s v="가사용 전기전자"/>
    <s v="청소기"/>
    <s v="로보락F25Ace"/>
    <x v="113"/>
    <s v="모바일(대)도구/유틸리티(중)"/>
    <s v="-"/>
    <s v="-"/>
    <x v="2"/>
    <s v="25.02.14"/>
    <s v="25.02.16"/>
    <s v="애드몹"/>
    <n v="385"/>
  </r>
  <r>
    <s v="m.app"/>
    <x v="3"/>
    <x v="12"/>
    <s v="가정용 전기전자"/>
    <s v="가사용 전기전자"/>
    <s v="청소기"/>
    <s v="로보락F25Ace"/>
    <x v="113"/>
    <s v="모바일(대)도구/유틸리티(중)"/>
    <s v="-"/>
    <s v="-"/>
    <x v="2"/>
    <s v="25.02.17"/>
    <s v="25.02.19"/>
    <s v="애드몹"/>
    <n v="385"/>
  </r>
  <r>
    <s v="m.app"/>
    <x v="3"/>
    <x v="12"/>
    <s v="가정용 전기전자"/>
    <s v="가사용 전기전자"/>
    <s v="청소기"/>
    <s v="로보락F25Ace"/>
    <x v="113"/>
    <s v="모바일(대)도구/유틸리티(중)"/>
    <s v="-"/>
    <s v="-"/>
    <x v="2"/>
    <s v="25.02.20"/>
    <s v="25.02.20"/>
    <s v="애드몹"/>
    <n v="128"/>
  </r>
  <r>
    <s v="m.web"/>
    <x v="3"/>
    <x v="12"/>
    <s v="가정용 전기전자"/>
    <s v="가사용 전기전자"/>
    <s v="청소기"/>
    <s v="로보락F25Ace"/>
    <x v="64"/>
    <s v="엔터테인먼트(대)영화/공연(중)"/>
    <s v="-"/>
    <s v="-"/>
    <x v="2"/>
    <s v="25.02.24"/>
    <s v="25.02.24"/>
    <s v="애드몹"/>
    <n v="139"/>
  </r>
  <r>
    <s v="m.app"/>
    <x v="3"/>
    <x v="12"/>
    <s v="가정용 전기전자"/>
    <s v="가사용 전기전자"/>
    <s v="청소기"/>
    <s v="로보락F25Ace"/>
    <x v="74"/>
    <s v="커뮤니티(대)홈페이지(중)"/>
    <s v="-"/>
    <s v="-"/>
    <x v="4"/>
    <s v="25.03.26"/>
    <s v="25.03.27"/>
    <s v="-"/>
    <n v="1637"/>
  </r>
  <r>
    <s v="m.app"/>
    <x v="3"/>
    <x v="12"/>
    <s v="가정용 전기전자"/>
    <s v="가사용 전기전자"/>
    <s v="청소기"/>
    <s v="로보락F25Ace"/>
    <x v="133"/>
    <s v="모바일(대)엔터테인먼트(중)"/>
    <s v="-"/>
    <s v="-"/>
    <x v="2"/>
    <s v="25.02.10"/>
    <s v="25.02.10"/>
    <s v="애드몹"/>
    <n v="128"/>
  </r>
  <r>
    <s v="m.app"/>
    <x v="3"/>
    <x v="12"/>
    <s v="가정용 전기전자"/>
    <s v="가사용 전기전자"/>
    <s v="청소기"/>
    <s v="로보락F25Ace"/>
    <x v="156"/>
    <s v="생활정보(대)생활정보 기타(중)"/>
    <s v="-"/>
    <s v="-"/>
    <x v="2"/>
    <s v="25.02.10"/>
    <s v="25.02.10"/>
    <s v="애드몹"/>
    <n v="128"/>
  </r>
  <r>
    <s v="m.web"/>
    <x v="3"/>
    <x v="12"/>
    <s v="가정용 전기전자"/>
    <s v="가사용 전기전자"/>
    <s v="청소기"/>
    <s v="로보락F25Ace"/>
    <x v="60"/>
    <s v="신문/잡지(대)종합일간지(중)"/>
    <s v="-"/>
    <s v="-"/>
    <x v="0"/>
    <s v="25.04.12"/>
    <s v="25.04.12"/>
    <s v="애드몹"/>
    <n v="217"/>
  </r>
  <r>
    <s v="m.web"/>
    <x v="3"/>
    <x v="12"/>
    <s v="가정용 전기전자"/>
    <s v="가사용 전기전자"/>
    <s v="청소기"/>
    <s v="로보락F25Ace"/>
    <x v="60"/>
    <s v="신문/잡지(대)종합일간지(중)"/>
    <s v="-"/>
    <s v="-"/>
    <x v="1"/>
    <s v="25.05.01"/>
    <s v="25.05.01"/>
    <s v="애드몹"/>
    <n v="239"/>
  </r>
  <r>
    <s v="m.app"/>
    <x v="3"/>
    <x v="12"/>
    <s v="가정용 전기전자"/>
    <s v="가사용 전기전자"/>
    <s v="청소기"/>
    <s v="로보락F25Ace"/>
    <x v="104"/>
    <s v="생활정보(대)병원/건강정보(중)"/>
    <s v="-"/>
    <s v="-"/>
    <x v="2"/>
    <s v="25.02.10"/>
    <s v="25.02.10"/>
    <s v="애드몹"/>
    <n v="128"/>
  </r>
  <r>
    <s v="m.app"/>
    <x v="3"/>
    <x v="12"/>
    <s v="가정용 전기전자"/>
    <s v="가사용 전기전자"/>
    <s v="청소기"/>
    <s v="로보락F25Ace"/>
    <x v="149"/>
    <s v="모바일(대)도구/유틸리티(중)"/>
    <s v="-"/>
    <s v="-"/>
    <x v="2"/>
    <s v="25.02.14"/>
    <s v="25.02.14"/>
    <s v="애드몹"/>
    <n v="128"/>
  </r>
  <r>
    <s v="m.web"/>
    <x v="3"/>
    <x v="13"/>
    <s v="가정용 전기전자"/>
    <s v="가사용 전기전자"/>
    <s v="청소기"/>
    <s v="로보락Q레보엣지C"/>
    <x v="26"/>
    <s v="포털(대)포털(중)"/>
    <s v="-"/>
    <s v="-"/>
    <x v="0"/>
    <s v="25.04.20"/>
    <s v="25.04.20"/>
    <s v="카카오광고"/>
    <n v="745"/>
  </r>
  <r>
    <s v="m.web"/>
    <x v="3"/>
    <x v="13"/>
    <s v="가정용 전기전자"/>
    <s v="가사용 전기전자"/>
    <s v="청소기"/>
    <s v="로보락Q레보엣지C"/>
    <x v="0"/>
    <s v="신문/잡지(대)종합일간지(중)"/>
    <s v="-"/>
    <s v="-"/>
    <x v="4"/>
    <s v="25.03.28"/>
    <s v="25.03.28"/>
    <s v="애드몹"/>
    <n v="228"/>
  </r>
  <r>
    <s v="m.web"/>
    <x v="3"/>
    <x v="13"/>
    <s v="가정용 전기전자"/>
    <s v="가사용 전기전자"/>
    <s v="청소기"/>
    <s v="로보락Q레보엣지C"/>
    <x v="31"/>
    <s v="신문/잡지(대)스포츠신문(중)"/>
    <s v="-"/>
    <s v="-"/>
    <x v="4"/>
    <s v="25.03.23"/>
    <s v="25.03.23"/>
    <s v="카카오광고"/>
    <n v="23"/>
  </r>
  <r>
    <s v="m.web"/>
    <x v="3"/>
    <x v="13"/>
    <s v="가정용 전기전자"/>
    <s v="가사용 전기전자"/>
    <s v="청소기"/>
    <s v="로보락Q레보엣지C"/>
    <x v="2"/>
    <s v="신문/잡지(대)종합일간지(중)"/>
    <s v="-"/>
    <s v="-"/>
    <x v="0"/>
    <s v="25.04.04"/>
    <s v="25.04.04"/>
    <s v="카카오광고"/>
    <n v="23"/>
  </r>
  <r>
    <s v="m.web"/>
    <x v="3"/>
    <x v="13"/>
    <s v="가정용 전기전자"/>
    <s v="가사용 전기전자"/>
    <s v="청소기"/>
    <s v="로보락Q레보엣지C"/>
    <x v="4"/>
    <s v="신문/잡지(대)종합일간지(중)"/>
    <s v="-"/>
    <s v="-"/>
    <x v="4"/>
    <s v="25.03.28"/>
    <s v="25.03.28"/>
    <s v="애드몹"/>
    <n v="228"/>
  </r>
  <r>
    <s v="m.web"/>
    <x v="3"/>
    <x v="13"/>
    <s v="가정용 전기전자"/>
    <s v="가사용 전기전자"/>
    <s v="청소기"/>
    <s v="로보락Q레보엣지C"/>
    <x v="5"/>
    <s v="신문/잡지(대)경제신문(중)"/>
    <s v="-"/>
    <s v="-"/>
    <x v="4"/>
    <s v="25.03.29"/>
    <s v="25.03.29"/>
    <s v="애드몹"/>
    <n v="228"/>
  </r>
  <r>
    <s v="m.web"/>
    <x v="3"/>
    <x v="13"/>
    <s v="가정용 전기전자"/>
    <s v="가사용 전기전자"/>
    <s v="청소기"/>
    <s v="로보락Q레보엣지C"/>
    <x v="38"/>
    <s v="신문/잡지(대)온라인뉴스(중)"/>
    <s v="-"/>
    <s v="-"/>
    <x v="0"/>
    <s v="25.04.03"/>
    <s v="25.04.03"/>
    <s v="애드몹"/>
    <n v="228"/>
  </r>
  <r>
    <s v="m.web"/>
    <x v="3"/>
    <x v="13"/>
    <s v="가정용 전기전자"/>
    <s v="가사용 전기전자"/>
    <s v="청소기"/>
    <s v="로보락Q레보엣지C"/>
    <x v="11"/>
    <s v="신문/잡지(대)종합일간지(중)"/>
    <s v="-"/>
    <s v="-"/>
    <x v="4"/>
    <s v="25.03.26"/>
    <s v="25.03.26"/>
    <s v="카카오광고"/>
    <n v="22"/>
  </r>
  <r>
    <s v="m.web"/>
    <x v="3"/>
    <x v="13"/>
    <s v="가정용 전기전자"/>
    <s v="가사용 전기전자"/>
    <s v="청소기"/>
    <s v="로보락Q레보엣지C"/>
    <x v="46"/>
    <s v="신문/잡지(대)IT관련 뉴스(중)"/>
    <s v="-"/>
    <s v="-"/>
    <x v="4"/>
    <s v="25.03.28"/>
    <s v="25.03.28"/>
    <s v="애드몹"/>
    <n v="452"/>
  </r>
  <r>
    <s v="m.web"/>
    <x v="3"/>
    <x v="13"/>
    <s v="가정용 전기전자"/>
    <s v="가사용 전기전자"/>
    <s v="청소기"/>
    <s v="로보락Q레보엣지C"/>
    <x v="14"/>
    <s v="신문/잡지(대)IT관련 뉴스(중)"/>
    <s v="-"/>
    <s v="-"/>
    <x v="4"/>
    <s v="25.03.21"/>
    <s v="25.03.21"/>
    <s v="애드몹"/>
    <n v="452"/>
  </r>
  <r>
    <s v="m.app"/>
    <x v="3"/>
    <x v="13"/>
    <s v="가정용 전기전자"/>
    <s v="가사용 전기전자"/>
    <s v="청소기"/>
    <s v="로보락Q레보엣지C"/>
    <x v="72"/>
    <s v="커뮤니케이션(대)채팅/메신저(중)"/>
    <s v="-"/>
    <s v="-"/>
    <x v="4"/>
    <s v="25.03.17"/>
    <s v="25.03.19"/>
    <s v="카카오광고"/>
    <n v="20798"/>
  </r>
  <r>
    <s v="m.app"/>
    <x v="3"/>
    <x v="13"/>
    <s v="가정용 전기전자"/>
    <s v="가사용 전기전자"/>
    <s v="청소기"/>
    <s v="로보락Q레보엣지C"/>
    <x v="72"/>
    <s v="커뮤니케이션(대)채팅/메신저(중)"/>
    <s v="-"/>
    <s v="-"/>
    <x v="4"/>
    <s v="25.03.27"/>
    <s v="25.03.30"/>
    <s v="카카오광고"/>
    <n v="27731"/>
  </r>
  <r>
    <s v="m.app"/>
    <x v="3"/>
    <x v="13"/>
    <s v="가정용 전기전자"/>
    <s v="가사용 전기전자"/>
    <s v="청소기"/>
    <s v="로보락Q레보엣지C"/>
    <x v="76"/>
    <s v="생활정보(대)교통/날씨(중)"/>
    <s v="-"/>
    <s v="-"/>
    <x v="4"/>
    <s v="25.03.28"/>
    <s v="25.03.30"/>
    <s v="애드몹"/>
    <n v="399"/>
  </r>
  <r>
    <s v="m.app"/>
    <x v="3"/>
    <x v="13"/>
    <s v="가정용 전기전자"/>
    <s v="가사용 전기전자"/>
    <s v="청소기"/>
    <s v="로보락Q레보엣지C"/>
    <x v="76"/>
    <s v="생활정보(대)교통/날씨(중)"/>
    <s v="-"/>
    <s v="-"/>
    <x v="4"/>
    <s v="25.03.31"/>
    <s v="25.03.31"/>
    <s v="애드몹"/>
    <n v="133"/>
  </r>
  <r>
    <s v="m.app"/>
    <x v="3"/>
    <x v="13"/>
    <s v="가정용 전기전자"/>
    <s v="가사용 전기전자"/>
    <s v="청소기"/>
    <s v="로보락Q레보엣지C"/>
    <x v="76"/>
    <s v="생활정보(대)교통/날씨(중)"/>
    <s v="-"/>
    <s v="-"/>
    <x v="0"/>
    <s v="25.04.01"/>
    <s v="25.04.02"/>
    <s v="애드몹"/>
    <n v="266"/>
  </r>
  <r>
    <s v="m.web"/>
    <x v="3"/>
    <x v="13"/>
    <s v="가정용 전기전자"/>
    <s v="가사용 전기전자"/>
    <s v="청소기"/>
    <s v="로보락Q레보엣지C"/>
    <x v="52"/>
    <s v="신문/잡지(대)온라인뉴스(중)"/>
    <s v="-"/>
    <s v="-"/>
    <x v="4"/>
    <s v="25.03.27"/>
    <s v="25.03.27"/>
    <s v="애드몹"/>
    <n v="398"/>
  </r>
  <r>
    <s v="m.web"/>
    <x v="3"/>
    <x v="13"/>
    <s v="가정용 전기전자"/>
    <s v="가사용 전기전자"/>
    <s v="청소기"/>
    <s v="로보락Q레보엣지C"/>
    <x v="52"/>
    <s v="신문/잡지(대)온라인뉴스(중)"/>
    <s v="-"/>
    <s v="-"/>
    <x v="0"/>
    <s v="25.04.01"/>
    <s v="25.04.01"/>
    <s v="애드몹"/>
    <n v="398"/>
  </r>
  <r>
    <s v="m.app"/>
    <x v="3"/>
    <x v="13"/>
    <s v="가정용 전기전자"/>
    <s v="가사용 전기전자"/>
    <s v="청소기"/>
    <s v="로보락Q레보엣지C"/>
    <x v="157"/>
    <s v="모바일(대)도구/유틸리티(중)"/>
    <s v="-"/>
    <s v="-"/>
    <x v="4"/>
    <s v="25.03.23"/>
    <s v="25.03.23"/>
    <s v="애드몹"/>
    <n v="133"/>
  </r>
  <r>
    <s v="m.app"/>
    <x v="3"/>
    <x v="13"/>
    <s v="가정용 전기전자"/>
    <s v="가사용 전기전자"/>
    <s v="청소기"/>
    <s v="로보락Q레보엣지C"/>
    <x v="157"/>
    <s v="모바일(대)도구/유틸리티(중)"/>
    <s v="-"/>
    <s v="-"/>
    <x v="4"/>
    <s v="25.03.24"/>
    <s v="25.03.27"/>
    <s v="애드몹"/>
    <n v="532"/>
  </r>
  <r>
    <s v="m.web"/>
    <x v="3"/>
    <x v="14"/>
    <s v="가정용 전기전자"/>
    <s v="가사용 전기전자"/>
    <s v="청소기"/>
    <s v="로보락Q"/>
    <x v="1"/>
    <s v="포털(대)포털(중)"/>
    <s v="-"/>
    <s v="-"/>
    <x v="1"/>
    <s v="25.05.08"/>
    <s v="25.05.08"/>
    <s v="애드몹"/>
    <n v="499"/>
  </r>
  <r>
    <s v="m.web"/>
    <x v="3"/>
    <x v="14"/>
    <s v="가정용 전기전자"/>
    <s v="가사용 전기전자"/>
    <s v="청소기"/>
    <s v="로보락Q"/>
    <x v="2"/>
    <s v="신문/잡지(대)종합일간지(중)"/>
    <s v="-"/>
    <s v="-"/>
    <x v="1"/>
    <s v="25.05.07"/>
    <s v="25.05.07"/>
    <s v="애드몹"/>
    <n v="252"/>
  </r>
  <r>
    <s v="m.web"/>
    <x v="3"/>
    <x v="14"/>
    <s v="가정용 전기전자"/>
    <s v="가사용 전기전자"/>
    <s v="청소기"/>
    <s v="로보락Q"/>
    <x v="38"/>
    <s v="신문/잡지(대)온라인뉴스(중)"/>
    <s v="-"/>
    <s v="-"/>
    <x v="1"/>
    <s v="25.05.07"/>
    <s v="25.05.07"/>
    <s v="애드몹"/>
    <n v="252"/>
  </r>
  <r>
    <s v="m.web"/>
    <x v="3"/>
    <x v="14"/>
    <s v="가정용 전기전자"/>
    <s v="가사용 전기전자"/>
    <s v="청소기"/>
    <s v="로보락Q"/>
    <x v="52"/>
    <s v="신문/잡지(대)온라인뉴스(중)"/>
    <s v="-"/>
    <s v="-"/>
    <x v="1"/>
    <s v="25.05.11"/>
    <s v="25.05.11"/>
    <s v="애드몹"/>
    <n v="439"/>
  </r>
  <r>
    <s v="m.app"/>
    <x v="3"/>
    <x v="14"/>
    <s v="가정용 전기전자"/>
    <s v="가사용 전기전자"/>
    <s v="청소기"/>
    <s v="로보락Q"/>
    <x v="74"/>
    <s v="커뮤니티(대)홈페이지(중)"/>
    <s v="-"/>
    <s v="-"/>
    <x v="0"/>
    <s v="25.04.11"/>
    <s v="25.04.13"/>
    <s v="-"/>
    <n v="1210"/>
  </r>
  <r>
    <s v="m.app"/>
    <x v="3"/>
    <x v="14"/>
    <s v="가정용 전기전자"/>
    <s v="가사용 전기전자"/>
    <s v="청소기"/>
    <s v="로보락Q"/>
    <x v="74"/>
    <s v="커뮤니티(대)홈페이지(중)"/>
    <s v="-"/>
    <s v="-"/>
    <x v="0"/>
    <s v="25.04.14"/>
    <s v="25.04.15"/>
    <s v="-"/>
    <n v="807"/>
  </r>
  <r>
    <s v="m.app"/>
    <x v="3"/>
    <x v="14"/>
    <s v="가정용 전기전자"/>
    <s v="가사용 전기전자"/>
    <s v="청소기"/>
    <s v="로보락Q"/>
    <x v="131"/>
    <s v="모바일(대)엔터테인먼트(중)"/>
    <s v="-"/>
    <s v="-"/>
    <x v="1"/>
    <s v="25.05.07"/>
    <s v="25.05.10"/>
    <s v="애드몹"/>
    <n v="587"/>
  </r>
  <r>
    <s v="m.app"/>
    <x v="3"/>
    <x v="29"/>
    <s v="가정용 전기전자"/>
    <s v="가사용 전기전자"/>
    <s v="청소기"/>
    <s v="로보락F25RT"/>
    <x v="74"/>
    <s v="커뮤니티(대)홈페이지(중)"/>
    <s v="-"/>
    <s v="-"/>
    <x v="0"/>
    <s v="25.04.11"/>
    <s v="25.04.11"/>
    <s v="-"/>
    <n v="403"/>
  </r>
  <r>
    <s v="m.web"/>
    <x v="3"/>
    <x v="15"/>
    <s v="가정용 전기전자"/>
    <s v="가사용 전기전자"/>
    <s v="청소기"/>
    <s v="로보락사로스Z70"/>
    <x v="8"/>
    <s v="신문/잡지(대)경제신문(중)"/>
    <s v="-"/>
    <s v="-"/>
    <x v="1"/>
    <s v="25.05.20"/>
    <s v="25.05.20"/>
    <s v="애드몹"/>
    <n v="252"/>
  </r>
  <r>
    <s v="m.app"/>
    <x v="3"/>
    <x v="15"/>
    <s v="가정용 전기전자"/>
    <s v="가사용 전기전자"/>
    <s v="청소기"/>
    <s v="로보락사로스Z70"/>
    <x v="114"/>
    <s v="모바일(대)도구/유틸리티(중)"/>
    <s v="-"/>
    <s v="-"/>
    <x v="1"/>
    <s v="25.05.28"/>
    <s v="25.05.28"/>
    <s v="애드몹"/>
    <n v="147"/>
  </r>
  <r>
    <s v="m.app"/>
    <x v="3"/>
    <x v="15"/>
    <s v="가정용 전기전자"/>
    <s v="가사용 전기전자"/>
    <s v="청소기"/>
    <s v="로보락사로스Z70"/>
    <x v="142"/>
    <s v="생활정보(대)교통/날씨(중)"/>
    <s v="-"/>
    <s v="-"/>
    <x v="1"/>
    <s v="25.05.29"/>
    <s v="25.05.30"/>
    <s v="애드몹"/>
    <n v="294"/>
  </r>
  <r>
    <s v="m.web"/>
    <x v="4"/>
    <x v="16"/>
    <s v="가정용 전기전자"/>
    <s v="가사용 전기전자"/>
    <s v="청소기"/>
    <s v="드리미"/>
    <x v="26"/>
    <s v="포털(대)포털(중)"/>
    <s v="-"/>
    <s v="-"/>
    <x v="0"/>
    <s v="25.04.01"/>
    <s v="25.04.05"/>
    <s v="카카오광고"/>
    <n v="3726"/>
  </r>
  <r>
    <s v="m.web"/>
    <x v="4"/>
    <x v="16"/>
    <s v="가정용 전기전자"/>
    <s v="가사용 전기전자"/>
    <s v="청소기"/>
    <s v="드리미"/>
    <x v="26"/>
    <s v="포털(대)포털(중)"/>
    <s v="-"/>
    <s v="-"/>
    <x v="1"/>
    <s v="25.05.02"/>
    <s v="25.05.03"/>
    <s v="카카오광고"/>
    <n v="1763"/>
  </r>
  <r>
    <s v="m.web"/>
    <x v="4"/>
    <x v="16"/>
    <s v="가정용 전기전자"/>
    <s v="가사용 전기전자"/>
    <s v="청소기"/>
    <s v="드리미"/>
    <x v="26"/>
    <s v="포털(대)포털(중)"/>
    <s v="-"/>
    <s v="-"/>
    <x v="1"/>
    <s v="25.05.04"/>
    <s v="25.05.04"/>
    <s v="카카오광고"/>
    <n v="881"/>
  </r>
  <r>
    <s v="m.web"/>
    <x v="4"/>
    <x v="16"/>
    <s v="가정용 전기전자"/>
    <s v="가사용 전기전자"/>
    <s v="청소기"/>
    <s v="드리미"/>
    <x v="63"/>
    <s v="포털(대)포털(중)"/>
    <s v="-"/>
    <s v="-"/>
    <x v="3"/>
    <s v="25.01.25"/>
    <s v="25.01.26"/>
    <s v="-"/>
    <n v="4810"/>
  </r>
  <r>
    <s v="m.web"/>
    <x v="4"/>
    <x v="16"/>
    <s v="가정용 전기전자"/>
    <s v="가사용 전기전자"/>
    <s v="청소기"/>
    <s v="드리미"/>
    <x v="63"/>
    <s v="포털(대)포털(중)"/>
    <s v="-"/>
    <s v="-"/>
    <x v="3"/>
    <s v="25.01.27"/>
    <s v="25.01.27"/>
    <s v="-"/>
    <n v="2405"/>
  </r>
  <r>
    <s v="m.web"/>
    <x v="4"/>
    <x v="16"/>
    <s v="가정용 전기전자"/>
    <s v="가사용 전기전자"/>
    <s v="청소기"/>
    <s v="드리미"/>
    <x v="25"/>
    <s v="생활정보(대)쇼핑/가격정보(중)"/>
    <s v="-"/>
    <s v="-"/>
    <x v="0"/>
    <s v="25.04.28"/>
    <s v="25.04.28"/>
    <s v="-"/>
    <n v="165"/>
  </r>
  <r>
    <s v="m.web"/>
    <x v="4"/>
    <x v="16"/>
    <s v="가정용 전기전자"/>
    <s v="가사용 전기전자"/>
    <s v="청소기"/>
    <s v="드리미"/>
    <x v="25"/>
    <s v="생활정보(대)쇼핑/가격정보(중)"/>
    <s v="-"/>
    <s v="-"/>
    <x v="0"/>
    <s v="25.04.29"/>
    <s v="25.04.29"/>
    <s v="-"/>
    <n v="165"/>
  </r>
  <r>
    <s v="m.web"/>
    <x v="4"/>
    <x v="16"/>
    <s v="가정용 전기전자"/>
    <s v="가사용 전기전자"/>
    <s v="청소기"/>
    <s v="드리미"/>
    <x v="25"/>
    <s v="생활정보(대)쇼핑/가격정보(중)"/>
    <s v="-"/>
    <s v="-"/>
    <x v="1"/>
    <s v="25.05.07"/>
    <s v="25.05.08"/>
    <s v="-"/>
    <n v="329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3"/>
    <s v="25.01.22"/>
    <s v="25.01.26"/>
    <s v="카카오광고"/>
    <n v="29474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3"/>
    <s v="25.01.27"/>
    <s v="25.01.31"/>
    <s v="카카오광고"/>
    <n v="29474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3"/>
    <s v="25.01.30"/>
    <s v="25.01.30"/>
    <s v="카카오광고"/>
    <n v="5895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2"/>
    <s v="25.02.02"/>
    <s v="25.02.02"/>
    <s v="카카오광고"/>
    <n v="5895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2"/>
    <s v="25.02.06"/>
    <s v="25.02.09"/>
    <s v="카카오광고"/>
    <n v="23579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2"/>
    <s v="25.02.10"/>
    <s v="25.02.10"/>
    <s v="카카오광고"/>
    <n v="5895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2"/>
    <s v="25.02.11"/>
    <s v="25.02.15"/>
    <s v="카카오광고"/>
    <n v="29474"/>
  </r>
  <r>
    <s v="m.app"/>
    <x v="4"/>
    <x v="16"/>
    <s v="가정용 전기전자"/>
    <s v="가사용 전기전자"/>
    <s v="청소기"/>
    <s v="드리미"/>
    <x v="72"/>
    <s v="커뮤니케이션(대)채팅/메신저(중)"/>
    <s v="-"/>
    <s v="-"/>
    <x v="1"/>
    <s v="25.05.14"/>
    <s v="25.05.14"/>
    <s v="카카오광고"/>
    <n v="8193"/>
  </r>
  <r>
    <s v="m.app"/>
    <x v="4"/>
    <x v="16"/>
    <s v="가정용 전기전자"/>
    <s v="가사용 전기전자"/>
    <s v="청소기"/>
    <s v="드리미"/>
    <x v="158"/>
    <s v="엔터테인먼트(대)게임(중)"/>
    <s v="-"/>
    <s v="-"/>
    <x v="1"/>
    <s v="25.05.31"/>
    <s v="25.05.31"/>
    <s v="애드몹"/>
    <n v="147"/>
  </r>
  <r>
    <s v="m.app"/>
    <x v="4"/>
    <x v="16"/>
    <s v="가정용 전기전자"/>
    <s v="가사용 전기전자"/>
    <s v="청소기"/>
    <s v="드리미"/>
    <x v="159"/>
    <s v="엔터테인먼트(대)게임(중)"/>
    <s v="-"/>
    <s v="-"/>
    <x v="1"/>
    <s v="25.05.28"/>
    <s v="25.05.28"/>
    <s v="애드몹"/>
    <n v="147"/>
  </r>
  <r>
    <s v="m.app"/>
    <x v="4"/>
    <x v="16"/>
    <s v="가정용 전기전자"/>
    <s v="가사용 전기전자"/>
    <s v="청소기"/>
    <s v="드리미"/>
    <x v="71"/>
    <s v="모바일(대)모바일기타(중)"/>
    <s v="-"/>
    <s v="-"/>
    <x v="4"/>
    <s v="25.03.31"/>
    <s v="25.03.31"/>
    <s v="버즈빌"/>
    <n v="680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4"/>
    <s v="25.03.27"/>
    <s v="25.03.27"/>
    <s v="-"/>
    <n v="819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0"/>
    <s v="25.04.02"/>
    <s v="25.04.04"/>
    <s v="-"/>
    <n v="1210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0"/>
    <s v="25.04.09"/>
    <s v="25.04.10"/>
    <s v="-"/>
    <n v="807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0"/>
    <s v="25.04.11"/>
    <s v="25.04.13"/>
    <s v="-"/>
    <n v="1210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0"/>
    <s v="25.04.14"/>
    <s v="25.04.15"/>
    <s v="-"/>
    <n v="807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0"/>
    <s v="25.04.28"/>
    <s v="25.04.29"/>
    <s v="-"/>
    <n v="807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1"/>
    <s v="25.05.03"/>
    <s v="25.05.04"/>
    <s v="-"/>
    <n v="1121"/>
  </r>
  <r>
    <s v="m.app"/>
    <x v="4"/>
    <x v="16"/>
    <s v="가정용 전기전자"/>
    <s v="가사용 전기전자"/>
    <s v="청소기"/>
    <s v="드리미"/>
    <x v="74"/>
    <s v="커뮤니티(대)홈페이지(중)"/>
    <s v="-"/>
    <s v="-"/>
    <x v="1"/>
    <s v="25.05.05"/>
    <s v="25.05.09"/>
    <s v="-"/>
    <n v="2803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3"/>
    <s v="25.01.19"/>
    <s v="25.01.19"/>
    <s v="카카오광고"/>
    <n v="745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4"/>
    <s v="25.03.14"/>
    <s v="25.03.14"/>
    <s v="카카오광고"/>
    <n v="745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4"/>
    <s v="25.03.23"/>
    <s v="25.03.23"/>
    <s v="카카오광고"/>
    <n v="745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4"/>
    <s v="25.03.24"/>
    <s v="25.03.24"/>
    <s v="카카오광고"/>
    <n v="745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0"/>
    <s v="25.04.01"/>
    <s v="25.04.01"/>
    <s v="카카오광고"/>
    <n v="745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0"/>
    <s v="25.04.06"/>
    <s v="25.04.06"/>
    <s v="카카오광고"/>
    <n v="745"/>
  </r>
  <r>
    <s v="m.web"/>
    <x v="4"/>
    <x v="18"/>
    <s v="가정용 전기전자"/>
    <s v="가사용 전기전자"/>
    <s v="청소기"/>
    <s v="드리미X50울트라"/>
    <x v="26"/>
    <s v="포털(대)포털(중)"/>
    <s v="-"/>
    <s v="-"/>
    <x v="0"/>
    <s v="25.04.07"/>
    <s v="25.04.13"/>
    <s v="카카오광고"/>
    <n v="5217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0"/>
    <s v="25.01.26"/>
    <s v="-"/>
    <n v="16836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1"/>
    <s v="25.01.21"/>
    <s v="-"/>
    <n v="2405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4"/>
    <s v="25.01.25"/>
    <s v="-"/>
    <n v="4810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4"/>
    <s v="25.01.26"/>
    <s v="-"/>
    <n v="7215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6"/>
    <s v="25.01.26"/>
    <s v="-"/>
    <n v="2405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7"/>
    <s v="25.01.30"/>
    <s v="-"/>
    <n v="9621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3"/>
    <s v="25.01.27"/>
    <s v="25.01.31"/>
    <s v="-"/>
    <n v="24052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01"/>
    <s v="25.02.01"/>
    <s v="-"/>
    <n v="2547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01"/>
    <s v="25.02.02"/>
    <s v="-"/>
    <n v="5093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03"/>
    <s v="25.02.03"/>
    <s v="-"/>
    <n v="2547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03"/>
    <s v="25.02.09"/>
    <s v="-"/>
    <n v="17826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04"/>
    <s v="25.02.04"/>
    <s v="-"/>
    <n v="2547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10"/>
    <s v="25.02.16"/>
    <s v="-"/>
    <n v="17826"/>
  </r>
  <r>
    <s v="m.web"/>
    <x v="4"/>
    <x v="18"/>
    <s v="가정용 전기전자"/>
    <s v="가사용 전기전자"/>
    <s v="청소기"/>
    <s v="드리미X50울트라"/>
    <x v="63"/>
    <s v="포털(대)포털(중)"/>
    <s v="-"/>
    <s v="-"/>
    <x v="2"/>
    <s v="25.02.12"/>
    <s v="25.02.12"/>
    <s v="-"/>
    <n v="2547"/>
  </r>
  <r>
    <s v="m.web"/>
    <x v="4"/>
    <x v="18"/>
    <s v="가정용 전기전자"/>
    <s v="가사용 전기전자"/>
    <s v="청소기"/>
    <s v="드리미X50울트라"/>
    <x v="29"/>
    <s v="방송(대)방송국(중)"/>
    <s v="-"/>
    <s v="-"/>
    <x v="4"/>
    <s v="25.03.18"/>
    <s v="25.03.18"/>
    <s v="애드몹"/>
    <n v="452"/>
  </r>
  <r>
    <s v="m.web"/>
    <x v="4"/>
    <x v="18"/>
    <s v="가정용 전기전자"/>
    <s v="가사용 전기전자"/>
    <s v="청소기"/>
    <s v="드리미X50울트라"/>
    <x v="5"/>
    <s v="신문/잡지(대)경제신문(중)"/>
    <s v="-"/>
    <s v="-"/>
    <x v="4"/>
    <s v="25.03.22"/>
    <s v="25.03.22"/>
    <s v="애드몹"/>
    <n v="228"/>
  </r>
  <r>
    <s v="m.web"/>
    <x v="4"/>
    <x v="18"/>
    <s v="가정용 전기전자"/>
    <s v="가사용 전기전자"/>
    <s v="청소기"/>
    <s v="드리미X50울트라"/>
    <x v="44"/>
    <s v="방송(대)케이블/위성방송(중)"/>
    <s v="-"/>
    <s v="-"/>
    <x v="4"/>
    <s v="25.03.18"/>
    <s v="25.03.18"/>
    <s v="애드몹"/>
    <n v="228"/>
  </r>
  <r>
    <s v="m.web"/>
    <x v="4"/>
    <x v="18"/>
    <s v="가정용 전기전자"/>
    <s v="가사용 전기전자"/>
    <s v="청소기"/>
    <s v="드리미X50울트라"/>
    <x v="45"/>
    <s v="신문/잡지(대)신문/잡지 기타(중)"/>
    <s v="-"/>
    <s v="-"/>
    <x v="4"/>
    <s v="25.03.19"/>
    <s v="25.03.19"/>
    <s v="애드몹"/>
    <n v="228"/>
  </r>
  <r>
    <s v="m.web"/>
    <x v="4"/>
    <x v="18"/>
    <s v="가정용 전기전자"/>
    <s v="가사용 전기전자"/>
    <s v="청소기"/>
    <s v="드리미X50울트라"/>
    <x v="45"/>
    <s v="신문/잡지(대)신문/잡지 기타(중)"/>
    <s v="-"/>
    <s v="-"/>
    <x v="4"/>
    <s v="25.03.31"/>
    <s v="25.03.31"/>
    <s v="애드몹"/>
    <n v="228"/>
  </r>
  <r>
    <s v="m.web"/>
    <x v="4"/>
    <x v="18"/>
    <s v="가정용 전기전자"/>
    <s v="가사용 전기전자"/>
    <s v="청소기"/>
    <s v="드리미X50울트라"/>
    <x v="45"/>
    <s v="신문/잡지(대)신문/잡지 기타(중)"/>
    <s v="-"/>
    <s v="-"/>
    <x v="0"/>
    <s v="25.04.01"/>
    <s v="25.04.01"/>
    <s v="애드몹"/>
    <n v="228"/>
  </r>
  <r>
    <s v="m.web"/>
    <x v="4"/>
    <x v="18"/>
    <s v="가정용 전기전자"/>
    <s v="가사용 전기전자"/>
    <s v="청소기"/>
    <s v="드리미X50울트라"/>
    <x v="25"/>
    <s v="생활정보(대)쇼핑/가격정보(중)"/>
    <s v="-"/>
    <s v="-"/>
    <x v="2"/>
    <s v="25.02.10"/>
    <s v="25.02.11"/>
    <s v="-"/>
    <n v="329"/>
  </r>
  <r>
    <s v="m.web"/>
    <x v="4"/>
    <x v="18"/>
    <s v="가정용 전기전자"/>
    <s v="가사용 전기전자"/>
    <s v="청소기"/>
    <s v="드리미X50울트라"/>
    <x v="25"/>
    <s v="생활정보(대)쇼핑/가격정보(중)"/>
    <s v="-"/>
    <s v="-"/>
    <x v="2"/>
    <s v="25.02.12"/>
    <s v="25.02.14"/>
    <s v="-"/>
    <n v="494"/>
  </r>
  <r>
    <s v="m.app"/>
    <x v="4"/>
    <x v="18"/>
    <s v="가정용 전기전자"/>
    <s v="가사용 전기전자"/>
    <s v="청소기"/>
    <s v="드리미X50울트라"/>
    <x v="160"/>
    <s v="엔터테인먼트(대)게임(중)"/>
    <s v="-"/>
    <s v="-"/>
    <x v="3"/>
    <s v="25.01.18"/>
    <s v="25.01.18"/>
    <s v="애드몹"/>
    <n v="93"/>
  </r>
  <r>
    <s v="m.app"/>
    <x v="4"/>
    <x v="18"/>
    <s v="가정용 전기전자"/>
    <s v="가사용 전기전자"/>
    <s v="청소기"/>
    <s v="드리미X50울트라"/>
    <x v="161"/>
    <s v="모바일(대)엔터테인먼트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08"/>
    <s v="25.01.08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21"/>
    <s v="25.01.26"/>
    <s v="카카오광고"/>
    <n v="35369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23"/>
    <s v="25.01.25"/>
    <s v="카카오광고"/>
    <n v="17684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24"/>
    <s v="25.01.24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27"/>
    <s v="25.01.27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28"/>
    <s v="25.01.28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29"/>
    <s v="25.01.30"/>
    <s v="카카오광고"/>
    <n v="11790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3"/>
    <s v="25.01.31"/>
    <s v="25.01.31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1"/>
    <s v="25.02.01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2"/>
    <s v="25.02.02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3"/>
    <s v="25.02.03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4"/>
    <s v="25.02.09"/>
    <s v="카카오광고"/>
    <n v="35369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5"/>
    <s v="25.02.05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7"/>
    <s v="25.02.07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08"/>
    <s v="25.02.08"/>
    <s v="카카오광고"/>
    <n v="5895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10"/>
    <s v="25.02.11"/>
    <s v="카카오광고"/>
    <n v="11790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12"/>
    <s v="25.02.15"/>
    <s v="카카오광고"/>
    <n v="23579"/>
  </r>
  <r>
    <s v="m.app"/>
    <x v="4"/>
    <x v="18"/>
    <s v="가정용 전기전자"/>
    <s v="가사용 전기전자"/>
    <s v="청소기"/>
    <s v="드리미X50울트라"/>
    <x v="72"/>
    <s v="커뮤니케이션(대)채팅/메신저(중)"/>
    <s v="-"/>
    <s v="-"/>
    <x v="2"/>
    <s v="25.02.16"/>
    <s v="25.02.16"/>
    <s v="카카오광고"/>
    <n v="5895"/>
  </r>
  <r>
    <s v="m.app"/>
    <x v="4"/>
    <x v="18"/>
    <s v="가정용 전기전자"/>
    <s v="가사용 전기전자"/>
    <s v="청소기"/>
    <s v="드리미X50울트라"/>
    <x v="162"/>
    <s v="엔터테인먼트(대)엔터테인먼트 기타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62"/>
    <s v="엔터테인먼트(대)엔터테인먼트 기타(중)"/>
    <s v="-"/>
    <s v="-"/>
    <x v="3"/>
    <s v="25.01.20"/>
    <s v="25.01.20"/>
    <s v="애드몹"/>
    <n v="93"/>
  </r>
  <r>
    <s v="m.web"/>
    <x v="4"/>
    <x v="18"/>
    <s v="가정용 전기전자"/>
    <s v="가사용 전기전자"/>
    <s v="청소기"/>
    <s v="드리미X50울트라"/>
    <x v="62"/>
    <s v="생활정보(대)쇼핑/가격정보(중)"/>
    <s v="-"/>
    <s v="-"/>
    <x v="4"/>
    <s v="25.03.05"/>
    <s v="25.03.05"/>
    <s v="-"/>
    <n v="66"/>
  </r>
  <r>
    <s v="m.web"/>
    <x v="4"/>
    <x v="18"/>
    <s v="가정용 전기전자"/>
    <s v="가사용 전기전자"/>
    <s v="청소기"/>
    <s v="드리미X50울트라"/>
    <x v="62"/>
    <s v="생활정보(대)쇼핑/가격정보(중)"/>
    <s v="-"/>
    <s v="-"/>
    <x v="4"/>
    <s v="25.03.11"/>
    <s v="25.03.11"/>
    <s v="-"/>
    <n v="66"/>
  </r>
  <r>
    <s v="m.app"/>
    <x v="4"/>
    <x v="18"/>
    <s v="가정용 전기전자"/>
    <s v="가사용 전기전자"/>
    <s v="청소기"/>
    <s v="드리미X50울트라"/>
    <x v="124"/>
    <s v="모바일(대)라이프스타일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63"/>
    <s v="모바일(대)라이프스타일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64"/>
    <s v="생활정보(대)교통/날씨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3"/>
    <s v="25.01.23"/>
    <s v="25.01.24"/>
    <s v="-"/>
    <n v="163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3"/>
    <s v="25.01.24"/>
    <s v="25.01.25"/>
    <s v="-"/>
    <n v="163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3"/>
    <s v="25.01.28"/>
    <s v="25.01.31"/>
    <s v="-"/>
    <n v="6548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01"/>
    <s v="25.02.02"/>
    <s v="-"/>
    <n v="163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03"/>
    <s v="25.02.09"/>
    <s v="-"/>
    <n v="5730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10"/>
    <s v="25.02.14"/>
    <s v="-"/>
    <n v="4093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14"/>
    <s v="25.02.16"/>
    <s v="-"/>
    <n v="2456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15"/>
    <s v="25.02.16"/>
    <s v="-"/>
    <n v="163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17"/>
    <s v="25.02.18"/>
    <s v="-"/>
    <n v="3274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26"/>
    <s v="25.02.26"/>
    <s v="-"/>
    <n v="819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2"/>
    <s v="25.02.26"/>
    <s v="25.02.28"/>
    <s v="-"/>
    <n v="2456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4"/>
    <s v="25.03.01"/>
    <s v="25.03.02"/>
    <s v="-"/>
    <n v="163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4"/>
    <s v="25.03.03"/>
    <s v="25.03.04"/>
    <s v="-"/>
    <n v="163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4"/>
    <s v="25.03.31"/>
    <s v="25.03.31"/>
    <s v="-"/>
    <n v="819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01"/>
    <s v="25.04.04"/>
    <s v="-"/>
    <n v="1613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02"/>
    <s v="25.04.04"/>
    <s v="-"/>
    <n v="1210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08"/>
    <s v="25.04.09"/>
    <s v="-"/>
    <n v="1614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10"/>
    <s v="25.04.13"/>
    <s v="-"/>
    <n v="3226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14"/>
    <s v="25.04.15"/>
    <s v="-"/>
    <n v="1614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16"/>
    <s v="25.04.18"/>
    <s v="-"/>
    <n v="1210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21"/>
    <s v="25.04.27"/>
    <s v="-"/>
    <n v="2823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28"/>
    <s v="25.04.29"/>
    <s v="-"/>
    <n v="807"/>
  </r>
  <r>
    <s v="m.app"/>
    <x v="4"/>
    <x v="18"/>
    <s v="가정용 전기전자"/>
    <s v="가사용 전기전자"/>
    <s v="청소기"/>
    <s v="드리미X50울트라"/>
    <x v="74"/>
    <s v="커뮤니티(대)홈페이지(중)"/>
    <s v="-"/>
    <s v="-"/>
    <x v="0"/>
    <s v="25.04.30"/>
    <s v="25.04.30"/>
    <s v="-"/>
    <n v="403"/>
  </r>
  <r>
    <s v="m.app"/>
    <x v="4"/>
    <x v="18"/>
    <s v="가정용 전기전자"/>
    <s v="가사용 전기전자"/>
    <s v="청소기"/>
    <s v="드리미X50울트라"/>
    <x v="165"/>
    <s v="모바일(대)라이프스타일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66"/>
    <s v="모바일(대)도구/유틸리티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67"/>
    <s v="모바일(대)엔터테인먼트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33"/>
    <s v="모바일(대)엔터테인먼트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68"/>
    <s v="엔터테인먼트(대)게임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69"/>
    <s v="모바일(대)모바일기타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69"/>
    <s v="모바일(대)모바일기타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70"/>
    <s v="모바일(대)모바일기타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14"/>
    <s v="모바일(대)도구/유틸리티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42"/>
    <s v="생활정보(대)교통/날씨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71"/>
    <s v="엔터테인먼트(대)게임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71"/>
    <s v="엔터테인먼트(대)게임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72"/>
    <s v="엔터테인먼트(대)게임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73"/>
    <s v="모바일(대)엔터테인먼트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74"/>
    <s v="생활정보(대)병원/건강정보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74"/>
    <s v="생활정보(대)병원/건강정보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75"/>
    <s v="엔터테인먼트(대)엔터테인먼트 기타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75"/>
    <s v="엔터테인먼트(대)엔터테인먼트 기타(중)"/>
    <s v="-"/>
    <s v="-"/>
    <x v="3"/>
    <s v="25.01.20"/>
    <s v="25.01.20"/>
    <s v="애드몹"/>
    <n v="93"/>
  </r>
  <r>
    <s v="m.web"/>
    <x v="4"/>
    <x v="18"/>
    <s v="가정용 전기전자"/>
    <s v="가사용 전기전자"/>
    <s v="청소기"/>
    <s v="드리미X50울트라"/>
    <x v="61"/>
    <s v="방송(대)방송기타(중)"/>
    <s v="-"/>
    <s v="-"/>
    <x v="4"/>
    <s v="25.03.19"/>
    <s v="25.03.22"/>
    <s v="애드몹"/>
    <n v="868"/>
  </r>
  <r>
    <s v="m.app"/>
    <x v="4"/>
    <x v="18"/>
    <s v="가정용 전기전자"/>
    <s v="가사용 전기전자"/>
    <s v="청소기"/>
    <s v="드리미X50울트라"/>
    <x v="176"/>
    <s v="생활정보(대)병원/건강정보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76"/>
    <s v="생활정보(대)병원/건강정보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77"/>
    <s v="생활정보(대)병원/건강정보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3"/>
    <s v="25.01.06"/>
    <s v="25.01.12"/>
    <s v="TARGETPICK"/>
    <n v="5196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3"/>
    <s v="25.01.13"/>
    <s v="25.01.19"/>
    <s v="TARGETPICK"/>
    <n v="5196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3"/>
    <s v="25.01.20"/>
    <s v="25.01.26"/>
    <s v="TARGETPICK"/>
    <n v="5196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3"/>
    <s v="25.01.27"/>
    <s v="25.01.31"/>
    <s v="TARGETPICK"/>
    <n v="3711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2"/>
    <s v="25.02.01"/>
    <s v="25.02.02"/>
    <s v="TARGETPICK"/>
    <n v="1485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2"/>
    <s v="25.02.03"/>
    <s v="25.02.09"/>
    <s v="TARGETPICK"/>
    <n v="5196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2"/>
    <s v="25.02.10"/>
    <s v="25.02.16"/>
    <s v="TARGETPICK"/>
    <n v="5196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2"/>
    <s v="25.02.17"/>
    <s v="25.02.23"/>
    <s v="TARGETPICK"/>
    <n v="5196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2"/>
    <s v="25.02.24"/>
    <s v="25.02.28"/>
    <s v="TARGETPICK"/>
    <n v="3711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4"/>
    <s v="25.03.01"/>
    <s v="25.03.02"/>
    <s v="TARGETPICK"/>
    <n v="1485"/>
  </r>
  <r>
    <s v="m.app"/>
    <x v="4"/>
    <x v="18"/>
    <s v="가정용 전기전자"/>
    <s v="가사용 전기전자"/>
    <s v="청소기"/>
    <s v="드리미X50울트라"/>
    <x v="178"/>
    <s v="모바일(대)모바일기타(중)"/>
    <s v="-"/>
    <s v="-"/>
    <x v="4"/>
    <s v="25.03.03"/>
    <s v="25.03.07"/>
    <s v="TARGETPICK"/>
    <n v="3711"/>
  </r>
  <r>
    <s v="m.app"/>
    <x v="4"/>
    <x v="18"/>
    <s v="가정용 전기전자"/>
    <s v="가사용 전기전자"/>
    <s v="청소기"/>
    <s v="드리미X50울트라"/>
    <x v="179"/>
    <s v="엔터테인먼트(대)게임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80"/>
    <s v="모바일(대)라이프스타일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81"/>
    <s v="모바일(대)엔터테인먼트(중)"/>
    <s v="-"/>
    <s v="-"/>
    <x v="3"/>
    <s v="25.01.20"/>
    <s v="25.01.20"/>
    <s v="애드몹"/>
    <n v="93"/>
  </r>
  <r>
    <s v="m.app"/>
    <x v="4"/>
    <x v="18"/>
    <s v="가정용 전기전자"/>
    <s v="가사용 전기전자"/>
    <s v="청소기"/>
    <s v="드리미X50울트라"/>
    <x v="182"/>
    <s v="모바일(대)도구/유틸리티(중)"/>
    <s v="-"/>
    <s v="-"/>
    <x v="3"/>
    <s v="25.01.19"/>
    <s v="25.01.19"/>
    <s v="애드몹"/>
    <n v="93"/>
  </r>
  <r>
    <s v="m.app"/>
    <x v="4"/>
    <x v="18"/>
    <s v="가정용 전기전자"/>
    <s v="가사용 전기전자"/>
    <s v="청소기"/>
    <s v="드리미X50울트라"/>
    <x v="182"/>
    <s v="모바일(대)도구/유틸리티(중)"/>
    <s v="-"/>
    <s v="-"/>
    <x v="3"/>
    <s v="25.01.20"/>
    <s v="25.01.20"/>
    <s v="애드몹"/>
    <n v="93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4"/>
    <s v="25.03.25"/>
    <s v="25.03.28"/>
    <s v="카카오광고"/>
    <n v="2981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4"/>
    <s v="25.03.31"/>
    <s v="25.03.31"/>
    <s v="카카오광고"/>
    <n v="745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0"/>
    <s v="25.04.06"/>
    <s v="25.04.06"/>
    <s v="카카오광고"/>
    <n v="745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0"/>
    <s v="25.04.07"/>
    <s v="25.04.13"/>
    <s v="카카오광고"/>
    <n v="5217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0"/>
    <s v="25.04.11"/>
    <s v="25.04.12"/>
    <s v="카카오광고"/>
    <n v="1491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0"/>
    <s v="25.04.15"/>
    <s v="25.04.15"/>
    <s v="카카오광고"/>
    <n v="745"/>
  </r>
  <r>
    <s v="m.web"/>
    <x v="4"/>
    <x v="19"/>
    <s v="가정용 전기전자"/>
    <s v="가사용 전기전자"/>
    <s v="청소기"/>
    <s v="드리미L40S프로울트라"/>
    <x v="26"/>
    <s v="포털(대)포털(중)"/>
    <s v="-"/>
    <s v="-"/>
    <x v="0"/>
    <s v="25.04.16"/>
    <s v="25.04.18"/>
    <s v="카카오광고"/>
    <n v="2236"/>
  </r>
  <r>
    <s v="m.web"/>
    <x v="4"/>
    <x v="19"/>
    <s v="가정용 전기전자"/>
    <s v="가사용 전기전자"/>
    <s v="청소기"/>
    <s v="드리미L40S프로울트라"/>
    <x v="63"/>
    <s v="포털(대)포털(중)"/>
    <s v="-"/>
    <s v="-"/>
    <x v="0"/>
    <s v="25.04.09"/>
    <s v="25.04.10"/>
    <s v="-"/>
    <n v="10186"/>
  </r>
  <r>
    <s v="m.web"/>
    <x v="4"/>
    <x v="19"/>
    <s v="가정용 전기전자"/>
    <s v="가사용 전기전자"/>
    <s v="청소기"/>
    <s v="드리미L40S프로울트라"/>
    <x v="63"/>
    <s v="포털(대)포털(중)"/>
    <s v="-"/>
    <s v="-"/>
    <x v="1"/>
    <s v="25.05.08"/>
    <s v="25.05.11"/>
    <s v="-"/>
    <n v="24524"/>
  </r>
  <r>
    <s v="m.web"/>
    <x v="4"/>
    <x v="19"/>
    <s v="가정용 전기전자"/>
    <s v="가사용 전기전자"/>
    <s v="청소기"/>
    <s v="드리미L40S프로울트라"/>
    <x v="63"/>
    <s v="포털(대)포털(중)"/>
    <s v="-"/>
    <s v="-"/>
    <x v="1"/>
    <s v="25.05.12"/>
    <s v="25.05.13"/>
    <s v="-"/>
    <n v="12262"/>
  </r>
  <r>
    <s v="m.app"/>
    <x v="4"/>
    <x v="19"/>
    <s v="가정용 전기전자"/>
    <s v="가사용 전기전자"/>
    <s v="청소기"/>
    <s v="드리미L40S프로울트라"/>
    <x v="72"/>
    <s v="커뮤니케이션(대)채팅/메신저(중)"/>
    <s v="-"/>
    <s v="-"/>
    <x v="4"/>
    <s v="25.03.25"/>
    <s v="25.03.25"/>
    <s v="카카오광고"/>
    <n v="6933"/>
  </r>
  <r>
    <s v="m.app"/>
    <x v="4"/>
    <x v="19"/>
    <s v="가정용 전기전자"/>
    <s v="가사용 전기전자"/>
    <s v="청소기"/>
    <s v="드리미L40S프로울트라"/>
    <x v="72"/>
    <s v="커뮤니케이션(대)채팅/메신저(중)"/>
    <s v="-"/>
    <s v="-"/>
    <x v="0"/>
    <s v="25.04.24"/>
    <s v="25.04.24"/>
    <s v="카카오광고"/>
    <n v="6933"/>
  </r>
  <r>
    <s v="m.app"/>
    <x v="4"/>
    <x v="19"/>
    <s v="가정용 전기전자"/>
    <s v="가사용 전기전자"/>
    <s v="청소기"/>
    <s v="드리미L40S프로울트라"/>
    <x v="72"/>
    <s v="커뮤니케이션(대)채팅/메신저(중)"/>
    <s v="-"/>
    <s v="-"/>
    <x v="1"/>
    <s v="25.05.07"/>
    <s v="25.05.07"/>
    <s v="카카오광고"/>
    <n v="8193"/>
  </r>
  <r>
    <s v="m.app"/>
    <x v="4"/>
    <x v="19"/>
    <s v="가정용 전기전자"/>
    <s v="가사용 전기전자"/>
    <s v="청소기"/>
    <s v="드리미L40S프로울트라"/>
    <x v="71"/>
    <s v="모바일(대)모바일기타(중)"/>
    <s v="-"/>
    <s v="-"/>
    <x v="4"/>
    <s v="25.03.31"/>
    <s v="25.03.31"/>
    <s v="버즈빌"/>
    <n v="680"/>
  </r>
  <r>
    <s v="m.app"/>
    <x v="4"/>
    <x v="30"/>
    <s v="가정용 전기전자"/>
    <s v="가사용 전기전자"/>
    <s v="청소기"/>
    <s v="드리미H12프로"/>
    <x v="74"/>
    <s v="커뮤니티(대)홈페이지(중)"/>
    <s v="-"/>
    <s v="-"/>
    <x v="0"/>
    <s v="25.04.17"/>
    <s v="25.04.18"/>
    <s v="-"/>
    <n v="807"/>
  </r>
  <r>
    <s v="m.app"/>
    <x v="4"/>
    <x v="30"/>
    <s v="가정용 전기전자"/>
    <s v="가사용 전기전자"/>
    <s v="청소기"/>
    <s v="드리미H12프로"/>
    <x v="74"/>
    <s v="커뮤니티(대)홈페이지(중)"/>
    <s v="-"/>
    <s v="-"/>
    <x v="0"/>
    <s v="25.04.21"/>
    <s v="25.04.27"/>
    <s v="-"/>
    <n v="2823"/>
  </r>
  <r>
    <s v="m.app"/>
    <x v="4"/>
    <x v="30"/>
    <s v="가정용 전기전자"/>
    <s v="가사용 전기전자"/>
    <s v="청소기"/>
    <s v="드리미H12프로"/>
    <x v="74"/>
    <s v="커뮤니티(대)홈페이지(중)"/>
    <s v="-"/>
    <s v="-"/>
    <x v="0"/>
    <s v="25.04.28"/>
    <s v="25.04.29"/>
    <s v="-"/>
    <n v="807"/>
  </r>
  <r>
    <s v="m.app"/>
    <x v="4"/>
    <x v="31"/>
    <s v="가정용 전기전자"/>
    <s v="가사용 전기전자"/>
    <s v="청소기"/>
    <s v="드리미X50마스터"/>
    <x v="74"/>
    <s v="커뮤니티(대)홈페이지(중)"/>
    <s v="-"/>
    <s v="-"/>
    <x v="0"/>
    <s v="25.04.22"/>
    <s v="25.04.27"/>
    <s v="-"/>
    <n v="2420"/>
  </r>
  <r>
    <s v="m.app"/>
    <x v="4"/>
    <x v="31"/>
    <s v="가정용 전기전자"/>
    <s v="가사용 전기전자"/>
    <s v="청소기"/>
    <s v="드리미X50마스터"/>
    <x v="74"/>
    <s v="커뮤니티(대)홈페이지(중)"/>
    <s v="-"/>
    <s v="-"/>
    <x v="0"/>
    <s v="25.04.28"/>
    <s v="25.04.29"/>
    <s v="-"/>
    <n v="807"/>
  </r>
  <r>
    <s v="m.web"/>
    <x v="4"/>
    <x v="20"/>
    <s v="가정용 전기전자"/>
    <s v="가사용 전기전자"/>
    <s v="청소기"/>
    <s v="드리미X50S프로울트라"/>
    <x v="26"/>
    <s v="포털(대)포털(중)"/>
    <s v="-"/>
    <s v="-"/>
    <x v="1"/>
    <s v="25.05.07"/>
    <s v="25.05.09"/>
    <s v="카카오광고"/>
    <n v="2644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03"/>
    <s v="25.05.04"/>
    <s v="-"/>
    <n v="1121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04"/>
    <s v="25.05.04"/>
    <s v="-"/>
    <n v="561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05"/>
    <s v="25.05.09"/>
    <s v="-"/>
    <n v="5606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14"/>
    <s v="25.05.16"/>
    <s v="-"/>
    <n v="1682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23"/>
    <s v="25.05.23"/>
    <s v="-"/>
    <n v="561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24"/>
    <s v="25.05.25"/>
    <s v="-"/>
    <n v="1121"/>
  </r>
  <r>
    <s v="m.app"/>
    <x v="4"/>
    <x v="20"/>
    <s v="가정용 전기전자"/>
    <s v="가사용 전기전자"/>
    <s v="청소기"/>
    <s v="드리미X50S프로울트라"/>
    <x v="74"/>
    <s v="커뮤니티(대)홈페이지(중)"/>
    <s v="-"/>
    <s v="-"/>
    <x v="1"/>
    <s v="25.05.26"/>
    <s v="25.05.30"/>
    <s v="-"/>
    <n v="2803"/>
  </r>
  <r>
    <s v="m.app"/>
    <x v="4"/>
    <x v="32"/>
    <s v="가정용 전기전자"/>
    <s v="가사용 전기전자"/>
    <s v="청소기"/>
    <s v="드리미Z10스테이션"/>
    <x v="183"/>
    <s v="모바일(대)모바일기타(중)"/>
    <s v="-"/>
    <s v="-"/>
    <x v="1"/>
    <s v="25.05.20"/>
    <s v="25.05.25"/>
    <s v="ADPACKER"/>
    <n v="47030"/>
  </r>
  <r>
    <s v="m.app"/>
    <x v="4"/>
    <x v="32"/>
    <s v="가정용 전기전자"/>
    <s v="가사용 전기전자"/>
    <s v="청소기"/>
    <s v="드리미Z10스테이션"/>
    <x v="183"/>
    <s v="모바일(대)모바일기타(중)"/>
    <s v="-"/>
    <s v="-"/>
    <x v="1"/>
    <s v="25.05.26"/>
    <s v="25.05.26"/>
    <s v="ADPACKER"/>
    <n v="7840"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  <r>
    <m/>
    <x v="5"/>
    <x v="33"/>
    <m/>
    <m/>
    <m/>
    <m/>
    <x v="184"/>
    <m/>
    <m/>
    <m/>
    <x v="5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0">
  <r>
    <s v="지상파"/>
    <s v="ADEX"/>
    <s v="아이더스에프앤비"/>
    <x v="0"/>
    <s v="서비스"/>
    <s v="음식및숙박"/>
    <s v="기타프랜차이즈점"/>
    <s v="TV"/>
    <s v="지상파"/>
    <s v="MBC"/>
    <s v="-"/>
    <s v="25"/>
    <s v="12"/>
    <s v="25.12"/>
    <s v="25.12"/>
    <n v="1792710"/>
  </r>
  <r>
    <s v="지상파"/>
    <s v="ADEX"/>
    <s v="아이더스에프앤비"/>
    <x v="0"/>
    <s v="서비스"/>
    <s v="음식및숙박"/>
    <s v="기타프랜차이즈점"/>
    <s v="TV"/>
    <s v="지상파"/>
    <s v="SBS"/>
    <s v="-"/>
    <s v="25"/>
    <s v="12"/>
    <s v="25.12"/>
    <s v="25.12"/>
    <n v="160229"/>
  </r>
  <r>
    <s v="지상파"/>
    <s v="ADEX"/>
    <s v="아이더스에프앤비"/>
    <x v="0"/>
    <s v="서비스"/>
    <s v="음식및숙박"/>
    <s v="기타프랜차이즈점"/>
    <s v="TV"/>
    <s v="지상파"/>
    <s v="SBS"/>
    <s v="-"/>
    <s v="25"/>
    <s v="11"/>
    <s v="25.11"/>
    <s v="25.11"/>
    <n v="1354967"/>
  </r>
  <r>
    <s v="지상파"/>
    <s v="ADEX"/>
    <s v="리치빔"/>
    <x v="1"/>
    <s v="서비스"/>
    <s v="음식및숙박"/>
    <s v="기타프랜차이즈점"/>
    <s v="TV"/>
    <s v="지상파"/>
    <s v="SBS"/>
    <s v="-"/>
    <s v="25"/>
    <s v="10"/>
    <s v="25.10"/>
    <s v="25.10"/>
    <n v="469589"/>
  </r>
  <r>
    <s v="지상파"/>
    <s v="ADEX"/>
    <s v="장스푸드"/>
    <x v="2"/>
    <s v="서비스"/>
    <s v="음식및숙박"/>
    <s v="기타프랜차이즈점"/>
    <s v="TV"/>
    <s v="지상파"/>
    <s v="MBC"/>
    <s v="-"/>
    <s v="25"/>
    <s v="08"/>
    <s v="25.08"/>
    <s v="25.08"/>
    <n v="941988"/>
  </r>
  <r>
    <s v="지상파"/>
    <s v="ADEX"/>
    <s v="웰빙푸드"/>
    <x v="3"/>
    <s v="서비스"/>
    <s v="음식및숙박"/>
    <s v="기타프랜차이즈점"/>
    <s v="TV"/>
    <s v="지상파"/>
    <s v="MBC"/>
    <s v="-"/>
    <s v="25"/>
    <s v="08"/>
    <s v="25.08"/>
    <s v="25.08"/>
    <n v="739429"/>
  </r>
  <r>
    <s v="YouTube"/>
    <s v="ADEX"/>
    <s v="장스푸드"/>
    <x v="2"/>
    <s v="서비스"/>
    <s v="음식및숙박"/>
    <s v="기타프랜차이즈점"/>
    <s v="TV"/>
    <s v="지상파"/>
    <s v="SBS"/>
    <s v="-"/>
    <s v="25"/>
    <s v="08"/>
    <s v="25.08"/>
    <s v="25.08"/>
    <n v="672286"/>
  </r>
  <r>
    <s v="Tving"/>
    <s v="ADEX"/>
    <s v="웰빙푸드"/>
    <x v="3"/>
    <s v="서비스"/>
    <s v="음식및숙박"/>
    <s v="기타프랜차이즈점"/>
    <s v="TV"/>
    <s v="지상파"/>
    <s v="MBC"/>
    <s v="-"/>
    <s v="25"/>
    <s v="07"/>
    <s v="25.07"/>
    <s v="25.07"/>
    <n v="1001178"/>
  </r>
  <r>
    <s v="네이버"/>
    <s v="ADEX"/>
    <s v="코리아델로스"/>
    <x v="4"/>
    <s v="서비스"/>
    <s v="음식및숙박"/>
    <s v="기타프랜차이즈점"/>
    <s v="TV"/>
    <s v="지상파"/>
    <s v="MBC"/>
    <s v="-"/>
    <s v="25"/>
    <s v="07"/>
    <s v="25.07"/>
    <s v="25.07"/>
    <n v="270583"/>
  </r>
  <r>
    <s v="네이버"/>
    <s v="ADEX"/>
    <s v="코리아델로스"/>
    <x v="4"/>
    <s v="서비스"/>
    <s v="음식및숙박"/>
    <s v="기타프랜차이즈점"/>
    <s v="TV"/>
    <s v="지상파"/>
    <s v="SBS"/>
    <s v="-"/>
    <s v="25"/>
    <s v="07"/>
    <s v="25.07"/>
    <s v="25.07"/>
    <n v="106595"/>
  </r>
  <r>
    <s v="YouTube"/>
    <s v="ADEX"/>
    <s v="코리아델로스"/>
    <x v="4"/>
    <s v="서비스"/>
    <s v="음식및숙박"/>
    <s v="기타프랜차이즈점"/>
    <s v="TV"/>
    <s v="지상파"/>
    <s v="MBC"/>
    <s v="-"/>
    <s v="25"/>
    <s v="06"/>
    <s v="25.06"/>
    <s v="25.06"/>
    <n v="845738"/>
  </r>
  <r>
    <s v="네이버"/>
    <s v="ADEX"/>
    <s v="혜인유통"/>
    <x v="5"/>
    <s v="서비스"/>
    <s v="음식및숙박"/>
    <s v="기타프랜차이즈점"/>
    <s v="TV"/>
    <s v="지상파"/>
    <s v="MBC"/>
    <s v="-"/>
    <s v="25"/>
    <s v="06"/>
    <s v="25.06"/>
    <s v="25.06"/>
    <n v="171347"/>
  </r>
  <r>
    <s v="YouTube"/>
    <s v="ADEX"/>
    <s v="코리아델로스"/>
    <x v="4"/>
    <s v="서비스"/>
    <s v="음식및숙박"/>
    <s v="기타프랜차이즈점"/>
    <s v="TV"/>
    <s v="지상파"/>
    <s v="SBS"/>
    <s v="-"/>
    <s v="25"/>
    <s v="06"/>
    <s v="25.06"/>
    <s v="25.06"/>
    <n v="691474"/>
  </r>
  <r>
    <s v="지상파"/>
    <s v="ADEX"/>
    <s v="혜인유통"/>
    <x v="5"/>
    <s v="서비스"/>
    <s v="음식및숙박"/>
    <s v="기타프랜차이즈점"/>
    <s v="TV"/>
    <s v="지상파"/>
    <s v="MBC"/>
    <s v="-"/>
    <s v="25"/>
    <s v="05"/>
    <s v="25.05"/>
    <s v="25.05"/>
    <n v="523982"/>
  </r>
  <r>
    <s v="YouTube"/>
    <s v="ADEX"/>
    <s v="웰빙푸드"/>
    <x v="3"/>
    <s v="서비스"/>
    <s v="음식및숙박"/>
    <s v="기타프랜차이즈점"/>
    <s v="TV"/>
    <s v="지상파"/>
    <s v="MBC"/>
    <s v="-"/>
    <s v="25"/>
    <s v="05"/>
    <s v="25.05"/>
    <s v="25.05"/>
    <n v="663477"/>
  </r>
  <r>
    <s v="YouTube"/>
    <s v="ADEX"/>
    <s v="혜인유통"/>
    <x v="5"/>
    <s v="서비스"/>
    <s v="음식및숙박"/>
    <s v="기타프랜차이즈점"/>
    <s v="TV"/>
    <s v="지상파"/>
    <s v="SBS"/>
    <s v="-"/>
    <s v="25"/>
    <s v="05"/>
    <s v="25.05"/>
    <s v="25.05"/>
    <n v="788384"/>
  </r>
  <r>
    <s v="Tving"/>
    <s v="ADEX"/>
    <s v="장스푸드"/>
    <x v="2"/>
    <s v="서비스"/>
    <s v="음식및숙박"/>
    <s v="기타프랜차이즈점"/>
    <s v="TV"/>
    <s v="지상파"/>
    <s v="MBC"/>
    <s v="-"/>
    <s v="25"/>
    <s v="09"/>
    <s v="25.09"/>
    <s v="25.09"/>
    <n v="78421"/>
  </r>
  <r>
    <s v="네이버"/>
    <s v="ADEX"/>
    <s v="웰빙푸드"/>
    <x v="3"/>
    <s v="서비스"/>
    <s v="음식및숙박"/>
    <s v="기타프랜차이즈점"/>
    <s v="TV"/>
    <s v="지상파"/>
    <s v="MBC"/>
    <s v="-"/>
    <s v="25"/>
    <s v="04"/>
    <s v="25.04"/>
    <s v="25.04"/>
    <n v="664270"/>
  </r>
  <r>
    <s v="YouTube"/>
    <s v="ADEX"/>
    <s v="교촌F&amp;B"/>
    <x v="6"/>
    <s v="서비스"/>
    <s v="음식및숙박"/>
    <s v="기타프랜차이즈점"/>
    <s v="TV"/>
    <s v="지상파"/>
    <s v="SBS"/>
    <s v="-"/>
    <s v="25"/>
    <s v="04"/>
    <s v="25.04"/>
    <s v="25.04"/>
    <n v="154637"/>
  </r>
  <r>
    <s v="지상파"/>
    <s v="ADEX"/>
    <s v="코리아델로스"/>
    <x v="4"/>
    <s v="서비스"/>
    <s v="음식및숙박"/>
    <s v="기타프랜차이즈점"/>
    <s v="TV"/>
    <s v="지상파"/>
    <s v="SBS"/>
    <s v="-"/>
    <s v="25"/>
    <s v="04"/>
    <s v="25.04"/>
    <s v="25.04"/>
    <n v="582804"/>
  </r>
  <r>
    <s v="지상파"/>
    <s v="ADEX"/>
    <s v="교촌F&amp;B"/>
    <x v="6"/>
    <s v="서비스"/>
    <s v="음식및숙박"/>
    <s v="기타프랜차이즈점"/>
    <s v="TV"/>
    <s v="지상파"/>
    <s v="MBC"/>
    <s v="-"/>
    <s v="25"/>
    <s v="03"/>
    <s v="25.03"/>
    <s v="25.03"/>
    <n v="150654"/>
  </r>
  <r>
    <s v="네이버"/>
    <s v="ADEX"/>
    <s v="장스푸드"/>
    <x v="2"/>
    <s v="서비스"/>
    <s v="음식및숙박"/>
    <s v="기타프랜차이즈점"/>
    <s v="TV"/>
    <s v="지상파"/>
    <s v="MBC"/>
    <s v="-"/>
    <s v="25"/>
    <s v="03"/>
    <s v="25.03"/>
    <s v="25.03"/>
    <n v="743959"/>
  </r>
  <r>
    <s v="YouTube"/>
    <s v="ADEX"/>
    <s v="아이더스에프앤비"/>
    <x v="0"/>
    <s v="서비스"/>
    <s v="음식및숙박"/>
    <s v="기타프랜차이즈점"/>
    <s v="TV"/>
    <s v="지상파"/>
    <s v="MBC"/>
    <s v="-"/>
    <s v="25"/>
    <s v="03"/>
    <s v="25.03"/>
    <s v="25.03"/>
    <n v="2734408"/>
  </r>
  <r>
    <s v="기타"/>
    <s v="ADEX"/>
    <s v="장스푸드"/>
    <x v="2"/>
    <s v="서비스"/>
    <s v="음식및숙박"/>
    <s v="기타프랜차이즈점"/>
    <s v="TV"/>
    <s v="지상파"/>
    <s v="SBS"/>
    <s v="-"/>
    <s v="25"/>
    <s v="03"/>
    <s v="25.03"/>
    <s v="25.03"/>
    <n v="923589"/>
  </r>
  <r>
    <s v="지상파"/>
    <s v="ADEX"/>
    <s v="웰빙푸드"/>
    <x v="3"/>
    <s v="서비스"/>
    <s v="음식및숙박"/>
    <s v="기타프랜차이즈점"/>
    <s v="TV"/>
    <s v="지상파"/>
    <s v="MBC"/>
    <s v="-"/>
    <s v="25"/>
    <s v="03"/>
    <s v="25.03"/>
    <s v="25.03"/>
    <n v="247678"/>
  </r>
  <r>
    <s v="지상파"/>
    <s v="ADEX"/>
    <s v="교촌F&amp;B"/>
    <x v="6"/>
    <s v="서비스"/>
    <s v="음식및숙박"/>
    <s v="기타프랜차이즈점"/>
    <s v="TV"/>
    <s v="지상파"/>
    <s v="MBC"/>
    <s v="-"/>
    <s v="25"/>
    <s v="02"/>
    <s v="25.02"/>
    <s v="25.02"/>
    <n v="264561"/>
  </r>
  <r>
    <s v="YouTube"/>
    <s v="ADEX"/>
    <s v="아이더스에프앤비"/>
    <x v="0"/>
    <s v="서비스"/>
    <s v="음식및숙박"/>
    <s v="기타프랜차이즈점"/>
    <s v="TV"/>
    <s v="지상파"/>
    <s v="MBC"/>
    <s v="-"/>
    <s v="25"/>
    <s v="02"/>
    <s v="25.02"/>
    <s v="25.02"/>
    <n v="2026784"/>
  </r>
  <r>
    <s v="지상파"/>
    <s v="ADEX"/>
    <s v="장스푸드"/>
    <x v="2"/>
    <s v="서비스"/>
    <s v="음식및숙박"/>
    <s v="기타프랜차이즈점"/>
    <s v="TV"/>
    <s v="지상파"/>
    <s v="MBC"/>
    <s v="-"/>
    <s v="25"/>
    <s v="02"/>
    <s v="25.02"/>
    <s v="25.02"/>
    <n v="688876"/>
  </r>
  <r>
    <s v="YouTube"/>
    <s v="ADEX"/>
    <s v="아이더스에프앤비"/>
    <x v="0"/>
    <s v="서비스"/>
    <s v="음식및숙박"/>
    <s v="기타프랜차이즈점"/>
    <s v="TV"/>
    <s v="지상파"/>
    <s v="SBS"/>
    <s v="-"/>
    <s v="25"/>
    <s v="02"/>
    <s v="25.02"/>
    <s v="25.02"/>
    <n v="1712875"/>
  </r>
  <r>
    <s v="네이버"/>
    <s v="ADEX"/>
    <s v="장스푸드"/>
    <x v="2"/>
    <s v="서비스"/>
    <s v="음식및숙박"/>
    <s v="기타프랜차이즈점"/>
    <s v="TV"/>
    <s v="지상파"/>
    <s v="SBS"/>
    <s v="-"/>
    <s v="25"/>
    <s v="02"/>
    <s v="25.02"/>
    <s v="25.02"/>
    <n v="513896"/>
  </r>
  <r>
    <s v="Tving"/>
    <s v="ADEX"/>
    <s v="아이더스에프앤비"/>
    <x v="0"/>
    <s v="서비스"/>
    <s v="음식및숙박"/>
    <s v="기타프랜차이즈점"/>
    <s v="TV"/>
    <s v="케이블"/>
    <s v="KBSJOY"/>
    <s v="-"/>
    <s v="25"/>
    <s v="12"/>
    <s v="25.12"/>
    <s v="25.12"/>
    <n v="64861"/>
  </r>
  <r>
    <s v="YouTube"/>
    <s v="ADEX"/>
    <s v="멕시카나"/>
    <x v="7"/>
    <s v="서비스"/>
    <s v="음식및숙박"/>
    <s v="기타프랜차이즈점"/>
    <s v="TV"/>
    <s v="케이블"/>
    <s v="tvN"/>
    <s v="-"/>
    <s v="25"/>
    <s v="12"/>
    <s v="25.12"/>
    <s v="25.12"/>
    <n v="181316"/>
  </r>
  <r>
    <s v="YouTube"/>
    <s v="ADEX"/>
    <s v="아이더스에프앤비"/>
    <x v="0"/>
    <s v="서비스"/>
    <s v="음식및숙박"/>
    <s v="기타프랜차이즈점"/>
    <s v="TV"/>
    <s v="케이블"/>
    <s v="헬스메디TV"/>
    <s v="-"/>
    <s v="25"/>
    <s v="12"/>
    <s v="25.12"/>
    <s v="25.12"/>
    <n v="6925"/>
  </r>
  <r>
    <s v="종편"/>
    <s v="ADEX"/>
    <s v="멕시카나"/>
    <x v="7"/>
    <s v="서비스"/>
    <s v="음식및숙박"/>
    <s v="기타프랜차이즈점"/>
    <s v="TV"/>
    <s v="종편"/>
    <s v="JTBC"/>
    <s v="-"/>
    <s v="25"/>
    <s v="12"/>
    <s v="25.12"/>
    <s v="25.12"/>
    <n v="160750"/>
  </r>
  <r>
    <s v="Tving"/>
    <s v="ADEX"/>
    <s v="아이더스에프앤비"/>
    <x v="0"/>
    <s v="서비스"/>
    <s v="음식및숙박"/>
    <s v="기타프랜차이즈점"/>
    <s v="TV"/>
    <s v="케이블"/>
    <s v="tvNDRAMA"/>
    <s v="-"/>
    <s v="25"/>
    <s v="12"/>
    <s v="25.12"/>
    <s v="25.12"/>
    <n v="18988"/>
  </r>
  <r>
    <s v="YouTube"/>
    <s v="ADEX"/>
    <s v="제이케이글로벌"/>
    <x v="8"/>
    <s v="서비스"/>
    <s v="음식및숙박"/>
    <s v="기타프랜차이즈점"/>
    <s v="라디오"/>
    <s v="라디오"/>
    <s v="KBS-2FM"/>
    <s v="-"/>
    <s v="25"/>
    <s v="12"/>
    <s v="25.12"/>
    <s v="25.12"/>
    <n v="2564"/>
  </r>
  <r>
    <s v="YouTube"/>
    <s v="ADEX"/>
    <s v="아이더스에프앤비"/>
    <x v="0"/>
    <s v="서비스"/>
    <s v="음식및숙박"/>
    <s v="기타프랜차이즈점"/>
    <s v="TV"/>
    <s v="케이블"/>
    <s v="JTBC4"/>
    <s v="-"/>
    <s v="25"/>
    <s v="12"/>
    <s v="25.12"/>
    <s v="25.12"/>
    <n v="13601"/>
  </r>
  <r>
    <s v="YouTube"/>
    <s v="ADEX"/>
    <s v="아이더스에프앤비"/>
    <x v="0"/>
    <s v="서비스"/>
    <s v="음식및숙박"/>
    <s v="기타프랜차이즈점"/>
    <s v="TV"/>
    <s v="케이블"/>
    <s v="tvNSTORY"/>
    <s v="-"/>
    <s v="25"/>
    <s v="12"/>
    <s v="25.12"/>
    <s v="25.12"/>
    <n v="24750"/>
  </r>
  <r>
    <s v="기타"/>
    <s v="ADEX"/>
    <s v="아이더스에프앤비"/>
    <x v="0"/>
    <s v="서비스"/>
    <s v="음식및숙박"/>
    <s v="기타프랜차이즈점"/>
    <s v="TV"/>
    <s v="케이블"/>
    <s v="ONT"/>
    <s v="-"/>
    <s v="25"/>
    <s v="12"/>
    <s v="25.12"/>
    <s v="25.12"/>
    <n v="5590"/>
  </r>
  <r>
    <s v="YouTube"/>
    <s v="ADEX"/>
    <s v="노상치킨"/>
    <x v="9"/>
    <s v="서비스"/>
    <s v="음식및숙박"/>
    <s v="기타프랜차이즈점"/>
    <s v="TV"/>
    <s v="케이블"/>
    <s v="연합뉴스TV"/>
    <s v="-"/>
    <s v="25"/>
    <s v="12"/>
    <s v="25.12"/>
    <s v="25.12"/>
    <n v="76737"/>
  </r>
  <r>
    <s v="네이버"/>
    <s v="ADEX"/>
    <s v="멕시카나"/>
    <x v="7"/>
    <s v="서비스"/>
    <s v="음식및숙박"/>
    <s v="기타프랜차이즈점"/>
    <s v="TV"/>
    <s v="케이블"/>
    <s v="OLIFE"/>
    <s v="-"/>
    <s v="25"/>
    <s v="12"/>
    <s v="25.12"/>
    <s v="25.12"/>
    <n v="1919"/>
  </r>
  <r>
    <s v="케이블"/>
    <s v="ADEX"/>
    <s v="아이더스에프앤비"/>
    <x v="0"/>
    <s v="서비스"/>
    <s v="음식및숙박"/>
    <s v="기타프랜차이즈점"/>
    <s v="TV"/>
    <s v="케이블"/>
    <s v="ENAPLAY"/>
    <s v="-"/>
    <s v="25"/>
    <s v="12"/>
    <s v="25.12"/>
    <s v="25.12"/>
    <n v="12316"/>
  </r>
  <r>
    <s v="YouTube"/>
    <s v="ADEX"/>
    <s v="멕시카나"/>
    <x v="7"/>
    <s v="서비스"/>
    <s v="음식및숙박"/>
    <s v="기타프랜차이즈점"/>
    <s v="TV"/>
    <s v="케이블"/>
    <s v="ENADRAMA"/>
    <s v="-"/>
    <s v="25"/>
    <s v="12"/>
    <s v="25.12"/>
    <s v="25.12"/>
    <n v="8927"/>
  </r>
  <r>
    <s v="YouTube"/>
    <s v="ADEX"/>
    <s v="아이더스에프앤비"/>
    <x v="0"/>
    <s v="서비스"/>
    <s v="음식및숙박"/>
    <s v="기타프랜차이즈점"/>
    <s v="TV"/>
    <s v="케이블"/>
    <s v="ENASTORY"/>
    <s v="-"/>
    <s v="25"/>
    <s v="12"/>
    <s v="25.12"/>
    <s v="25.12"/>
    <n v="6680"/>
  </r>
  <r>
    <s v="YouTube"/>
    <s v="ADEX"/>
    <s v="멕시카나"/>
    <x v="7"/>
    <s v="서비스"/>
    <s v="음식및숙박"/>
    <s v="기타프랜차이즈점"/>
    <s v="TV"/>
    <s v="케이블"/>
    <s v="ONT"/>
    <s v="-"/>
    <s v="25"/>
    <s v="12"/>
    <s v="25.12"/>
    <s v="25.12"/>
    <n v="2410"/>
  </r>
  <r>
    <s v="케이블"/>
    <s v="ADEX"/>
    <s v="아이더스에프앤비"/>
    <x v="0"/>
    <s v="서비스"/>
    <s v="음식및숙박"/>
    <s v="기타프랜차이즈점"/>
    <s v="TV"/>
    <s v="케이블"/>
    <s v="ENASPORTS"/>
    <s v="-"/>
    <s v="25"/>
    <s v="12"/>
    <s v="25.12"/>
    <s v="25.12"/>
    <n v="13607"/>
  </r>
  <r>
    <s v="케이블"/>
    <s v="ADEX"/>
    <s v="아이더스에프앤비"/>
    <x v="0"/>
    <s v="서비스"/>
    <s v="음식및숙박"/>
    <s v="기타프랜차이즈점"/>
    <s v="TV"/>
    <s v="케이블"/>
    <s v="tvN"/>
    <s v="-"/>
    <s v="25"/>
    <s v="12"/>
    <s v="25.12"/>
    <s v="25.12"/>
    <n v="127368"/>
  </r>
  <r>
    <s v="YouTube"/>
    <s v="ADEX"/>
    <s v="아이더스에프앤비"/>
    <x v="0"/>
    <s v="서비스"/>
    <s v="음식및숙박"/>
    <s v="기타프랜차이즈점"/>
    <s v="TV"/>
    <s v="케이블"/>
    <s v="KBS드라마"/>
    <s v="-"/>
    <s v="25"/>
    <s v="12"/>
    <s v="25.12"/>
    <s v="25.12"/>
    <n v="17000"/>
  </r>
  <r>
    <s v="라디오"/>
    <s v="ADEX"/>
    <s v="장스푸드"/>
    <x v="2"/>
    <s v="서비스"/>
    <s v="음식및숙박"/>
    <s v="기타프랜차이즈점"/>
    <s v="라디오"/>
    <s v="라디오"/>
    <s v="BBS-FM"/>
    <s v="-"/>
    <s v="25"/>
    <s v="12"/>
    <s v="25.12"/>
    <s v="25.12"/>
    <n v="33583"/>
  </r>
  <r>
    <s v="케이블"/>
    <s v="ADEX"/>
    <s v="아이더스에프앤비"/>
    <x v="0"/>
    <s v="서비스"/>
    <s v="음식및숙박"/>
    <s v="기타프랜차이즈점"/>
    <s v="TV"/>
    <s v="케이블"/>
    <s v="JTBC2"/>
    <s v="-"/>
    <s v="25"/>
    <s v="12"/>
    <s v="25.12"/>
    <s v="25.12"/>
    <n v="30580"/>
  </r>
  <r>
    <s v="YouTube"/>
    <s v="ADEX"/>
    <s v="멕시카나"/>
    <x v="7"/>
    <s v="서비스"/>
    <s v="음식및숙박"/>
    <s v="기타프랜차이즈점"/>
    <s v="TV"/>
    <s v="케이블"/>
    <s v="MBC드라마넷"/>
    <s v="-"/>
    <s v="25"/>
    <s v="12"/>
    <s v="25.12"/>
    <s v="25.12"/>
    <n v="14353"/>
  </r>
  <r>
    <s v="네이버"/>
    <s v="ADEX"/>
    <s v="멕시카나"/>
    <x v="7"/>
    <s v="서비스"/>
    <s v="음식및숙박"/>
    <s v="기타프랜차이즈점"/>
    <s v="TV"/>
    <s v="케이블"/>
    <s v="CHING"/>
    <s v="-"/>
    <s v="25"/>
    <s v="12"/>
    <s v="25.12"/>
    <s v="25.12"/>
    <n v="2692"/>
  </r>
  <r>
    <s v="YouTube"/>
    <s v="ADEX"/>
    <s v="아이더스에프앤비"/>
    <x v="0"/>
    <s v="서비스"/>
    <s v="음식및숙박"/>
    <s v="기타프랜차이즈점"/>
    <s v="TV"/>
    <s v="케이블"/>
    <s v="MBCevery1"/>
    <s v="-"/>
    <s v="25"/>
    <s v="12"/>
    <s v="25.12"/>
    <s v="25.12"/>
    <n v="57187"/>
  </r>
  <r>
    <s v="YouTube"/>
    <s v="ADEX"/>
    <s v="멕시카나"/>
    <x v="7"/>
    <s v="서비스"/>
    <s v="음식및숙박"/>
    <s v="기타프랜차이즈점"/>
    <s v="TV"/>
    <s v="케이블"/>
    <s v="ENASPORTS"/>
    <s v="-"/>
    <s v="25"/>
    <s v="12"/>
    <s v="25.12"/>
    <s v="25.12"/>
    <n v="4907"/>
  </r>
  <r>
    <s v="YouTube"/>
    <s v="ADEX"/>
    <s v="멕시카나"/>
    <x v="7"/>
    <s v="서비스"/>
    <s v="음식및숙박"/>
    <s v="기타프랜차이즈점"/>
    <s v="TV"/>
    <s v="케이블"/>
    <s v="ENA"/>
    <s v="-"/>
    <s v="25"/>
    <s v="12"/>
    <s v="25.12"/>
    <s v="25.12"/>
    <n v="80093"/>
  </r>
  <r>
    <s v="케이블"/>
    <s v="ADEX"/>
    <s v="멕시카나"/>
    <x v="7"/>
    <s v="서비스"/>
    <s v="음식및숙박"/>
    <s v="기타프랜차이즈점"/>
    <s v="TV"/>
    <s v="케이블"/>
    <s v="MBCON"/>
    <s v="-"/>
    <s v="25"/>
    <s v="12"/>
    <s v="25.12"/>
    <s v="25.12"/>
    <n v="6920"/>
  </r>
  <r>
    <s v="케이블"/>
    <s v="ADEX"/>
    <s v="멕시카나"/>
    <x v="7"/>
    <s v="서비스"/>
    <s v="음식및숙박"/>
    <s v="기타프랜차이즈점"/>
    <s v="TV"/>
    <s v="케이블"/>
    <s v="JTBC2"/>
    <s v="-"/>
    <s v="25"/>
    <s v="12"/>
    <s v="25.12"/>
    <s v="25.12"/>
    <n v="15812"/>
  </r>
  <r>
    <s v="네이버"/>
    <s v="ADEX"/>
    <s v="장스푸드"/>
    <x v="2"/>
    <s v="서비스"/>
    <s v="음식및숙박"/>
    <s v="기타프랜차이즈점"/>
    <s v="TV"/>
    <s v="케이블"/>
    <s v="ENA"/>
    <s v="-"/>
    <s v="25"/>
    <s v="12"/>
    <s v="25.12"/>
    <s v="25.12"/>
    <n v="96628"/>
  </r>
  <r>
    <s v="YouTube"/>
    <s v="ADEX"/>
    <s v="아이더스에프앤비"/>
    <x v="0"/>
    <s v="서비스"/>
    <s v="음식및숙박"/>
    <s v="기타프랜차이즈점"/>
    <s v="TV"/>
    <s v="종편"/>
    <s v="JTBC"/>
    <s v="-"/>
    <s v="25"/>
    <s v="12"/>
    <s v="25.12"/>
    <s v="25.12"/>
    <n v="739639"/>
  </r>
  <r>
    <s v="케이블"/>
    <s v="ADEX"/>
    <s v="멕시카나"/>
    <x v="7"/>
    <s v="서비스"/>
    <s v="음식및숙박"/>
    <s v="기타프랜차이즈점"/>
    <s v="TV"/>
    <s v="케이블"/>
    <s v="채널S플러스"/>
    <s v="-"/>
    <s v="25"/>
    <s v="12"/>
    <s v="25.12"/>
    <s v="25.12"/>
    <n v="1311"/>
  </r>
  <r>
    <s v="케이블"/>
    <s v="ADEX"/>
    <s v="아이더스에프앤비"/>
    <x v="0"/>
    <s v="서비스"/>
    <s v="음식및숙박"/>
    <s v="기타프랜차이즈점"/>
    <s v="TV"/>
    <s v="케이블"/>
    <s v="MBCM"/>
    <s v="-"/>
    <s v="25"/>
    <s v="12"/>
    <s v="25.12"/>
    <s v="25.12"/>
    <n v="4319"/>
  </r>
  <r>
    <s v="Tving"/>
    <s v="ADEX"/>
    <s v="제너시스비비큐"/>
    <x v="10"/>
    <s v="서비스"/>
    <s v="음식및숙박"/>
    <s v="기타프랜차이즈점"/>
    <s v="인쇄"/>
    <s v="잡지"/>
    <s v="시사인"/>
    <s v="-"/>
    <s v="25"/>
    <s v="12"/>
    <s v="25.12"/>
    <s v="25.12"/>
    <n v="8500"/>
  </r>
  <r>
    <s v="네이버"/>
    <s v="ADEX"/>
    <s v="아이더스에프앤비"/>
    <x v="0"/>
    <s v="서비스"/>
    <s v="음식및숙박"/>
    <s v="기타프랜차이즈점"/>
    <s v="TV"/>
    <s v="케이블"/>
    <s v="tvNSHOW"/>
    <s v="-"/>
    <s v="25"/>
    <s v="12"/>
    <s v="25.12"/>
    <s v="25.12"/>
    <n v="15167"/>
  </r>
  <r>
    <s v="기타"/>
    <s v="ADEX"/>
    <s v="꼬꼬에프앤비"/>
    <x v="11"/>
    <s v="서비스"/>
    <s v="음식및숙박"/>
    <s v="기타프랜차이즈점"/>
    <s v="라디오"/>
    <s v="라디오"/>
    <s v="SBS-FM"/>
    <s v="-"/>
    <s v="25"/>
    <s v="12"/>
    <s v="25.12"/>
    <s v="25.12"/>
    <n v="214300"/>
  </r>
  <r>
    <s v="네이버"/>
    <s v="ADEX"/>
    <s v="멕시카나"/>
    <x v="7"/>
    <s v="서비스"/>
    <s v="음식및숙박"/>
    <s v="기타프랜차이즈점"/>
    <s v="TV"/>
    <s v="케이블"/>
    <s v="MBCM"/>
    <s v="-"/>
    <s v="25"/>
    <s v="12"/>
    <s v="25.12"/>
    <s v="25.12"/>
    <n v="6558"/>
  </r>
  <r>
    <s v="케이블"/>
    <s v="ADEX"/>
    <s v="멕시카나"/>
    <x v="7"/>
    <s v="서비스"/>
    <s v="음식및숙박"/>
    <s v="기타프랜차이즈점"/>
    <s v="TV"/>
    <s v="케이블"/>
    <s v="ENASTORY"/>
    <s v="-"/>
    <s v="25"/>
    <s v="12"/>
    <s v="25.12"/>
    <s v="25.12"/>
    <n v="5280"/>
  </r>
  <r>
    <s v="YouTube"/>
    <s v="ADEX"/>
    <s v="아이더스에프앤비"/>
    <x v="0"/>
    <s v="서비스"/>
    <s v="음식및숙박"/>
    <s v="기타프랜차이즈점"/>
    <s v="TV"/>
    <s v="케이블"/>
    <s v="ENA"/>
    <s v="-"/>
    <s v="25"/>
    <s v="12"/>
    <s v="25.12"/>
    <s v="25.12"/>
    <n v="69070"/>
  </r>
  <r>
    <s v="케이블"/>
    <s v="ADEX"/>
    <s v="아이더스에프앤비"/>
    <x v="0"/>
    <s v="서비스"/>
    <s v="음식및숙박"/>
    <s v="기타프랜차이즈점"/>
    <s v="TV"/>
    <s v="케이블"/>
    <s v="OCNMovies2"/>
    <s v="-"/>
    <s v="25"/>
    <s v="12"/>
    <s v="25.12"/>
    <s v="25.12"/>
    <n v="18438"/>
  </r>
  <r>
    <s v="케이블"/>
    <s v="ADEX"/>
    <s v="멕시카나"/>
    <x v="7"/>
    <s v="서비스"/>
    <s v="음식및숙박"/>
    <s v="기타프랜차이즈점"/>
    <s v="TV"/>
    <s v="케이블"/>
    <s v="OCN"/>
    <s v="-"/>
    <s v="25"/>
    <s v="12"/>
    <s v="25.12"/>
    <s v="25.12"/>
    <n v="10192"/>
  </r>
  <r>
    <s v="케이블"/>
    <s v="ADEX"/>
    <s v="아이더스에프앤비"/>
    <x v="0"/>
    <s v="서비스"/>
    <s v="음식및숙박"/>
    <s v="기타프랜차이즈점"/>
    <s v="TV"/>
    <s v="케이블"/>
    <s v="ENADRAMA"/>
    <s v="-"/>
    <s v="25"/>
    <s v="12"/>
    <s v="25.12"/>
    <s v="25.12"/>
    <n v="11836"/>
  </r>
  <r>
    <s v="케이블"/>
    <s v="ADEX"/>
    <s v="아이더스에프앤비"/>
    <x v="0"/>
    <s v="서비스"/>
    <s v="음식및숙박"/>
    <s v="기타프랜차이즈점"/>
    <s v="TV"/>
    <s v="케이블"/>
    <s v="MBC드라마넷"/>
    <s v="-"/>
    <s v="25"/>
    <s v="12"/>
    <s v="25.12"/>
    <s v="25.12"/>
    <n v="37176"/>
  </r>
  <r>
    <s v="네이버"/>
    <s v="ADEX"/>
    <s v="아이더스에프앤비"/>
    <x v="0"/>
    <s v="서비스"/>
    <s v="음식및숙박"/>
    <s v="기타프랜차이즈점"/>
    <s v="TV"/>
    <s v="케이블"/>
    <s v="Mnet"/>
    <s v="-"/>
    <s v="25"/>
    <s v="12"/>
    <s v="25.12"/>
    <s v="25.12"/>
    <n v="39694"/>
  </r>
  <r>
    <s v="YouTube"/>
    <s v="ADEX"/>
    <s v="장스푸드"/>
    <x v="2"/>
    <s v="서비스"/>
    <s v="음식및숙박"/>
    <s v="기타프랜차이즈점"/>
    <s v="TV"/>
    <s v="지상파"/>
    <s v="KBS"/>
    <s v="-"/>
    <s v="25"/>
    <s v="12"/>
    <s v="25.12"/>
    <s v="25.12"/>
    <n v="637178"/>
  </r>
  <r>
    <s v="케이블"/>
    <s v="ADEX"/>
    <s v="아이더스에프앤비"/>
    <x v="0"/>
    <s v="서비스"/>
    <s v="음식및숙박"/>
    <s v="기타프랜차이즈점"/>
    <s v="TV"/>
    <s v="케이블"/>
    <s v="OCN"/>
    <s v="-"/>
    <s v="25"/>
    <s v="12"/>
    <s v="25.12"/>
    <s v="25.12"/>
    <n v="22154"/>
  </r>
  <r>
    <s v="케이블"/>
    <s v="ADEX"/>
    <s v="아이더스에프앤비"/>
    <x v="0"/>
    <s v="서비스"/>
    <s v="음식및숙박"/>
    <s v="기타프랜차이즈점"/>
    <s v="TV"/>
    <s v="케이블"/>
    <s v="ONCE"/>
    <s v="-"/>
    <s v="25"/>
    <s v="12"/>
    <s v="25.12"/>
    <s v="25.12"/>
    <n v="2857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12"/>
    <s v="25.12"/>
    <s v="25.12"/>
    <n v="8618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12"/>
    <s v="25.12"/>
    <s v="25.12"/>
    <n v="7246"/>
  </r>
  <r>
    <s v="케이블"/>
    <s v="ADEX"/>
    <s v="아이더스에프앤비"/>
    <x v="0"/>
    <s v="서비스"/>
    <s v="음식및숙박"/>
    <s v="기타프랜차이즈점"/>
    <s v="TV"/>
    <s v="케이블"/>
    <s v="OCNMovies"/>
    <s v="-"/>
    <s v="25"/>
    <s v="12"/>
    <s v="25.12"/>
    <s v="25.12"/>
    <n v="20758"/>
  </r>
  <r>
    <s v="YouTube"/>
    <s v="ADEX"/>
    <s v="멕시카나"/>
    <x v="7"/>
    <s v="서비스"/>
    <s v="음식및숙박"/>
    <s v="기타프랜차이즈점"/>
    <s v="TV"/>
    <s v="케이블"/>
    <s v="MBCevery1"/>
    <s v="-"/>
    <s v="25"/>
    <s v="12"/>
    <s v="25.12"/>
    <s v="25.12"/>
    <n v="60500"/>
  </r>
  <r>
    <s v="YouTube"/>
    <s v="ADEX"/>
    <s v="멕시카나"/>
    <x v="7"/>
    <s v="서비스"/>
    <s v="음식및숙박"/>
    <s v="기타프랜차이즈점"/>
    <s v="TV"/>
    <s v="케이블"/>
    <s v="OCNMovies"/>
    <s v="-"/>
    <s v="25"/>
    <s v="12"/>
    <s v="25.12"/>
    <s v="25.12"/>
    <n v="12863"/>
  </r>
  <r>
    <s v="네이버"/>
    <s v="ADEX"/>
    <s v="아이더스에프앤비"/>
    <x v="0"/>
    <s v="서비스"/>
    <s v="음식및숙박"/>
    <s v="기타프랜차이즈점"/>
    <s v="TV"/>
    <s v="케이블"/>
    <s v="OLIFE"/>
    <s v="-"/>
    <s v="25"/>
    <s v="12"/>
    <s v="25.12"/>
    <s v="25.12"/>
    <n v="4118"/>
  </r>
  <r>
    <s v="YouTube"/>
    <s v="ADEX"/>
    <s v="장스푸드"/>
    <x v="2"/>
    <s v="서비스"/>
    <s v="음식및숙박"/>
    <s v="기타프랜차이즈점"/>
    <s v="TV"/>
    <s v="지상파"/>
    <s v="EBS"/>
    <s v="-"/>
    <s v="25"/>
    <s v="12"/>
    <s v="25.12"/>
    <s v="25.12"/>
    <n v="149862"/>
  </r>
  <r>
    <s v="라디오"/>
    <s v="ADEX"/>
    <s v="꼬꼬에프앤비"/>
    <x v="11"/>
    <s v="서비스"/>
    <s v="음식및숙박"/>
    <s v="기타프랜차이즈점"/>
    <s v="라디오"/>
    <s v="라디오"/>
    <s v="SBS-RD"/>
    <s v="-"/>
    <s v="25"/>
    <s v="12"/>
    <s v="25.12"/>
    <s v="25.12"/>
    <n v="23250"/>
  </r>
  <r>
    <s v="케이블"/>
    <s v="ADEX"/>
    <s v="멕시카나"/>
    <x v="7"/>
    <s v="서비스"/>
    <s v="음식및숙박"/>
    <s v="기타프랜차이즈점"/>
    <s v="TV"/>
    <s v="케이블"/>
    <s v="채널S"/>
    <s v="-"/>
    <s v="25"/>
    <s v="12"/>
    <s v="25.12"/>
    <s v="25.12"/>
    <n v="35864"/>
  </r>
  <r>
    <s v="케이블"/>
    <s v="ADEX"/>
    <s v="멕시카나"/>
    <x v="7"/>
    <s v="서비스"/>
    <s v="음식및숙박"/>
    <s v="기타프랜차이즈점"/>
    <s v="TV"/>
    <s v="케이블"/>
    <s v="ENAPLAY"/>
    <s v="-"/>
    <s v="25"/>
    <s v="12"/>
    <s v="25.12"/>
    <s v="25.12"/>
    <n v="9211"/>
  </r>
  <r>
    <s v="네이버"/>
    <s v="ADEX"/>
    <s v="멕시카나"/>
    <x v="7"/>
    <s v="서비스"/>
    <s v="음식및숙박"/>
    <s v="기타프랜차이즈점"/>
    <s v="TV"/>
    <s v="케이블"/>
    <s v="헬스메디TV"/>
    <s v="-"/>
    <s v="25"/>
    <s v="12"/>
    <s v="25.12"/>
    <s v="25.12"/>
    <n v="1411"/>
  </r>
  <r>
    <s v="네이버"/>
    <s v="ADEX"/>
    <s v="아이더스에프앤비"/>
    <x v="0"/>
    <s v="서비스"/>
    <s v="음식및숙박"/>
    <s v="기타프랜차이즈점"/>
    <s v="TV"/>
    <s v="케이블"/>
    <s v="CHING"/>
    <s v="-"/>
    <s v="25"/>
    <s v="12"/>
    <s v="25.12"/>
    <s v="25.12"/>
    <n v="7897"/>
  </r>
  <r>
    <s v="YouTube"/>
    <s v="ADEX"/>
    <s v="멕시카나"/>
    <x v="7"/>
    <s v="서비스"/>
    <s v="음식및숙박"/>
    <s v="기타프랜차이즈점"/>
    <s v="TV"/>
    <s v="케이블"/>
    <s v="ONCE"/>
    <s v="-"/>
    <s v="25"/>
    <s v="12"/>
    <s v="25.12"/>
    <s v="25.12"/>
    <n v="2083"/>
  </r>
  <r>
    <s v="케이블"/>
    <s v="ADEX"/>
    <s v="교촌F&amp;B"/>
    <x v="6"/>
    <s v="서비스"/>
    <s v="음식및숙박"/>
    <s v="기타프랜차이즈점"/>
    <s v="TV"/>
    <s v="케이블"/>
    <s v="ENASPORTS"/>
    <s v="-"/>
    <s v="25"/>
    <s v="11"/>
    <s v="25.11"/>
    <s v="25.11"/>
    <n v="389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11"/>
    <s v="25.11"/>
    <s v="25.11"/>
    <n v="90879"/>
  </r>
  <r>
    <s v="YouTube"/>
    <s v="ADEX"/>
    <s v="아이더스에프앤비"/>
    <x v="0"/>
    <s v="서비스"/>
    <s v="음식및숙박"/>
    <s v="기타프랜차이즈점"/>
    <s v="TV"/>
    <s v="케이블"/>
    <s v="ENASPORTS"/>
    <s v="-"/>
    <s v="25"/>
    <s v="11"/>
    <s v="25.11"/>
    <s v="25.11"/>
    <n v="5367"/>
  </r>
  <r>
    <s v="기타"/>
    <s v="ADEX"/>
    <s v="아이더스에프앤비"/>
    <x v="0"/>
    <s v="서비스"/>
    <s v="음식및숙박"/>
    <s v="기타프랜차이즈점"/>
    <s v="TV"/>
    <s v="케이블"/>
    <s v="ENADRAMA"/>
    <s v="-"/>
    <s v="25"/>
    <s v="11"/>
    <s v="25.11"/>
    <s v="25.11"/>
    <n v="8400"/>
  </r>
  <r>
    <s v="라디오"/>
    <s v="ADEX"/>
    <s v="꼬꼬에프앤비"/>
    <x v="11"/>
    <s v="서비스"/>
    <s v="음식및숙박"/>
    <s v="기타프랜차이즈점"/>
    <s v="라디오"/>
    <s v="라디오"/>
    <s v="SBS-RD"/>
    <s v="-"/>
    <s v="25"/>
    <s v="11"/>
    <s v="25.11"/>
    <s v="25.11"/>
    <n v="22500"/>
  </r>
  <r>
    <s v="케이블"/>
    <s v="ADEX"/>
    <s v="아이더스에프앤비"/>
    <x v="0"/>
    <s v="서비스"/>
    <s v="음식및숙박"/>
    <s v="기타프랜차이즈점"/>
    <s v="TV"/>
    <s v="케이블"/>
    <s v="MBC드라마넷"/>
    <s v="-"/>
    <s v="25"/>
    <s v="11"/>
    <s v="25.11"/>
    <s v="25.11"/>
    <n v="11765"/>
  </r>
  <r>
    <s v="네이버"/>
    <s v="ADEX"/>
    <s v="코리아델로스"/>
    <x v="4"/>
    <s v="서비스"/>
    <s v="음식및숙박"/>
    <s v="기타프랜차이즈점"/>
    <s v="TV"/>
    <s v="지상파"/>
    <s v="SBS"/>
    <s v="-"/>
    <s v="25"/>
    <s v="11"/>
    <s v="25.11"/>
    <s v="25.11"/>
    <n v="21000"/>
  </r>
  <r>
    <s v="기타"/>
    <s v="ADEX"/>
    <s v="아이더스에프앤비"/>
    <x v="0"/>
    <s v="서비스"/>
    <s v="음식및숙박"/>
    <s v="기타프랜차이즈점"/>
    <s v="TV"/>
    <s v="케이블"/>
    <s v="ONT"/>
    <s v="-"/>
    <s v="25"/>
    <s v="11"/>
    <s v="25.11"/>
    <s v="25.11"/>
    <n v="1658"/>
  </r>
  <r>
    <s v="Tving"/>
    <s v="ADEX"/>
    <s v="아이더스에프앤비"/>
    <x v="0"/>
    <s v="서비스"/>
    <s v="음식및숙박"/>
    <s v="기타프랜차이즈점"/>
    <s v="TV"/>
    <s v="종편"/>
    <s v="JTBC"/>
    <s v="-"/>
    <s v="25"/>
    <s v="11"/>
    <s v="25.11"/>
    <s v="25.11"/>
    <n v="314694"/>
  </r>
  <r>
    <s v="YouTube"/>
    <s v="ADEX"/>
    <s v="멕시카나"/>
    <x v="7"/>
    <s v="서비스"/>
    <s v="음식및숙박"/>
    <s v="기타프랜차이즈점"/>
    <s v="디지털"/>
    <s v="디지털동영상"/>
    <s v="Tving"/>
    <s v="-"/>
    <s v="25"/>
    <s v="11"/>
    <s v="25.11"/>
    <s v="25.11"/>
    <n v="9413"/>
  </r>
  <r>
    <s v="YouTube"/>
    <s v="ADEX"/>
    <s v="아이더스에프앤비"/>
    <x v="0"/>
    <s v="서비스"/>
    <s v="음식및숙박"/>
    <s v="기타프랜차이즈점"/>
    <s v="TV"/>
    <s v="케이블"/>
    <s v="OLIFE"/>
    <s v="-"/>
    <s v="25"/>
    <s v="11"/>
    <s v="25.11"/>
    <s v="25.11"/>
    <n v="1453"/>
  </r>
  <r>
    <s v="케이블"/>
    <s v="ADEX"/>
    <s v="에이치푸드빌"/>
    <x v="12"/>
    <s v="서비스"/>
    <s v="음식및숙박"/>
    <s v="기타프랜차이즈점"/>
    <s v="TV"/>
    <s v="케이블"/>
    <s v="tvNDRAMA"/>
    <s v="-"/>
    <s v="25"/>
    <s v="11"/>
    <s v="25.11"/>
    <s v="25.11"/>
    <n v="45173"/>
  </r>
  <r>
    <s v="케이블"/>
    <s v="ADEX"/>
    <s v="아이더스에프앤비"/>
    <x v="0"/>
    <s v="서비스"/>
    <s v="음식및숙박"/>
    <s v="기타프랜차이즈점"/>
    <s v="TV"/>
    <s v="케이블"/>
    <s v="JTBC4"/>
    <s v="-"/>
    <s v="25"/>
    <s v="11"/>
    <s v="25.11"/>
    <s v="25.11"/>
    <n v="8076"/>
  </r>
  <r>
    <s v="케이블"/>
    <s v="ADEX"/>
    <s v="아이더스에프앤비"/>
    <x v="0"/>
    <s v="서비스"/>
    <s v="음식및숙박"/>
    <s v="기타프랜차이즈점"/>
    <s v="TV"/>
    <s v="케이블"/>
    <s v="ONCE"/>
    <s v="-"/>
    <s v="25"/>
    <s v="11"/>
    <s v="25.11"/>
    <s v="25.11"/>
    <n v="1875"/>
  </r>
  <r>
    <s v="케이블"/>
    <s v="ADEX"/>
    <s v="에이치푸드빌"/>
    <x v="12"/>
    <s v="서비스"/>
    <s v="음식및숙박"/>
    <s v="기타프랜차이즈점"/>
    <s v="TV"/>
    <s v="케이블"/>
    <s v="tvN"/>
    <s v="-"/>
    <s v="25"/>
    <s v="11"/>
    <s v="25.11"/>
    <s v="25.11"/>
    <n v="187500"/>
  </r>
  <r>
    <s v="디지털 영상"/>
    <s v="ADEX"/>
    <s v="아이더스에프앤비"/>
    <x v="0"/>
    <s v="서비스"/>
    <s v="음식및숙박"/>
    <s v="기타프랜차이즈점"/>
    <s v="디지털"/>
    <s v="디지털동영상"/>
    <s v="Tving"/>
    <s v="-"/>
    <s v="25"/>
    <s v="11"/>
    <s v="25.11"/>
    <s v="25.11"/>
    <n v="4931"/>
  </r>
  <r>
    <s v="케이블"/>
    <s v="ADEX"/>
    <s v="아이더스에프앤비"/>
    <x v="0"/>
    <s v="서비스"/>
    <s v="음식및숙박"/>
    <s v="기타프랜차이즈점"/>
    <s v="TV"/>
    <s v="케이블"/>
    <s v="KBS드라마"/>
    <s v="-"/>
    <s v="25"/>
    <s v="11"/>
    <s v="25.11"/>
    <s v="25.11"/>
    <n v="16381"/>
  </r>
  <r>
    <s v="YouTube"/>
    <s v="ADEX"/>
    <s v="멕시카나"/>
    <x v="7"/>
    <s v="서비스"/>
    <s v="음식및숙박"/>
    <s v="기타프랜차이즈점"/>
    <s v="디지털"/>
    <s v="디지털동영상"/>
    <s v="다음"/>
    <s v="-"/>
    <s v="25"/>
    <s v="11"/>
    <s v="25.11"/>
    <s v="25.11"/>
    <n v="94"/>
  </r>
  <r>
    <s v="기타"/>
    <s v="ADEX"/>
    <s v="아이더스에프앤비"/>
    <x v="0"/>
    <s v="서비스"/>
    <s v="음식및숙박"/>
    <s v="기타프랜차이즈점"/>
    <s v="TV"/>
    <s v="케이블"/>
    <s v="tvNDRAMA"/>
    <s v="-"/>
    <s v="25"/>
    <s v="11"/>
    <s v="25.11"/>
    <s v="25.11"/>
    <n v="20571"/>
  </r>
  <r>
    <s v="YouTube"/>
    <s v="ADEX"/>
    <s v="아이더스에프앤비"/>
    <x v="0"/>
    <s v="서비스"/>
    <s v="음식및숙박"/>
    <s v="기타프랜차이즈점"/>
    <s v="TV"/>
    <s v="케이블"/>
    <s v="MBCevery1"/>
    <s v="-"/>
    <s v="25"/>
    <s v="11"/>
    <s v="25.11"/>
    <s v="25.11"/>
    <n v="19937"/>
  </r>
  <r>
    <s v="Tving"/>
    <s v="ADEX"/>
    <s v="지엔푸드"/>
    <x v="13"/>
    <s v="서비스"/>
    <s v="음식및숙박"/>
    <s v="기타프랜차이즈점"/>
    <s v="디지털"/>
    <s v="디지털동영상"/>
    <s v="YouTube"/>
    <s v="-"/>
    <s v="25"/>
    <s v="11"/>
    <s v="25.11"/>
    <s v="25.11"/>
    <n v="23150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11"/>
    <s v="25.11"/>
    <s v="25.11"/>
    <n v="8410"/>
  </r>
  <r>
    <s v="YouTube"/>
    <s v="ADEX"/>
    <s v="아이더스에프앤비"/>
    <x v="0"/>
    <s v="서비스"/>
    <s v="음식및숙박"/>
    <s v="기타프랜차이즈점"/>
    <s v="TV"/>
    <s v="케이블"/>
    <s v="ENASTORY"/>
    <s v="-"/>
    <s v="25"/>
    <s v="11"/>
    <s v="25.11"/>
    <s v="25.11"/>
    <n v="3653"/>
  </r>
  <r>
    <s v="케이블"/>
    <s v="ADEX"/>
    <s v="아이더스에프앤비"/>
    <x v="0"/>
    <s v="서비스"/>
    <s v="음식및숙박"/>
    <s v="기타프랜차이즈점"/>
    <s v="TV"/>
    <s v="케이블"/>
    <s v="KBSJOY"/>
    <s v="-"/>
    <s v="25"/>
    <s v="11"/>
    <s v="25.11"/>
    <s v="25.11"/>
    <n v="45883"/>
  </r>
  <r>
    <s v="네이버"/>
    <s v="ADEX"/>
    <s v="멕시카나"/>
    <x v="7"/>
    <s v="서비스"/>
    <s v="음식및숙박"/>
    <s v="기타프랜차이즈점"/>
    <s v="디지털"/>
    <s v="디지털동영상"/>
    <s v="네이버"/>
    <s v="-"/>
    <s v="25"/>
    <s v="11"/>
    <s v="25.11"/>
    <s v="25.11"/>
    <n v="5903"/>
  </r>
  <r>
    <s v="기타"/>
    <s v="ADEX"/>
    <s v="멕시카나"/>
    <x v="7"/>
    <s v="서비스"/>
    <s v="음식및숙박"/>
    <s v="기타프랜차이즈점"/>
    <s v="디지털"/>
    <s v="디지털동영상"/>
    <s v="YouTube"/>
    <s v="-"/>
    <s v="25"/>
    <s v="11"/>
    <s v="25.11"/>
    <s v="25.11"/>
    <n v="21424"/>
  </r>
  <r>
    <s v="디지털 영상"/>
    <s v="ADEX"/>
    <s v="지엔푸드"/>
    <x v="13"/>
    <s v="서비스"/>
    <s v="음식및숙박"/>
    <s v="기타프랜차이즈점"/>
    <s v="디지털"/>
    <s v="디지털동영상"/>
    <s v="Tving"/>
    <s v="-"/>
    <s v="25"/>
    <s v="11"/>
    <s v="25.11"/>
    <s v="25.11"/>
    <n v="3569"/>
  </r>
  <r>
    <s v="Tving"/>
    <s v="ADEX"/>
    <s v="지엔푸드"/>
    <x v="13"/>
    <s v="서비스"/>
    <s v="음식및숙박"/>
    <s v="기타프랜차이즈점"/>
    <s v="디지털"/>
    <s v="디지털동영상"/>
    <s v="네이버"/>
    <s v="-"/>
    <s v="25"/>
    <s v="11"/>
    <s v="25.11"/>
    <s v="25.11"/>
    <n v="38690"/>
  </r>
  <r>
    <s v="네이버"/>
    <s v="ADEX"/>
    <s v="아이더스에프앤비"/>
    <x v="0"/>
    <s v="서비스"/>
    <s v="음식및숙박"/>
    <s v="기타프랜차이즈점"/>
    <s v="TV"/>
    <s v="케이블"/>
    <s v="CHING"/>
    <s v="-"/>
    <s v="25"/>
    <s v="11"/>
    <s v="25.11"/>
    <s v="25.11"/>
    <n v="2724"/>
  </r>
  <r>
    <s v="케이블"/>
    <s v="ADEX"/>
    <s v="에이치푸드빌"/>
    <x v="12"/>
    <s v="서비스"/>
    <s v="음식및숙박"/>
    <s v="기타프랜차이즈점"/>
    <s v="TV"/>
    <s v="케이블"/>
    <s v="tvNSHOW"/>
    <s v="-"/>
    <s v="25"/>
    <s v="11"/>
    <s v="25.11"/>
    <s v="25.11"/>
    <n v="52415"/>
  </r>
  <r>
    <s v="YouTube"/>
    <s v="ADEX"/>
    <s v="지엔푸드"/>
    <x v="13"/>
    <s v="서비스"/>
    <s v="음식및숙박"/>
    <s v="기타프랜차이즈점"/>
    <s v="디지털"/>
    <s v="디지털동영상"/>
    <s v="다음"/>
    <s v="-"/>
    <s v="25"/>
    <s v="11"/>
    <s v="25.11"/>
    <s v="25.11"/>
    <n v="131"/>
  </r>
  <r>
    <s v="YouTube"/>
    <s v="ADEX"/>
    <s v="아이더스에프앤비"/>
    <x v="0"/>
    <s v="서비스"/>
    <s v="음식및숙박"/>
    <s v="기타프랜차이즈점"/>
    <s v="TV"/>
    <s v="케이블"/>
    <s v="tvNSHOW"/>
    <s v="-"/>
    <s v="25"/>
    <s v="11"/>
    <s v="25.11"/>
    <s v="25.11"/>
    <n v="26320"/>
  </r>
  <r>
    <s v="YouTube"/>
    <s v="ADEX"/>
    <s v="아이더스에프앤비"/>
    <x v="0"/>
    <s v="서비스"/>
    <s v="음식및숙박"/>
    <s v="기타프랜차이즈점"/>
    <s v="디지털"/>
    <s v="디지털동영상"/>
    <s v="SMR"/>
    <s v="-"/>
    <s v="25"/>
    <s v="11"/>
    <s v="25.11"/>
    <s v="25.11"/>
    <n v="118216"/>
  </r>
  <r>
    <s v="디지털 영상"/>
    <s v="ADEX"/>
    <s v="외식전문기업제이케이"/>
    <x v="14"/>
    <s v="서비스"/>
    <s v="음식및숙박"/>
    <s v="기타프랜차이즈점"/>
    <s v="디지털"/>
    <s v="디지털동영상"/>
    <s v="YouTube"/>
    <s v="-"/>
    <s v="25"/>
    <s v="11"/>
    <s v="25.11"/>
    <s v="25.11"/>
    <n v="21632"/>
  </r>
  <r>
    <s v="YouTube"/>
    <s v="ADEX"/>
    <s v="아이더스에프앤비"/>
    <x v="0"/>
    <s v="서비스"/>
    <s v="음식및숙박"/>
    <s v="기타프랜차이즈점"/>
    <s v="TV"/>
    <s v="케이블"/>
    <s v="JTBC2"/>
    <s v="-"/>
    <s v="25"/>
    <s v="11"/>
    <s v="25.11"/>
    <s v="25.11"/>
    <n v="17802"/>
  </r>
  <r>
    <s v="Tving"/>
    <s v="ADEX"/>
    <s v="아이더스에프앤비"/>
    <x v="0"/>
    <s v="서비스"/>
    <s v="음식및숙박"/>
    <s v="기타프랜차이즈점"/>
    <s v="TV"/>
    <s v="케이블"/>
    <s v="tvNSPORTS"/>
    <s v="-"/>
    <s v="25"/>
    <s v="11"/>
    <s v="25.11"/>
    <s v="25.11"/>
    <n v="1735"/>
  </r>
  <r>
    <s v="케이블"/>
    <s v="ADEX"/>
    <s v="아이더스에프앤비"/>
    <x v="0"/>
    <s v="서비스"/>
    <s v="음식및숙박"/>
    <s v="기타프랜차이즈점"/>
    <s v="TV"/>
    <s v="케이블"/>
    <s v="ENAPLAY"/>
    <s v="-"/>
    <s v="25"/>
    <s v="11"/>
    <s v="25.11"/>
    <s v="25.11"/>
    <n v="8421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11"/>
    <s v="25.11"/>
    <s v="25.11"/>
    <n v="3932"/>
  </r>
  <r>
    <s v="네이버"/>
    <s v="ADEX"/>
    <s v="아이더스에프앤비"/>
    <x v="0"/>
    <s v="서비스"/>
    <s v="음식및숙박"/>
    <s v="기타프랜차이즈점"/>
    <s v="TV"/>
    <s v="케이블"/>
    <s v="tvN"/>
    <s v="-"/>
    <s v="25"/>
    <s v="11"/>
    <s v="25.11"/>
    <s v="25.11"/>
    <n v="259079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11"/>
    <s v="25.11"/>
    <s v="25.11"/>
    <n v="2481"/>
  </r>
  <r>
    <s v="케이블"/>
    <s v="ADEX"/>
    <s v="아이더스에프앤비"/>
    <x v="0"/>
    <s v="서비스"/>
    <s v="음식및숙박"/>
    <s v="기타프랜차이즈점"/>
    <s v="TV"/>
    <s v="케이블"/>
    <s v="ENA"/>
    <s v="-"/>
    <s v="25"/>
    <s v="11"/>
    <s v="25.11"/>
    <s v="25.11"/>
    <n v="61233"/>
  </r>
  <r>
    <s v="디지털 영상"/>
    <s v="ADEX"/>
    <s v="에이치푸드빌"/>
    <x v="12"/>
    <s v="서비스"/>
    <s v="음식및숙박"/>
    <s v="기타프랜차이즈점"/>
    <s v="디지털"/>
    <s v="디지털동영상"/>
    <s v="Tving"/>
    <s v="-"/>
    <s v="25"/>
    <s v="11"/>
    <s v="25.11"/>
    <s v="25.11"/>
    <n v="170"/>
  </r>
  <r>
    <s v="YouTube"/>
    <s v="ADEX"/>
    <s v="노상치킨"/>
    <x v="9"/>
    <s v="서비스"/>
    <s v="음식및숙박"/>
    <s v="기타프랜차이즈점"/>
    <s v="TV"/>
    <s v="케이블"/>
    <s v="연합뉴스TV"/>
    <s v="-"/>
    <s v="25"/>
    <s v="11"/>
    <s v="25.11"/>
    <s v="25.11"/>
    <n v="77895"/>
  </r>
  <r>
    <s v="지상파"/>
    <s v="ADEX"/>
    <s v="아이더스에프앤비"/>
    <x v="0"/>
    <s v="서비스"/>
    <s v="음식및숙박"/>
    <s v="기타프랜차이즈점"/>
    <s v="TV"/>
    <s v="지상파"/>
    <s v="OBS"/>
    <s v="-"/>
    <s v="25"/>
    <s v="11"/>
    <s v="25.11"/>
    <s v="25.11"/>
    <n v="3241"/>
  </r>
  <r>
    <s v="네이버"/>
    <s v="ADEX"/>
    <s v="꼬꼬에프앤비"/>
    <x v="11"/>
    <s v="서비스"/>
    <s v="음식및숙박"/>
    <s v="기타프랜차이즈점"/>
    <s v="라디오"/>
    <s v="라디오"/>
    <s v="SBS-FM"/>
    <s v="-"/>
    <s v="25"/>
    <s v="11"/>
    <s v="25.11"/>
    <s v="25.11"/>
    <n v="185000"/>
  </r>
  <r>
    <s v="Tving"/>
    <s v="ADEX"/>
    <s v="아이더스에프앤비"/>
    <x v="0"/>
    <s v="서비스"/>
    <s v="음식및숙박"/>
    <s v="기타프랜차이즈점"/>
    <s v="디지털"/>
    <s v="디지털동영상"/>
    <s v="다음"/>
    <s v="-"/>
    <s v="25"/>
    <s v="11"/>
    <s v="25.11"/>
    <s v="25.11"/>
    <n v="94"/>
  </r>
  <r>
    <s v="YouTube"/>
    <s v="ADEX"/>
    <s v="에이치푸드빌"/>
    <x v="12"/>
    <s v="서비스"/>
    <s v="음식및숙박"/>
    <s v="기타프랜차이즈점"/>
    <s v="TV"/>
    <s v="케이블"/>
    <s v="tvNSPORTS"/>
    <s v="-"/>
    <s v="25"/>
    <s v="11"/>
    <s v="25.11"/>
    <s v="25.11"/>
    <n v="39958"/>
  </r>
  <r>
    <s v="YouTube"/>
    <s v="ADEX"/>
    <s v="장스푸드"/>
    <x v="2"/>
    <s v="서비스"/>
    <s v="음식및숙박"/>
    <s v="기타프랜차이즈점"/>
    <s v="TV"/>
    <s v="지상파"/>
    <s v="EBS"/>
    <s v="-"/>
    <s v="25"/>
    <s v="11"/>
    <s v="25.11"/>
    <s v="25.11"/>
    <n v="145818"/>
  </r>
  <r>
    <s v="네이버"/>
    <s v="ADEX"/>
    <s v="아이더스에프앤비"/>
    <x v="0"/>
    <s v="서비스"/>
    <s v="음식및숙박"/>
    <s v="기타프랜차이즈점"/>
    <s v="TV"/>
    <s v="케이블"/>
    <s v="헬스메디TV"/>
    <s v="-"/>
    <s v="25"/>
    <s v="11"/>
    <s v="25.11"/>
    <s v="25.11"/>
    <n v="1631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11"/>
    <s v="25.11"/>
    <s v="25.11"/>
    <n v="20082"/>
  </r>
  <r>
    <s v="YouTube"/>
    <s v="ADEX"/>
    <s v="호식이두마리치킨"/>
    <x v="15"/>
    <s v="서비스"/>
    <s v="음식및숙박"/>
    <s v="기타프랜차이즈점"/>
    <s v="TV"/>
    <s v="케이블"/>
    <s v="SCREEN"/>
    <s v="-"/>
    <s v="25"/>
    <s v="10"/>
    <s v="25.10"/>
    <s v="25.10"/>
    <n v="8829"/>
  </r>
  <r>
    <s v="기타"/>
    <s v="ADEX"/>
    <s v="리치빔"/>
    <x v="1"/>
    <s v="서비스"/>
    <s v="음식및숙박"/>
    <s v="기타프랜차이즈점"/>
    <s v="TV"/>
    <s v="케이블"/>
    <s v="SBSPlus"/>
    <s v="-"/>
    <s v="25"/>
    <s v="10"/>
    <s v="25.10"/>
    <s v="25.10"/>
    <n v="8444"/>
  </r>
  <r>
    <s v="YouTube"/>
    <s v="ADEX"/>
    <s v="리치빔"/>
    <x v="1"/>
    <s v="서비스"/>
    <s v="음식및숙박"/>
    <s v="기타프랜차이즈점"/>
    <s v="TV"/>
    <s v="지상파"/>
    <s v="OBS"/>
    <s v="-"/>
    <s v="25"/>
    <s v="10"/>
    <s v="25.10"/>
    <s v="25.10"/>
    <n v="1682"/>
  </r>
  <r>
    <s v="네이버"/>
    <s v="ADEX"/>
    <s v="호식이두마리치킨"/>
    <x v="15"/>
    <s v="서비스"/>
    <s v="음식및숙박"/>
    <s v="기타프랜차이즈점"/>
    <s v="TV"/>
    <s v="케이블"/>
    <s v="ENADRAMA"/>
    <s v="-"/>
    <s v="25"/>
    <s v="10"/>
    <s v="25.10"/>
    <s v="25.10"/>
    <n v="3800"/>
  </r>
  <r>
    <s v="YouTube"/>
    <s v="ADEX"/>
    <s v="호식이두마리치킨"/>
    <x v="15"/>
    <s v="서비스"/>
    <s v="음식및숙박"/>
    <s v="기타프랜차이즈점"/>
    <s v="TV"/>
    <s v="케이블"/>
    <s v="연합뉴스TV"/>
    <s v="-"/>
    <s v="25"/>
    <s v="10"/>
    <s v="25.10"/>
    <s v="25.10"/>
    <n v="39158"/>
  </r>
  <r>
    <s v="네이버"/>
    <s v="ADEX"/>
    <s v="호식이두마리치킨"/>
    <x v="15"/>
    <s v="서비스"/>
    <s v="음식및숙박"/>
    <s v="기타프랜차이즈점"/>
    <s v="TV"/>
    <s v="케이블"/>
    <s v="MBCevery1"/>
    <s v="-"/>
    <s v="25"/>
    <s v="10"/>
    <s v="25.10"/>
    <s v="25.10"/>
    <n v="59250"/>
  </r>
  <r>
    <s v="케이블"/>
    <s v="ADEX"/>
    <s v="호식이두마리치킨"/>
    <x v="15"/>
    <s v="서비스"/>
    <s v="음식및숙박"/>
    <s v="기타프랜차이즈점"/>
    <s v="TV"/>
    <s v="케이블"/>
    <s v="코미디TV"/>
    <s v="-"/>
    <s v="25"/>
    <s v="10"/>
    <s v="25.10"/>
    <s v="25.10"/>
    <n v="66824"/>
  </r>
  <r>
    <s v="YouTube"/>
    <s v="ADEX"/>
    <s v="멕시카나"/>
    <x v="7"/>
    <s v="서비스"/>
    <s v="음식및숙박"/>
    <s v="기타프랜차이즈점"/>
    <s v="디지털"/>
    <s v="디지털동영상"/>
    <s v="YouTube"/>
    <s v="-"/>
    <s v="25"/>
    <s v="10"/>
    <s v="25.10"/>
    <s v="25.10"/>
    <n v="1420"/>
  </r>
  <r>
    <s v="YouTube"/>
    <s v="ADEX"/>
    <s v="호식이두마리치킨"/>
    <x v="15"/>
    <s v="서비스"/>
    <s v="음식및숙박"/>
    <s v="기타프랜차이즈점"/>
    <s v="TV"/>
    <s v="케이블"/>
    <s v="KBSJOY"/>
    <s v="-"/>
    <s v="25"/>
    <s v="10"/>
    <s v="25.10"/>
    <s v="25.10"/>
    <n v="52804"/>
  </r>
  <r>
    <s v="네이버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10"/>
    <s v="25.10"/>
    <s v="25.10"/>
    <n v="89571"/>
  </r>
  <r>
    <s v="YouTube"/>
    <s v="ADEX"/>
    <s v="지엔푸드"/>
    <x v="13"/>
    <s v="서비스"/>
    <s v="음식및숙박"/>
    <s v="기타프랜차이즈점"/>
    <s v="디지털"/>
    <s v="디지털동영상"/>
    <s v="YouTube"/>
    <s v="-"/>
    <s v="25"/>
    <s v="10"/>
    <s v="25.10"/>
    <s v="25.10"/>
    <n v="14088"/>
  </r>
  <r>
    <s v="네이버"/>
    <s v="ADEX"/>
    <s v="호식이두마리치킨"/>
    <x v="15"/>
    <s v="서비스"/>
    <s v="음식및숙박"/>
    <s v="기타프랜차이즈점"/>
    <s v="TV"/>
    <s v="케이블"/>
    <s v="SBSfunE"/>
    <s v="-"/>
    <s v="25"/>
    <s v="10"/>
    <s v="25.10"/>
    <s v="25.10"/>
    <n v="53037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10"/>
    <s v="25.10"/>
    <s v="25.10"/>
    <n v="242"/>
  </r>
  <r>
    <s v="케이블"/>
    <s v="ADEX"/>
    <s v="웰빙푸드"/>
    <x v="3"/>
    <s v="서비스"/>
    <s v="음식및숙박"/>
    <s v="기타프랜차이즈점"/>
    <s v="TV"/>
    <s v="케이블"/>
    <s v="OCNMovies"/>
    <s v="-"/>
    <s v="25"/>
    <s v="10"/>
    <s v="25.10"/>
    <s v="25.10"/>
    <n v="15790"/>
  </r>
  <r>
    <s v="케이블"/>
    <s v="ADEX"/>
    <s v="웰빙푸드"/>
    <x v="3"/>
    <s v="서비스"/>
    <s v="음식및숙박"/>
    <s v="기타프랜차이즈점"/>
    <s v="TV"/>
    <s v="케이블"/>
    <s v="OCNMovies2"/>
    <s v="-"/>
    <s v="25"/>
    <s v="10"/>
    <s v="25.10"/>
    <s v="25.10"/>
    <n v="6607"/>
  </r>
  <r>
    <s v="라디오"/>
    <s v="ADEX"/>
    <s v="꼬꼬에프앤비"/>
    <x v="11"/>
    <s v="서비스"/>
    <s v="음식및숙박"/>
    <s v="기타프랜차이즈점"/>
    <s v="라디오"/>
    <s v="라디오"/>
    <s v="SBS-FM"/>
    <s v="-"/>
    <s v="25"/>
    <s v="10"/>
    <s v="25.10"/>
    <s v="25.10"/>
    <n v="205000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10"/>
    <s v="25.10"/>
    <s v="25.10"/>
    <n v="4288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10"/>
    <s v="25.10"/>
    <s v="25.10"/>
    <n v="2000"/>
  </r>
  <r>
    <s v="라디오"/>
    <s v="ADEX"/>
    <s v="꼬꼬에프앤비"/>
    <x v="11"/>
    <s v="서비스"/>
    <s v="음식및숙박"/>
    <s v="기타프랜차이즈점"/>
    <s v="라디오"/>
    <s v="라디오"/>
    <s v="SBS-RD"/>
    <s v="-"/>
    <s v="25"/>
    <s v="10"/>
    <s v="25.10"/>
    <s v="25.10"/>
    <n v="23250"/>
  </r>
  <r>
    <s v="디지털 영상"/>
    <s v="ADEX"/>
    <s v="에이치푸드빌"/>
    <x v="12"/>
    <s v="서비스"/>
    <s v="음식및숙박"/>
    <s v="기타프랜차이즈점"/>
    <s v="디지털"/>
    <s v="디지털동영상"/>
    <s v="Tving"/>
    <s v="-"/>
    <s v="25"/>
    <s v="10"/>
    <s v="25.10"/>
    <s v="25.10"/>
    <n v="635"/>
  </r>
  <r>
    <s v="케이블"/>
    <s v="ADEX"/>
    <s v="호식이두마리치킨"/>
    <x v="15"/>
    <s v="서비스"/>
    <s v="음식및숙박"/>
    <s v="기타프랜차이즈점"/>
    <s v="TV"/>
    <s v="케이블"/>
    <s v="KBS드라마"/>
    <s v="-"/>
    <s v="25"/>
    <s v="10"/>
    <s v="25.10"/>
    <s v="25.10"/>
    <n v="4619"/>
  </r>
  <r>
    <s v="케이블"/>
    <s v="ADEX"/>
    <s v="호식이두마리치킨"/>
    <x v="15"/>
    <s v="서비스"/>
    <s v="음식및숙박"/>
    <s v="기타프랜차이즈점"/>
    <s v="TV"/>
    <s v="케이블"/>
    <s v="SBSPlus"/>
    <s v="-"/>
    <s v="25"/>
    <s v="10"/>
    <s v="25.10"/>
    <s v="25.10"/>
    <n v="52944"/>
  </r>
  <r>
    <s v="케이블"/>
    <s v="ADEX"/>
    <s v="호식이두마리치킨"/>
    <x v="15"/>
    <s v="서비스"/>
    <s v="음식및숙박"/>
    <s v="기타프랜차이즈점"/>
    <s v="TV"/>
    <s v="케이블"/>
    <s v="iplay"/>
    <s v="-"/>
    <s v="25"/>
    <s v="10"/>
    <s v="25.10"/>
    <s v="25.10"/>
    <n v="6742"/>
  </r>
  <r>
    <s v="케이블"/>
    <s v="ADEX"/>
    <s v="호식이두마리치킨"/>
    <x v="15"/>
    <s v="서비스"/>
    <s v="음식및숙박"/>
    <s v="기타프랜차이즈점"/>
    <s v="TV"/>
    <s v="케이블"/>
    <s v="CHview"/>
    <s v="-"/>
    <s v="25"/>
    <s v="10"/>
    <s v="25.10"/>
    <s v="25.10"/>
    <n v="3042"/>
  </r>
  <r>
    <s v="디지털 영상"/>
    <s v="ADEX"/>
    <s v="호식이두마리치킨"/>
    <x v="15"/>
    <s v="서비스"/>
    <s v="음식및숙박"/>
    <s v="기타프랜차이즈점"/>
    <s v="디지털"/>
    <s v="디지털동영상"/>
    <s v="네이버"/>
    <s v="-"/>
    <s v="25"/>
    <s v="10"/>
    <s v="25.10"/>
    <s v="25.10"/>
    <n v="1713"/>
  </r>
  <r>
    <s v="케이블"/>
    <s v="ADEX"/>
    <s v="호식이두마리치킨"/>
    <x v="15"/>
    <s v="서비스"/>
    <s v="음식및숙박"/>
    <s v="기타프랜차이즈점"/>
    <s v="TV"/>
    <s v="케이블"/>
    <s v="채널나우"/>
    <s v="-"/>
    <s v="25"/>
    <s v="10"/>
    <s v="25.10"/>
    <s v="25.10"/>
    <n v="4843"/>
  </r>
  <r>
    <s v="디지털 영상"/>
    <s v="ADEX"/>
    <s v="호식이두마리치킨"/>
    <x v="15"/>
    <s v="서비스"/>
    <s v="음식및숙박"/>
    <s v="기타프랜차이즈점"/>
    <s v="디지털"/>
    <s v="디지털동영상"/>
    <s v="YouTube"/>
    <s v="-"/>
    <s v="25"/>
    <s v="10"/>
    <s v="25.10"/>
    <s v="25.10"/>
    <n v="24678"/>
  </r>
  <r>
    <s v="디지털 영상"/>
    <s v="ADEX"/>
    <s v="장스푸드"/>
    <x v="2"/>
    <s v="서비스"/>
    <s v="음식및숙박"/>
    <s v="기타프랜차이즈점"/>
    <s v="디지털"/>
    <s v="디지털동영상"/>
    <s v="Tving"/>
    <s v="-"/>
    <s v="25"/>
    <s v="10"/>
    <s v="25.10"/>
    <s v="25.10"/>
    <n v="624"/>
  </r>
  <r>
    <s v="케이블"/>
    <s v="ADEX"/>
    <s v="호식이두마리치킨"/>
    <x v="15"/>
    <s v="서비스"/>
    <s v="음식및숙박"/>
    <s v="기타프랜차이즈점"/>
    <s v="TV"/>
    <s v="케이블"/>
    <s v="E채널"/>
    <s v="-"/>
    <s v="25"/>
    <s v="10"/>
    <s v="25.10"/>
    <s v="25.10"/>
    <n v="23000"/>
  </r>
  <r>
    <s v="케이블"/>
    <s v="ADEX"/>
    <s v="에이치푸드빌"/>
    <x v="12"/>
    <s v="서비스"/>
    <s v="음식및숙박"/>
    <s v="기타프랜차이즈점"/>
    <s v="TV"/>
    <s v="케이블"/>
    <s v="tvN"/>
    <s v="-"/>
    <s v="25"/>
    <s v="10"/>
    <s v="25.10"/>
    <s v="25.10"/>
    <n v="172632"/>
  </r>
  <r>
    <s v="케이블"/>
    <s v="ADEX"/>
    <s v="호식이두마리치킨"/>
    <x v="15"/>
    <s v="서비스"/>
    <s v="음식및숙박"/>
    <s v="기타프랜차이즈점"/>
    <s v="TV"/>
    <s v="케이블"/>
    <s v="채널에버"/>
    <s v="-"/>
    <s v="25"/>
    <s v="10"/>
    <s v="25.10"/>
    <s v="25.10"/>
    <n v="1708"/>
  </r>
  <r>
    <s v="디지털 영상"/>
    <s v="ADEX"/>
    <s v="에이치푸드빌"/>
    <x v="12"/>
    <s v="서비스"/>
    <s v="음식및숙박"/>
    <s v="기타프랜차이즈점"/>
    <s v="디지털"/>
    <s v="디지털동영상"/>
    <s v="YouTube"/>
    <s v="-"/>
    <s v="25"/>
    <s v="10"/>
    <s v="25.10"/>
    <s v="25.10"/>
    <n v="8172"/>
  </r>
  <r>
    <s v="케이블"/>
    <s v="ADEX"/>
    <s v="호식이두마리치킨"/>
    <x v="15"/>
    <s v="서비스"/>
    <s v="음식및숙박"/>
    <s v="기타프랜차이즈점"/>
    <s v="TV"/>
    <s v="케이블"/>
    <s v="ENAPLAY"/>
    <s v="-"/>
    <s v="25"/>
    <s v="10"/>
    <s v="25.10"/>
    <s v="25.10"/>
    <n v="3930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10"/>
    <s v="25.10"/>
    <s v="25.10"/>
    <n v="131727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10"/>
    <s v="25.10"/>
    <s v="25.10"/>
    <n v="78632"/>
  </r>
  <r>
    <s v="디지털 영상"/>
    <s v="ADEX"/>
    <s v="리치빔"/>
    <x v="1"/>
    <s v="서비스"/>
    <s v="음식및숙박"/>
    <s v="기타프랜차이즈점"/>
    <s v="디지털"/>
    <s v="디지털동영상"/>
    <s v="Tving"/>
    <s v="-"/>
    <s v="25"/>
    <s v="10"/>
    <s v="25.10"/>
    <s v="25.10"/>
    <n v="903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10"/>
    <s v="25.10"/>
    <s v="25.10"/>
    <n v="1456"/>
  </r>
  <r>
    <s v="케이블"/>
    <s v="ADEX"/>
    <s v="에이치푸드빌"/>
    <x v="12"/>
    <s v="서비스"/>
    <s v="음식및숙박"/>
    <s v="기타프랜차이즈점"/>
    <s v="TV"/>
    <s v="케이블"/>
    <s v="tvNSPORTS"/>
    <s v="-"/>
    <s v="25"/>
    <s v="10"/>
    <s v="25.10"/>
    <s v="25.10"/>
    <n v="39190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10"/>
    <s v="25.10"/>
    <s v="25.10"/>
    <n v="55"/>
  </r>
  <r>
    <s v="종편"/>
    <s v="ADEX"/>
    <s v="호식이두마리치킨"/>
    <x v="15"/>
    <s v="서비스"/>
    <s v="음식및숙박"/>
    <s v="기타프랜차이즈점"/>
    <s v="TV"/>
    <s v="종편"/>
    <s v="채널A"/>
    <s v="-"/>
    <s v="25"/>
    <s v="10"/>
    <s v="25.10"/>
    <s v="25.10"/>
    <n v="97310"/>
  </r>
  <r>
    <s v="케이블"/>
    <s v="ADEX"/>
    <s v="에이치푸드빌"/>
    <x v="12"/>
    <s v="서비스"/>
    <s v="음식및숙박"/>
    <s v="기타프랜차이즈점"/>
    <s v="TV"/>
    <s v="케이블"/>
    <s v="tvNSHOW"/>
    <s v="-"/>
    <s v="25"/>
    <s v="10"/>
    <s v="25.10"/>
    <s v="25.10"/>
    <n v="72291"/>
  </r>
  <r>
    <s v="디지털 영상"/>
    <s v="ADEX"/>
    <s v="아이더스에프앤비"/>
    <x v="0"/>
    <s v="서비스"/>
    <s v="음식및숙박"/>
    <s v="기타프랜차이즈점"/>
    <s v="디지털"/>
    <s v="디지털동영상"/>
    <s v="다음"/>
    <s v="-"/>
    <s v="25"/>
    <s v="10"/>
    <s v="25.10"/>
    <s v="25.10"/>
    <n v="55"/>
  </r>
  <r>
    <s v="케이블"/>
    <s v="ADEX"/>
    <s v="웰빙푸드"/>
    <x v="3"/>
    <s v="서비스"/>
    <s v="음식및숙박"/>
    <s v="기타프랜차이즈점"/>
    <s v="TV"/>
    <s v="케이블"/>
    <s v="OCN"/>
    <s v="-"/>
    <s v="25"/>
    <s v="10"/>
    <s v="25.10"/>
    <s v="25.10"/>
    <n v="15246"/>
  </r>
  <r>
    <s v="케이블"/>
    <s v="ADEX"/>
    <s v="호식이두마리치킨"/>
    <x v="15"/>
    <s v="서비스"/>
    <s v="음식및숙박"/>
    <s v="기타프랜차이즈점"/>
    <s v="TV"/>
    <s v="케이블"/>
    <s v="MBCM"/>
    <s v="-"/>
    <s v="25"/>
    <s v="10"/>
    <s v="25.10"/>
    <s v="25.10"/>
    <n v="9063"/>
  </r>
  <r>
    <s v="케이블"/>
    <s v="ADEX"/>
    <s v="호식이두마리치킨"/>
    <x v="15"/>
    <s v="서비스"/>
    <s v="음식및숙박"/>
    <s v="기타프랜차이즈점"/>
    <s v="TV"/>
    <s v="케이블"/>
    <s v="MBCON"/>
    <s v="-"/>
    <s v="25"/>
    <s v="10"/>
    <s v="25.10"/>
    <s v="25.10"/>
    <n v="7255"/>
  </r>
  <r>
    <s v="디지털 영상"/>
    <s v="ADEX"/>
    <s v="지엔푸드"/>
    <x v="13"/>
    <s v="서비스"/>
    <s v="음식및숙박"/>
    <s v="기타프랜차이즈점"/>
    <s v="디지털"/>
    <s v="디지털동영상"/>
    <s v="Tving"/>
    <s v="-"/>
    <s v="25"/>
    <s v="10"/>
    <s v="25.10"/>
    <s v="25.10"/>
    <n v="3236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10"/>
    <s v="25.10"/>
    <s v="25.10"/>
    <n v="3736"/>
  </r>
  <r>
    <s v="디지털 영상"/>
    <s v="ADEX"/>
    <s v="지엔푸드"/>
    <x v="13"/>
    <s v="서비스"/>
    <s v="음식및숙박"/>
    <s v="기타프랜차이즈점"/>
    <s v="디지털"/>
    <s v="디지털동영상"/>
    <s v="다음"/>
    <s v="-"/>
    <s v="25"/>
    <s v="10"/>
    <s v="25.10"/>
    <s v="25.10"/>
    <n v="3122"/>
  </r>
  <r>
    <s v="디지털 영상"/>
    <s v="ADEX"/>
    <s v="지엔푸드"/>
    <x v="13"/>
    <s v="서비스"/>
    <s v="음식및숙박"/>
    <s v="기타프랜차이즈점"/>
    <s v="디지털"/>
    <s v="디지털동영상"/>
    <s v="네이버"/>
    <s v="-"/>
    <s v="25"/>
    <s v="10"/>
    <s v="25.10"/>
    <s v="25.10"/>
    <n v="8958"/>
  </r>
  <r>
    <s v="지상파"/>
    <s v="ADEX"/>
    <s v="장스푸드"/>
    <x v="2"/>
    <s v="서비스"/>
    <s v="음식및숙박"/>
    <s v="기타프랜차이즈점"/>
    <s v="TV"/>
    <s v="지상파"/>
    <s v="MBC"/>
    <s v="-"/>
    <s v="25"/>
    <s v="10"/>
    <s v="25.10"/>
    <s v="25.10"/>
    <n v="106500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10"/>
    <s v="25.10"/>
    <s v="25.10"/>
    <n v="2481"/>
  </r>
  <r>
    <s v="케이블"/>
    <s v="ADEX"/>
    <s v="웰빙푸드"/>
    <x v="3"/>
    <s v="서비스"/>
    <s v="음식및숙박"/>
    <s v="기타프랜차이즈점"/>
    <s v="TV"/>
    <s v="케이블"/>
    <s v="tvNSTORY"/>
    <s v="-"/>
    <s v="25"/>
    <s v="10"/>
    <s v="25.10"/>
    <s v="25.10"/>
    <n v="17632"/>
  </r>
  <r>
    <s v="케이블"/>
    <s v="ADEX"/>
    <s v="호식이두마리치킨"/>
    <x v="15"/>
    <s v="서비스"/>
    <s v="음식및숙박"/>
    <s v="기타프랜차이즈점"/>
    <s v="TV"/>
    <s v="케이블"/>
    <s v="Dramax"/>
    <s v="-"/>
    <s v="25"/>
    <s v="10"/>
    <s v="25.10"/>
    <s v="25.10"/>
    <n v="57354"/>
  </r>
  <r>
    <s v="케이블"/>
    <s v="ADEX"/>
    <s v="호식이두마리치킨"/>
    <x v="15"/>
    <s v="서비스"/>
    <s v="음식및숙박"/>
    <s v="기타프랜차이즈점"/>
    <s v="TV"/>
    <s v="케이블"/>
    <s v="MBC드라마넷"/>
    <s v="-"/>
    <s v="25"/>
    <s v="10"/>
    <s v="25.10"/>
    <s v="25.10"/>
    <n v="235"/>
  </r>
  <r>
    <s v="케이블"/>
    <s v="ADEX"/>
    <s v="호식이두마리치킨"/>
    <x v="15"/>
    <s v="서비스"/>
    <s v="음식및숙박"/>
    <s v="기타프랜차이즈점"/>
    <s v="TV"/>
    <s v="케이블"/>
    <s v="채널S플러스"/>
    <s v="-"/>
    <s v="25"/>
    <s v="10"/>
    <s v="25.10"/>
    <s v="25.10"/>
    <n v="3717"/>
  </r>
  <r>
    <s v="케이블"/>
    <s v="ADEX"/>
    <s v="호식이두마리치킨"/>
    <x v="15"/>
    <s v="서비스"/>
    <s v="음식및숙박"/>
    <s v="기타프랜차이즈점"/>
    <s v="TV"/>
    <s v="케이블"/>
    <s v="ENA"/>
    <s v="-"/>
    <s v="25"/>
    <s v="10"/>
    <s v="25.10"/>
    <s v="25.10"/>
    <n v="30372"/>
  </r>
  <r>
    <s v="케이블"/>
    <s v="ADEX"/>
    <s v="호식이두마리치킨"/>
    <x v="15"/>
    <s v="서비스"/>
    <s v="음식및숙박"/>
    <s v="기타프랜차이즈점"/>
    <s v="TV"/>
    <s v="케이블"/>
    <s v="cineF"/>
    <s v="-"/>
    <s v="25"/>
    <s v="10"/>
    <s v="25.10"/>
    <s v="25.10"/>
    <n v="1342"/>
  </r>
  <r>
    <s v="케이블"/>
    <s v="ADEX"/>
    <s v="호식이두마리치킨"/>
    <x v="15"/>
    <s v="서비스"/>
    <s v="음식및숙박"/>
    <s v="기타프랜차이즈점"/>
    <s v="TV"/>
    <s v="케이블"/>
    <s v="MX"/>
    <s v="-"/>
    <s v="25"/>
    <s v="10"/>
    <s v="25.10"/>
    <s v="25.10"/>
    <n v="1842"/>
  </r>
  <r>
    <s v="디지털 영상"/>
    <s v="ADEX"/>
    <s v="호식이두마리치킨"/>
    <x v="15"/>
    <s v="서비스"/>
    <s v="음식및숙박"/>
    <s v="기타프랜차이즈점"/>
    <s v="디지털"/>
    <s v="디지털동영상"/>
    <s v="다음"/>
    <s v="-"/>
    <s v="25"/>
    <s v="10"/>
    <s v="25.10"/>
    <s v="25.10"/>
    <n v="55"/>
  </r>
  <r>
    <s v="케이블"/>
    <s v="ADEX"/>
    <s v="웰빙푸드"/>
    <x v="3"/>
    <s v="서비스"/>
    <s v="음식및숙박"/>
    <s v="기타프랜차이즈점"/>
    <s v="TV"/>
    <s v="케이블"/>
    <s v="tvNDRAMA"/>
    <s v="-"/>
    <s v="25"/>
    <s v="10"/>
    <s v="25.10"/>
    <s v="25.10"/>
    <n v="17971"/>
  </r>
  <r>
    <s v="케이블"/>
    <s v="ADEX"/>
    <s v="호식이두마리치킨"/>
    <x v="15"/>
    <s v="서비스"/>
    <s v="음식및숙박"/>
    <s v="기타프랜차이즈점"/>
    <s v="TV"/>
    <s v="케이블"/>
    <s v="채널S"/>
    <s v="-"/>
    <s v="25"/>
    <s v="10"/>
    <s v="25.10"/>
    <s v="25.10"/>
    <n v="45506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10"/>
    <s v="25.10"/>
    <s v="25.10"/>
    <n v="582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10"/>
    <s v="25.10"/>
    <s v="25.10"/>
    <n v="164263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10"/>
    <s v="25.10"/>
    <s v="25.10"/>
    <n v="341"/>
  </r>
  <r>
    <s v="케이블"/>
    <s v="ADEX"/>
    <s v="호식이두마리치킨"/>
    <x v="15"/>
    <s v="서비스"/>
    <s v="음식및숙박"/>
    <s v="기타프랜차이즈점"/>
    <s v="TV"/>
    <s v="케이블"/>
    <s v="ishow"/>
    <s v="-"/>
    <s v="25"/>
    <s v="10"/>
    <s v="25.10"/>
    <s v="25.10"/>
    <n v="7097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10"/>
    <s v="25.10"/>
    <s v="25.10"/>
    <n v="68722"/>
  </r>
  <r>
    <s v="케이블"/>
    <s v="ADEX"/>
    <s v="호식이두마리치킨"/>
    <x v="15"/>
    <s v="서비스"/>
    <s v="음식및숙박"/>
    <s v="기타프랜차이즈점"/>
    <s v="TV"/>
    <s v="케이블"/>
    <s v="ELIKE"/>
    <s v="-"/>
    <s v="25"/>
    <s v="10"/>
    <s v="25.10"/>
    <s v="25.10"/>
    <n v="1470"/>
  </r>
  <r>
    <s v="디지털 영상"/>
    <s v="ADEX"/>
    <s v="외식전문기업제이케이"/>
    <x v="14"/>
    <s v="서비스"/>
    <s v="음식및숙박"/>
    <s v="기타프랜차이즈점"/>
    <s v="디지털"/>
    <s v="디지털동영상"/>
    <s v="YouTube"/>
    <s v="-"/>
    <s v="25"/>
    <s v="10"/>
    <s v="25.10"/>
    <s v="25.10"/>
    <n v="19321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09"/>
    <s v="25.09"/>
    <s v="25.09"/>
    <n v="10145"/>
  </r>
  <r>
    <s v="종편"/>
    <s v="ADEX"/>
    <s v="호식이두마리치킨"/>
    <x v="15"/>
    <s v="서비스"/>
    <s v="음식및숙박"/>
    <s v="기타프랜차이즈점"/>
    <s v="TV"/>
    <s v="종편"/>
    <s v="JTBC"/>
    <s v="-"/>
    <s v="25"/>
    <s v="09"/>
    <s v="25.09"/>
    <s v="25.09"/>
    <n v="299750"/>
  </r>
  <r>
    <s v="케이블"/>
    <s v="ADEX"/>
    <s v="호식이두마리치킨"/>
    <x v="15"/>
    <s v="서비스"/>
    <s v="음식및숙박"/>
    <s v="기타프랜차이즈점"/>
    <s v="TV"/>
    <s v="케이블"/>
    <s v="채널S플러스"/>
    <s v="-"/>
    <s v="25"/>
    <s v="09"/>
    <s v="25.09"/>
    <s v="25.09"/>
    <n v="3535"/>
  </r>
  <r>
    <s v="라디오"/>
    <s v="ADEX"/>
    <s v="장스푸드"/>
    <x v="2"/>
    <s v="서비스"/>
    <s v="음식및숙박"/>
    <s v="기타프랜차이즈점"/>
    <s v="라디오"/>
    <s v="라디오"/>
    <s v="TBS-eFM"/>
    <s v="-"/>
    <s v="25"/>
    <s v="09"/>
    <s v="25.09"/>
    <s v="25.09"/>
    <n v="17362"/>
  </r>
  <r>
    <s v="케이블"/>
    <s v="ADEX"/>
    <s v="호식이두마리치킨"/>
    <x v="15"/>
    <s v="서비스"/>
    <s v="음식및숙박"/>
    <s v="기타프랜차이즈점"/>
    <s v="TV"/>
    <s v="케이블"/>
    <s v="채널나우"/>
    <s v="-"/>
    <s v="25"/>
    <s v="09"/>
    <s v="25.09"/>
    <s v="25.09"/>
    <n v="9471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9"/>
    <s v="25.09"/>
    <s v="25.09"/>
    <n v="84000"/>
  </r>
  <r>
    <s v="신문"/>
    <s v="ADEX"/>
    <s v="아이더스에프앤비"/>
    <x v="0"/>
    <s v="서비스"/>
    <s v="음식및숙박"/>
    <s v="기타프랜차이즈점"/>
    <s v="인쇄"/>
    <s v="신문"/>
    <s v="매일경제"/>
    <s v="-"/>
    <s v="25"/>
    <s v="09"/>
    <s v="25.09"/>
    <s v="25.09"/>
    <n v="1930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9"/>
    <s v="25.09"/>
    <s v="25.09"/>
    <n v="13500"/>
  </r>
  <r>
    <s v="케이블"/>
    <s v="ADEX"/>
    <s v="호식이두마리치킨"/>
    <x v="15"/>
    <s v="서비스"/>
    <s v="음식및숙박"/>
    <s v="기타프랜차이즈점"/>
    <s v="TV"/>
    <s v="케이블"/>
    <s v="SCREEN"/>
    <s v="-"/>
    <s v="25"/>
    <s v="09"/>
    <s v="25.09"/>
    <s v="25.09"/>
    <n v="24371"/>
  </r>
  <r>
    <s v="케이블"/>
    <s v="ADEX"/>
    <s v="호식이두마리치킨"/>
    <x v="15"/>
    <s v="서비스"/>
    <s v="음식및숙박"/>
    <s v="기타프랜차이즈점"/>
    <s v="TV"/>
    <s v="케이블"/>
    <s v="KBS드라마"/>
    <s v="-"/>
    <s v="25"/>
    <s v="09"/>
    <s v="25.09"/>
    <s v="25.09"/>
    <n v="4571"/>
  </r>
  <r>
    <s v="디지털 영상"/>
    <s v="ADEX"/>
    <s v="혜인유통"/>
    <x v="5"/>
    <s v="서비스"/>
    <s v="음식및숙박"/>
    <s v="기타프랜차이즈점"/>
    <s v="디지털"/>
    <s v="디지털동영상"/>
    <s v="YouTube"/>
    <s v="-"/>
    <s v="25"/>
    <s v="09"/>
    <s v="25.09"/>
    <s v="25.09"/>
    <n v="138"/>
  </r>
  <r>
    <s v="케이블"/>
    <s v="ADEX"/>
    <s v="호식이두마리치킨"/>
    <x v="15"/>
    <s v="서비스"/>
    <s v="음식및숙박"/>
    <s v="기타프랜차이즈점"/>
    <s v="TV"/>
    <s v="케이블"/>
    <s v="Dramax"/>
    <s v="-"/>
    <s v="25"/>
    <s v="09"/>
    <s v="25.09"/>
    <s v="25.09"/>
    <n v="53829"/>
  </r>
  <r>
    <s v="디지털 영상"/>
    <s v="ADEX"/>
    <s v="지엔푸드"/>
    <x v="13"/>
    <s v="서비스"/>
    <s v="음식및숙박"/>
    <s v="기타프랜차이즈점"/>
    <s v="디지털"/>
    <s v="디지털동영상"/>
    <s v="YouTube"/>
    <s v="-"/>
    <s v="25"/>
    <s v="09"/>
    <s v="25.09"/>
    <s v="25.09"/>
    <n v="35554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9"/>
    <s v="25.09"/>
    <s v="25.09"/>
    <n v="710"/>
  </r>
  <r>
    <s v="케이블"/>
    <s v="ADEX"/>
    <s v="호식이두마리치킨"/>
    <x v="15"/>
    <s v="서비스"/>
    <s v="음식및숙박"/>
    <s v="기타프랜차이즈점"/>
    <s v="TV"/>
    <s v="케이블"/>
    <s v="MBC드라마넷"/>
    <s v="-"/>
    <s v="25"/>
    <s v="09"/>
    <s v="25.09"/>
    <s v="25.09"/>
    <n v="127647"/>
  </r>
  <r>
    <s v="케이블"/>
    <s v="ADEX"/>
    <s v="장스푸드"/>
    <x v="2"/>
    <s v="서비스"/>
    <s v="음식및숙박"/>
    <s v="기타프랜차이즈점"/>
    <s v="TV"/>
    <s v="케이블"/>
    <s v="ChannelJ"/>
    <s v="-"/>
    <s v="25"/>
    <s v="09"/>
    <s v="25.09"/>
    <s v="25.09"/>
    <n v="2397"/>
  </r>
  <r>
    <s v="케이블"/>
    <s v="ADEX"/>
    <s v="호식이두마리치킨"/>
    <x v="15"/>
    <s v="서비스"/>
    <s v="음식및숙박"/>
    <s v="기타프랜차이즈점"/>
    <s v="TV"/>
    <s v="케이블"/>
    <s v="채널S"/>
    <s v="-"/>
    <s v="25"/>
    <s v="09"/>
    <s v="25.09"/>
    <s v="25.09"/>
    <n v="36963"/>
  </r>
  <r>
    <s v="케이블"/>
    <s v="ADEX"/>
    <s v="호식이두마리치킨"/>
    <x v="15"/>
    <s v="서비스"/>
    <s v="음식및숙박"/>
    <s v="기타프랜차이즈점"/>
    <s v="TV"/>
    <s v="케이블"/>
    <s v="SkySports"/>
    <s v="-"/>
    <s v="25"/>
    <s v="09"/>
    <s v="25.09"/>
    <s v="25.09"/>
    <n v="2870"/>
  </r>
  <r>
    <s v="케이블"/>
    <s v="ADEX"/>
    <s v="호식이두마리치킨"/>
    <x v="15"/>
    <s v="서비스"/>
    <s v="음식및숙박"/>
    <s v="기타프랜차이즈점"/>
    <s v="TV"/>
    <s v="케이블"/>
    <s v="ENADRAMA"/>
    <s v="-"/>
    <s v="25"/>
    <s v="09"/>
    <s v="25.09"/>
    <s v="25.09"/>
    <n v="3600"/>
  </r>
  <r>
    <s v="케이블"/>
    <s v="ADEX"/>
    <s v="호식이두마리치킨"/>
    <x v="15"/>
    <s v="서비스"/>
    <s v="음식및숙박"/>
    <s v="기타프랜차이즈점"/>
    <s v="TV"/>
    <s v="케이블"/>
    <s v="CHview"/>
    <s v="-"/>
    <s v="25"/>
    <s v="09"/>
    <s v="25.09"/>
    <s v="25.09"/>
    <n v="7844"/>
  </r>
  <r>
    <s v="라디오"/>
    <s v="ADEX"/>
    <s v="장스푸드"/>
    <x v="2"/>
    <s v="서비스"/>
    <s v="음식및숙박"/>
    <s v="기타프랜차이즈점"/>
    <s v="라디오"/>
    <s v="라디오"/>
    <s v="FEBC-AM"/>
    <s v="-"/>
    <s v="25"/>
    <s v="09"/>
    <s v="25.09"/>
    <s v="25.09"/>
    <n v="14664"/>
  </r>
  <r>
    <s v="케이블"/>
    <s v="ADEX"/>
    <s v="호식이두마리치킨"/>
    <x v="15"/>
    <s v="서비스"/>
    <s v="음식및숙박"/>
    <s v="기타프랜차이즈점"/>
    <s v="TV"/>
    <s v="케이블"/>
    <s v="연합뉴스TV"/>
    <s v="-"/>
    <s v="25"/>
    <s v="09"/>
    <s v="25.09"/>
    <s v="25.09"/>
    <n v="58421"/>
  </r>
  <r>
    <s v="종편"/>
    <s v="ADEX"/>
    <s v="호식이두마리치킨"/>
    <x v="15"/>
    <s v="서비스"/>
    <s v="음식및숙박"/>
    <s v="기타프랜차이즈점"/>
    <s v="TV"/>
    <s v="종편"/>
    <s v="채널A"/>
    <s v="-"/>
    <s v="25"/>
    <s v="09"/>
    <s v="25.09"/>
    <s v="25.09"/>
    <n v="85517"/>
  </r>
  <r>
    <s v="케이블"/>
    <s v="ADEX"/>
    <s v="호식이두마리치킨"/>
    <x v="15"/>
    <s v="서비스"/>
    <s v="음식및숙박"/>
    <s v="기타프랜차이즈점"/>
    <s v="TV"/>
    <s v="케이블"/>
    <s v="iplay"/>
    <s v="-"/>
    <s v="25"/>
    <s v="09"/>
    <s v="25.09"/>
    <s v="25.09"/>
    <n v="6955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9"/>
    <s v="25.09"/>
    <s v="25.09"/>
    <n v="139602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9"/>
    <s v="25.09"/>
    <s v="25.09"/>
    <n v="4561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9"/>
    <s v="25.09"/>
    <s v="25.09"/>
    <n v="71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9"/>
    <s v="25.09"/>
    <s v="25.09"/>
    <n v="85684"/>
  </r>
  <r>
    <s v="디지털 영상"/>
    <s v="ADEX"/>
    <s v="호식이두마리치킨"/>
    <x v="15"/>
    <s v="서비스"/>
    <s v="음식및숙박"/>
    <s v="기타프랜차이즈점"/>
    <s v="디지털"/>
    <s v="디지털동영상"/>
    <s v="Tving"/>
    <s v="-"/>
    <s v="25"/>
    <s v="09"/>
    <s v="25.09"/>
    <s v="25.09"/>
    <n v="1293"/>
  </r>
  <r>
    <s v="라디오"/>
    <s v="ADEX"/>
    <s v="꼬꼬에프앤비"/>
    <x v="11"/>
    <s v="서비스"/>
    <s v="음식및숙박"/>
    <s v="기타프랜차이즈점"/>
    <s v="라디오"/>
    <s v="라디오"/>
    <s v="SBS-FM"/>
    <s v="-"/>
    <s v="25"/>
    <s v="09"/>
    <s v="25.09"/>
    <s v="25.09"/>
    <n v="176400"/>
  </r>
  <r>
    <s v="디지털 영상"/>
    <s v="ADEX"/>
    <s v="지엔푸드"/>
    <x v="13"/>
    <s v="서비스"/>
    <s v="음식및숙박"/>
    <s v="기타프랜차이즈점"/>
    <s v="디지털"/>
    <s v="디지털동영상"/>
    <s v="네이버"/>
    <s v="-"/>
    <s v="25"/>
    <s v="09"/>
    <s v="25.09"/>
    <s v="25.09"/>
    <n v="17525"/>
  </r>
  <r>
    <s v="라디오"/>
    <s v="ADEX"/>
    <s v="장스푸드"/>
    <x v="2"/>
    <s v="서비스"/>
    <s v="음식및숙박"/>
    <s v="기타프랜차이즈점"/>
    <s v="라디오"/>
    <s v="라디오"/>
    <s v="BBS-FM"/>
    <s v="-"/>
    <s v="25"/>
    <s v="09"/>
    <s v="25.09"/>
    <s v="25.09"/>
    <n v="69776"/>
  </r>
  <r>
    <s v="케이블"/>
    <s v="ADEX"/>
    <s v="호식이두마리치킨"/>
    <x v="15"/>
    <s v="서비스"/>
    <s v="음식및숙박"/>
    <s v="기타프랜차이즈점"/>
    <s v="TV"/>
    <s v="케이블"/>
    <s v="MBCON"/>
    <s v="-"/>
    <s v="25"/>
    <s v="09"/>
    <s v="25.09"/>
    <s v="25.09"/>
    <n v="7568"/>
  </r>
  <r>
    <s v="케이블"/>
    <s v="ADEX"/>
    <s v="호식이두마리치킨"/>
    <x v="15"/>
    <s v="서비스"/>
    <s v="음식및숙박"/>
    <s v="기타프랜차이즈점"/>
    <s v="TV"/>
    <s v="케이블"/>
    <s v="채널A플러스"/>
    <s v="-"/>
    <s v="25"/>
    <s v="09"/>
    <s v="25.09"/>
    <s v="25.09"/>
    <n v="58"/>
  </r>
  <r>
    <s v="케이블"/>
    <s v="ADEX"/>
    <s v="호식이두마리치킨"/>
    <x v="15"/>
    <s v="서비스"/>
    <s v="음식및숙박"/>
    <s v="기타프랜차이즈점"/>
    <s v="TV"/>
    <s v="케이블"/>
    <s v="tvN"/>
    <s v="-"/>
    <s v="25"/>
    <s v="09"/>
    <s v="25.09"/>
    <s v="25.09"/>
    <n v="658"/>
  </r>
  <r>
    <s v="케이블"/>
    <s v="ADEX"/>
    <s v="호식이두마리치킨"/>
    <x v="15"/>
    <s v="서비스"/>
    <s v="음식및숙박"/>
    <s v="기타프랜차이즈점"/>
    <s v="TV"/>
    <s v="케이블"/>
    <s v="ENA"/>
    <s v="-"/>
    <s v="25"/>
    <s v="09"/>
    <s v="25.09"/>
    <s v="25.09"/>
    <n v="33930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9"/>
    <s v="25.09"/>
    <s v="25.09"/>
    <n v="63912"/>
  </r>
  <r>
    <s v="케이블"/>
    <s v="ADEX"/>
    <s v="호식이두마리치킨"/>
    <x v="15"/>
    <s v="서비스"/>
    <s v="음식및숙박"/>
    <s v="기타프랜차이즈점"/>
    <s v="TV"/>
    <s v="케이블"/>
    <s v="ELIKE"/>
    <s v="-"/>
    <s v="25"/>
    <s v="09"/>
    <s v="25.09"/>
    <s v="25.09"/>
    <n v="2552"/>
  </r>
  <r>
    <s v="케이블"/>
    <s v="ADEX"/>
    <s v="호식이두마리치킨"/>
    <x v="15"/>
    <s v="서비스"/>
    <s v="음식및숙박"/>
    <s v="기타프랜차이즈점"/>
    <s v="TV"/>
    <s v="케이블"/>
    <s v="E채널"/>
    <s v="-"/>
    <s v="25"/>
    <s v="09"/>
    <s v="25.09"/>
    <s v="25.09"/>
    <n v="39000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9"/>
    <s v="25.09"/>
    <s v="25.09"/>
    <n v="37028"/>
  </r>
  <r>
    <s v="케이블"/>
    <s v="ADEX"/>
    <s v="호식이두마리치킨"/>
    <x v="15"/>
    <s v="서비스"/>
    <s v="음식및숙박"/>
    <s v="기타프랜차이즈점"/>
    <s v="TV"/>
    <s v="케이블"/>
    <s v="ishow"/>
    <s v="-"/>
    <s v="25"/>
    <s v="09"/>
    <s v="25.09"/>
    <s v="25.09"/>
    <n v="9031"/>
  </r>
  <r>
    <s v="라디오"/>
    <s v="ADEX"/>
    <s v="장스푸드"/>
    <x v="2"/>
    <s v="서비스"/>
    <s v="음식및숙박"/>
    <s v="기타프랜차이즈점"/>
    <s v="라디오"/>
    <s v="라디오"/>
    <s v="ITV-FM"/>
    <s v="-"/>
    <s v="25"/>
    <s v="09"/>
    <s v="25.09"/>
    <s v="25.09"/>
    <n v="19206"/>
  </r>
  <r>
    <s v="디지털 영상"/>
    <s v="ADEX"/>
    <s v="지엔푸드"/>
    <x v="13"/>
    <s v="서비스"/>
    <s v="음식및숙박"/>
    <s v="기타프랜차이즈점"/>
    <s v="디지털"/>
    <s v="디지털동영상"/>
    <s v="다음"/>
    <s v="-"/>
    <s v="25"/>
    <s v="09"/>
    <s v="25.09"/>
    <s v="25.09"/>
    <n v="1042"/>
  </r>
  <r>
    <s v="케이블"/>
    <s v="ADEX"/>
    <s v="호식이두마리치킨"/>
    <x v="15"/>
    <s v="서비스"/>
    <s v="음식및숙박"/>
    <s v="기타프랜차이즈점"/>
    <s v="TV"/>
    <s v="케이블"/>
    <s v="MBCevery1"/>
    <s v="-"/>
    <s v="25"/>
    <s v="09"/>
    <s v="25.09"/>
    <s v="25.09"/>
    <n v="76187"/>
  </r>
  <r>
    <s v="케이블"/>
    <s v="ADEX"/>
    <s v="호식이두마리치킨"/>
    <x v="15"/>
    <s v="서비스"/>
    <s v="음식및숙박"/>
    <s v="기타프랜차이즈점"/>
    <s v="TV"/>
    <s v="케이블"/>
    <s v="MBCM"/>
    <s v="-"/>
    <s v="25"/>
    <s v="09"/>
    <s v="25.09"/>
    <s v="25.09"/>
    <n v="9419"/>
  </r>
  <r>
    <s v="케이블"/>
    <s v="ADEX"/>
    <s v="장스푸드"/>
    <x v="2"/>
    <s v="서비스"/>
    <s v="음식및숙박"/>
    <s v="기타프랜차이즈점"/>
    <s v="TV"/>
    <s v="케이블"/>
    <s v="Anibox"/>
    <s v="-"/>
    <s v="25"/>
    <s v="09"/>
    <s v="25.09"/>
    <s v="25.09"/>
    <n v="5957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9"/>
    <s v="25.09"/>
    <s v="25.09"/>
    <n v="407117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9"/>
    <s v="25.09"/>
    <s v="25.09"/>
    <n v="5"/>
  </r>
  <r>
    <s v="디지털 영상"/>
    <s v="ADEX"/>
    <s v="멕시카나"/>
    <x v="7"/>
    <s v="서비스"/>
    <s v="음식및숙박"/>
    <s v="기타프랜차이즈점"/>
    <s v="디지털"/>
    <s v="디지털동영상"/>
    <s v="네이버"/>
    <s v="-"/>
    <s v="25"/>
    <s v="09"/>
    <s v="25.09"/>
    <s v="25.09"/>
    <n v="2498"/>
  </r>
  <r>
    <s v="케이블"/>
    <s v="ADEX"/>
    <s v="호식이두마리치킨"/>
    <x v="15"/>
    <s v="서비스"/>
    <s v="음식및숙박"/>
    <s v="기타프랜차이즈점"/>
    <s v="TV"/>
    <s v="케이블"/>
    <s v="코미디TV"/>
    <s v="-"/>
    <s v="25"/>
    <s v="09"/>
    <s v="25.09"/>
    <s v="25.09"/>
    <n v="54392"/>
  </r>
  <r>
    <s v="케이블"/>
    <s v="ADEX"/>
    <s v="호식이두마리치킨"/>
    <x v="15"/>
    <s v="서비스"/>
    <s v="음식및숙박"/>
    <s v="기타프랜차이즈점"/>
    <s v="TV"/>
    <s v="케이블"/>
    <s v="MX"/>
    <s v="-"/>
    <s v="25"/>
    <s v="09"/>
    <s v="25.09"/>
    <s v="25.09"/>
    <n v="3789"/>
  </r>
  <r>
    <s v="라디오"/>
    <s v="ADEX"/>
    <s v="웰빙푸드"/>
    <x v="3"/>
    <s v="서비스"/>
    <s v="음식및숙박"/>
    <s v="기타프랜차이즈점"/>
    <s v="라디오"/>
    <s v="라디오"/>
    <s v="CBS-FM"/>
    <s v="-"/>
    <s v="25"/>
    <s v="09"/>
    <s v="25.09"/>
    <s v="25.09"/>
    <n v="34234"/>
  </r>
  <r>
    <s v="라디오"/>
    <s v="ADEX"/>
    <s v="꼬꼬에프앤비"/>
    <x v="11"/>
    <s v="서비스"/>
    <s v="음식및숙박"/>
    <s v="기타프랜차이즈점"/>
    <s v="라디오"/>
    <s v="라디오"/>
    <s v="SBS-RD"/>
    <s v="-"/>
    <s v="25"/>
    <s v="09"/>
    <s v="25.09"/>
    <s v="25.09"/>
    <n v="22500"/>
  </r>
  <r>
    <s v="디지털 영상"/>
    <s v="ADEX"/>
    <s v="호식이두마리치킨"/>
    <x v="15"/>
    <s v="서비스"/>
    <s v="음식및숙박"/>
    <s v="기타프랜차이즈점"/>
    <s v="디지털"/>
    <s v="디지털동영상"/>
    <s v="YouTube"/>
    <s v="-"/>
    <s v="25"/>
    <s v="09"/>
    <s v="25.09"/>
    <s v="25.09"/>
    <n v="11876"/>
  </r>
  <r>
    <s v="디지털 영상"/>
    <s v="ADEX"/>
    <s v="멕시카나"/>
    <x v="7"/>
    <s v="서비스"/>
    <s v="음식및숙박"/>
    <s v="기타프랜차이즈점"/>
    <s v="디지털"/>
    <s v="디지털동영상"/>
    <s v="Tving"/>
    <s v="-"/>
    <s v="25"/>
    <s v="09"/>
    <s v="25.09"/>
    <s v="25.09"/>
    <n v="983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9"/>
    <s v="25.09"/>
    <s v="25.09"/>
    <n v="2481"/>
  </r>
  <r>
    <s v="종편"/>
    <s v="ADEX"/>
    <s v="웰빙푸드"/>
    <x v="3"/>
    <s v="서비스"/>
    <s v="음식및숙박"/>
    <s v="기타프랜차이즈점"/>
    <s v="TV"/>
    <s v="종편"/>
    <s v="TVCHOSUN"/>
    <s v="-"/>
    <s v="25"/>
    <s v="09"/>
    <s v="25.09"/>
    <s v="25.09"/>
    <n v="33957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09"/>
    <s v="25.09"/>
    <s v="25.09"/>
    <n v="8667"/>
  </r>
  <r>
    <s v="신문"/>
    <s v="ADEX"/>
    <s v="교촌F&amp;B"/>
    <x v="6"/>
    <s v="서비스"/>
    <s v="음식및숙박"/>
    <s v="기타프랜차이즈점"/>
    <s v="인쇄"/>
    <s v="신문"/>
    <s v="매일경제"/>
    <s v="-"/>
    <s v="25"/>
    <s v="09"/>
    <s v="25.09"/>
    <s v="25.09"/>
    <n v="1930"/>
  </r>
  <r>
    <s v="케이블"/>
    <s v="ADEX"/>
    <s v="멕시카나"/>
    <x v="7"/>
    <s v="서비스"/>
    <s v="음식및숙박"/>
    <s v="기타프랜차이즈점"/>
    <s v="TV"/>
    <s v="케이블"/>
    <s v="MBC드라마넷"/>
    <s v="-"/>
    <s v="25"/>
    <s v="09"/>
    <s v="25.09"/>
    <s v="25.09"/>
    <n v="21118"/>
  </r>
  <r>
    <s v="케이블"/>
    <s v="ADEX"/>
    <s v="장스푸드"/>
    <x v="2"/>
    <s v="서비스"/>
    <s v="음식및숙박"/>
    <s v="기타프랜차이즈점"/>
    <s v="TV"/>
    <s v="케이블"/>
    <s v="애니원"/>
    <s v="-"/>
    <s v="25"/>
    <s v="09"/>
    <s v="25.09"/>
    <s v="25.09"/>
    <n v="7886"/>
  </r>
  <r>
    <s v="케이블"/>
    <s v="ADEX"/>
    <s v="호식이두마리치킨"/>
    <x v="15"/>
    <s v="서비스"/>
    <s v="음식및숙박"/>
    <s v="기타프랜차이즈점"/>
    <s v="TV"/>
    <s v="케이블"/>
    <s v="채널에버"/>
    <s v="-"/>
    <s v="25"/>
    <s v="09"/>
    <s v="25.09"/>
    <s v="25.09"/>
    <n v="4636"/>
  </r>
  <r>
    <s v="신문"/>
    <s v="ADEX"/>
    <s v="제너시스비비큐"/>
    <x v="10"/>
    <s v="서비스"/>
    <s v="음식및숙박"/>
    <s v="기타프랜차이즈점"/>
    <s v="인쇄"/>
    <s v="신문"/>
    <s v="매일경제"/>
    <s v="-"/>
    <s v="25"/>
    <s v="09"/>
    <s v="25.09"/>
    <s v="25.09"/>
    <n v="1930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9"/>
    <s v="25.09"/>
    <s v="25.09"/>
    <n v="80028"/>
  </r>
  <r>
    <s v="케이블"/>
    <s v="ADEX"/>
    <s v="장스푸드"/>
    <x v="2"/>
    <s v="서비스"/>
    <s v="음식및숙박"/>
    <s v="기타프랜차이즈점"/>
    <s v="TV"/>
    <s v="케이블"/>
    <s v="ENA"/>
    <s v="-"/>
    <s v="25"/>
    <s v="09"/>
    <s v="25.09"/>
    <s v="25.09"/>
    <n v="75907"/>
  </r>
  <r>
    <s v="케이블"/>
    <s v="ADEX"/>
    <s v="호식이두마리치킨"/>
    <x v="15"/>
    <s v="서비스"/>
    <s v="음식및숙박"/>
    <s v="기타프랜차이즈점"/>
    <s v="TV"/>
    <s v="케이블"/>
    <s v="cineF"/>
    <s v="-"/>
    <s v="25"/>
    <s v="09"/>
    <s v="25.09"/>
    <s v="25.09"/>
    <n v="4108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9"/>
    <s v="25.09"/>
    <s v="25.09"/>
    <n v="74"/>
  </r>
  <r>
    <s v="케이블"/>
    <s v="ADEX"/>
    <s v="호식이두마리치킨"/>
    <x v="15"/>
    <s v="서비스"/>
    <s v="음식및숙박"/>
    <s v="기타프랜차이즈점"/>
    <s v="TV"/>
    <s v="케이블"/>
    <s v="MBCSPORTS+"/>
    <s v="-"/>
    <s v="25"/>
    <s v="09"/>
    <s v="25.09"/>
    <s v="25.09"/>
    <n v="43153"/>
  </r>
  <r>
    <s v="케이블"/>
    <s v="ADEX"/>
    <s v="호식이두마리치킨"/>
    <x v="15"/>
    <s v="서비스"/>
    <s v="음식및숙박"/>
    <s v="기타프랜차이즈점"/>
    <s v="TV"/>
    <s v="케이블"/>
    <s v="ENAPLAY"/>
    <s v="-"/>
    <s v="25"/>
    <s v="09"/>
    <s v="25.09"/>
    <s v="25.09"/>
    <n v="2404"/>
  </r>
  <r>
    <s v="케이블"/>
    <s v="ADEX"/>
    <s v="호식이두마리치킨"/>
    <x v="15"/>
    <s v="서비스"/>
    <s v="음식및숙박"/>
    <s v="기타프랜차이즈점"/>
    <s v="TV"/>
    <s v="케이블"/>
    <s v="KBSJOY"/>
    <s v="-"/>
    <s v="25"/>
    <s v="09"/>
    <s v="25.09"/>
    <s v="25.09"/>
    <n v="41496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9"/>
    <s v="25.09"/>
    <s v="25.09"/>
    <n v="5075"/>
  </r>
  <r>
    <s v="케이블"/>
    <s v="ADEX"/>
    <s v="호식이두마리치킨"/>
    <x v="15"/>
    <s v="서비스"/>
    <s v="음식및숙박"/>
    <s v="기타프랜차이즈점"/>
    <s v="TV"/>
    <s v="케이블"/>
    <s v="ENASTORY"/>
    <s v="-"/>
    <s v="25"/>
    <s v="09"/>
    <s v="25.09"/>
    <s v="25.09"/>
    <n v="1627"/>
  </r>
  <r>
    <s v="신문"/>
    <s v="ADEX"/>
    <s v="제너시스비비큐"/>
    <x v="10"/>
    <s v="서비스"/>
    <s v="음식및숙박"/>
    <s v="기타프랜차이즈점"/>
    <s v="인쇄"/>
    <s v="신문"/>
    <s v="중앙일보"/>
    <s v="-"/>
    <s v="25"/>
    <s v="09"/>
    <s v="25.09"/>
    <s v="25.09"/>
    <n v="6157"/>
  </r>
  <r>
    <s v="케이블"/>
    <s v="ADEX"/>
    <s v="웰빙푸드"/>
    <x v="3"/>
    <s v="서비스"/>
    <s v="음식및숙박"/>
    <s v="기타프랜차이즈점"/>
    <s v="TV"/>
    <s v="케이블"/>
    <s v="OLIFE"/>
    <s v="-"/>
    <s v="25"/>
    <s v="08"/>
    <s v="25.08"/>
    <s v="25.08"/>
    <n v="32"/>
  </r>
  <r>
    <s v="케이블"/>
    <s v="ADEX"/>
    <s v="호식이두마리치킨"/>
    <x v="15"/>
    <s v="서비스"/>
    <s v="음식및숙박"/>
    <s v="기타프랜차이즈점"/>
    <s v="TV"/>
    <s v="케이블"/>
    <s v="SkySports"/>
    <s v="-"/>
    <s v="25"/>
    <s v="08"/>
    <s v="25.08"/>
    <s v="25.08"/>
    <n v="20180"/>
  </r>
  <r>
    <s v="케이블"/>
    <s v="ADEX"/>
    <s v="호식이두마리치킨"/>
    <x v="15"/>
    <s v="서비스"/>
    <s v="음식및숙박"/>
    <s v="기타프랜차이즈점"/>
    <s v="TV"/>
    <s v="케이블"/>
    <s v="채널에버"/>
    <s v="-"/>
    <s v="25"/>
    <s v="08"/>
    <s v="25.08"/>
    <s v="25.08"/>
    <n v="7431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08"/>
    <s v="25.08"/>
    <s v="25.08"/>
    <n v="8927"/>
  </r>
  <r>
    <s v="디지털 영상"/>
    <s v="ADEX"/>
    <s v="호식이두마리치킨"/>
    <x v="15"/>
    <s v="서비스"/>
    <s v="음식및숙박"/>
    <s v="기타프랜차이즈점"/>
    <s v="디지털"/>
    <s v="디지털동영상"/>
    <s v="Afreecatv"/>
    <s v="-"/>
    <s v="25"/>
    <s v="08"/>
    <s v="25.08"/>
    <s v="25.08"/>
    <n v="185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8"/>
    <s v="25.08"/>
    <s v="25.08"/>
    <n v="91600"/>
  </r>
  <r>
    <s v="케이블"/>
    <s v="ADEX"/>
    <s v="호식이두마리치킨"/>
    <x v="15"/>
    <s v="서비스"/>
    <s v="음식및숙박"/>
    <s v="기타프랜차이즈점"/>
    <s v="TV"/>
    <s v="케이블"/>
    <s v="SBSPlus"/>
    <s v="-"/>
    <s v="25"/>
    <s v="08"/>
    <s v="25.08"/>
    <s v="25.08"/>
    <n v="48917"/>
  </r>
  <r>
    <s v="종편"/>
    <s v="ADEX"/>
    <s v="제너시스비비큐"/>
    <x v="10"/>
    <s v="서비스"/>
    <s v="음식및숙박"/>
    <s v="기타프랜차이즈점"/>
    <s v="TV"/>
    <s v="종편"/>
    <s v="TVCHOSUN"/>
    <s v="-"/>
    <s v="25"/>
    <s v="08"/>
    <s v="25.08"/>
    <s v="25.08"/>
    <n v="4556"/>
  </r>
  <r>
    <s v="케이블"/>
    <s v="ADEX"/>
    <s v="호식이두마리치킨"/>
    <x v="15"/>
    <s v="서비스"/>
    <s v="음식및숙박"/>
    <s v="기타프랜차이즈점"/>
    <s v="TV"/>
    <s v="케이블"/>
    <s v="ONCE"/>
    <s v="-"/>
    <s v="25"/>
    <s v="08"/>
    <s v="25.08"/>
    <s v="25.08"/>
    <n v="9602"/>
  </r>
  <r>
    <s v="신문"/>
    <s v="ADEX"/>
    <s v="교촌F&amp;B"/>
    <x v="6"/>
    <s v="서비스"/>
    <s v="음식및숙박"/>
    <s v="기타프랜차이즈점"/>
    <s v="인쇄"/>
    <s v="신문"/>
    <s v="매일경제"/>
    <s v="-"/>
    <s v="25"/>
    <s v="08"/>
    <s v="25.08"/>
    <s v="25.08"/>
    <n v="979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8"/>
    <s v="25.08"/>
    <s v="25.08"/>
    <n v="1129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08"/>
    <s v="25.08"/>
    <s v="25.08"/>
    <n v="9719"/>
  </r>
  <r>
    <s v="케이블"/>
    <s v="ADEX"/>
    <s v="호식이두마리치킨"/>
    <x v="15"/>
    <s v="서비스"/>
    <s v="음식및숙박"/>
    <s v="기타프랜차이즈점"/>
    <s v="TV"/>
    <s v="케이블"/>
    <s v="ENAPLAY"/>
    <s v="-"/>
    <s v="25"/>
    <s v="08"/>
    <s v="25.08"/>
    <s v="25.08"/>
    <n v="21544"/>
  </r>
  <r>
    <s v="케이블"/>
    <s v="ADEX"/>
    <s v="호식이두마리치킨"/>
    <x v="15"/>
    <s v="서비스"/>
    <s v="음식및숙박"/>
    <s v="기타프랜차이즈점"/>
    <s v="TV"/>
    <s v="케이블"/>
    <s v="MX"/>
    <s v="-"/>
    <s v="25"/>
    <s v="08"/>
    <s v="25.08"/>
    <s v="25.08"/>
    <n v="7974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08"/>
    <s v="25.08"/>
    <s v="25.08"/>
    <n v="211579"/>
  </r>
  <r>
    <s v="케이블"/>
    <s v="ADEX"/>
    <s v="웰빙푸드"/>
    <x v="3"/>
    <s v="서비스"/>
    <s v="음식및숙박"/>
    <s v="기타프랜차이즈점"/>
    <s v="TV"/>
    <s v="케이블"/>
    <s v="SkySports"/>
    <s v="-"/>
    <s v="25"/>
    <s v="08"/>
    <s v="25.08"/>
    <s v="25.08"/>
    <n v="2946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8"/>
    <s v="25.08"/>
    <s v="25.08"/>
    <n v="70653"/>
  </r>
  <r>
    <s v="케이블"/>
    <s v="ADEX"/>
    <s v="호식이두마리치킨"/>
    <x v="15"/>
    <s v="서비스"/>
    <s v="음식및숙박"/>
    <s v="기타프랜차이즈점"/>
    <s v="TV"/>
    <s v="케이블"/>
    <s v="SBSfunE"/>
    <s v="-"/>
    <s v="25"/>
    <s v="08"/>
    <s v="25.08"/>
    <s v="25.08"/>
    <n v="41967"/>
  </r>
  <r>
    <s v="케이블"/>
    <s v="ADEX"/>
    <s v="웰빙푸드"/>
    <x v="3"/>
    <s v="서비스"/>
    <s v="음식및숙박"/>
    <s v="기타프랜차이즈점"/>
    <s v="TV"/>
    <s v="케이블"/>
    <s v="SBSPlus"/>
    <s v="-"/>
    <s v="25"/>
    <s v="08"/>
    <s v="25.08"/>
    <s v="25.08"/>
    <n v="54361"/>
  </r>
  <r>
    <s v="케이블"/>
    <s v="ADEX"/>
    <s v="웰빙푸드"/>
    <x v="3"/>
    <s v="서비스"/>
    <s v="음식및숙박"/>
    <s v="기타프랜차이즈점"/>
    <s v="TV"/>
    <s v="케이블"/>
    <s v="KBSJOY"/>
    <s v="-"/>
    <s v="25"/>
    <s v="08"/>
    <s v="25.08"/>
    <s v="25.08"/>
    <n v="37874"/>
  </r>
  <r>
    <s v="케이블"/>
    <s v="ADEX"/>
    <s v="호식이두마리치킨"/>
    <x v="15"/>
    <s v="서비스"/>
    <s v="음식및숙박"/>
    <s v="기타프랜차이즈점"/>
    <s v="TV"/>
    <s v="케이블"/>
    <s v="CHING"/>
    <s v="-"/>
    <s v="25"/>
    <s v="08"/>
    <s v="25.08"/>
    <s v="25.08"/>
    <n v="18705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8"/>
    <s v="25.08"/>
    <s v="25.08"/>
    <n v="27881"/>
  </r>
  <r>
    <s v="케이블"/>
    <s v="ADEX"/>
    <s v="호식이두마리치킨"/>
    <x v="15"/>
    <s v="서비스"/>
    <s v="음식및숙박"/>
    <s v="기타프랜차이즈점"/>
    <s v="TV"/>
    <s v="케이블"/>
    <s v="E채널"/>
    <s v="-"/>
    <s v="25"/>
    <s v="08"/>
    <s v="25.08"/>
    <s v="25.08"/>
    <n v="52957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8"/>
    <s v="25.08"/>
    <s v="25.08"/>
    <n v="2124"/>
  </r>
  <r>
    <s v="케이블"/>
    <s v="ADEX"/>
    <s v="호식이두마리치킨"/>
    <x v="15"/>
    <s v="서비스"/>
    <s v="음식및숙박"/>
    <s v="기타프랜차이즈점"/>
    <s v="TV"/>
    <s v="케이블"/>
    <s v="OCN"/>
    <s v="-"/>
    <s v="25"/>
    <s v="08"/>
    <s v="25.08"/>
    <s v="25.08"/>
    <n v="385"/>
  </r>
  <r>
    <s v="케이블"/>
    <s v="ADEX"/>
    <s v="호식이두마리치킨"/>
    <x v="15"/>
    <s v="서비스"/>
    <s v="음식및숙박"/>
    <s v="기타프랜차이즈점"/>
    <s v="TV"/>
    <s v="케이블"/>
    <s v="채널S"/>
    <s v="-"/>
    <s v="25"/>
    <s v="08"/>
    <s v="25.08"/>
    <s v="25.08"/>
    <n v="34198"/>
  </r>
  <r>
    <s v="디지털 영상"/>
    <s v="ADEX"/>
    <s v="교촌F&amp;B"/>
    <x v="6"/>
    <s v="서비스"/>
    <s v="음식및숙박"/>
    <s v="기타프랜차이즈점"/>
    <s v="디지털"/>
    <s v="디지털동영상"/>
    <s v="Afreecatv"/>
    <s v="-"/>
    <s v="25"/>
    <s v="08"/>
    <s v="25.08"/>
    <s v="25.08"/>
    <n v="395"/>
  </r>
  <r>
    <s v="케이블"/>
    <s v="ADEX"/>
    <s v="호식이두마리치킨"/>
    <x v="15"/>
    <s v="서비스"/>
    <s v="음식및숙박"/>
    <s v="기타프랜차이즈점"/>
    <s v="TV"/>
    <s v="케이블"/>
    <s v="Mnet"/>
    <s v="-"/>
    <s v="25"/>
    <s v="08"/>
    <s v="25.08"/>
    <s v="25.08"/>
    <n v="54895"/>
  </r>
  <r>
    <s v="케이블"/>
    <s v="ADEX"/>
    <s v="호식이두마리치킨"/>
    <x v="15"/>
    <s v="서비스"/>
    <s v="음식및숙박"/>
    <s v="기타프랜차이즈점"/>
    <s v="TV"/>
    <s v="케이블"/>
    <s v="tvN"/>
    <s v="-"/>
    <s v="25"/>
    <s v="08"/>
    <s v="25.08"/>
    <s v="25.08"/>
    <n v="73158"/>
  </r>
  <r>
    <s v="케이블"/>
    <s v="ADEX"/>
    <s v="호식이두마리치킨"/>
    <x v="15"/>
    <s v="서비스"/>
    <s v="음식및숙박"/>
    <s v="기타프랜차이즈점"/>
    <s v="TV"/>
    <s v="케이블"/>
    <s v="OLIFE"/>
    <s v="-"/>
    <s v="25"/>
    <s v="08"/>
    <s v="25.08"/>
    <s v="25.08"/>
    <n v="9387"/>
  </r>
  <r>
    <s v="케이블"/>
    <s v="ADEX"/>
    <s v="호식이두마리치킨"/>
    <x v="15"/>
    <s v="서비스"/>
    <s v="음식및숙박"/>
    <s v="기타프랜차이즈점"/>
    <s v="TV"/>
    <s v="케이블"/>
    <s v="Dramax"/>
    <s v="-"/>
    <s v="25"/>
    <s v="08"/>
    <s v="25.08"/>
    <s v="25.08"/>
    <n v="68659"/>
  </r>
  <r>
    <s v="케이블"/>
    <s v="ADEX"/>
    <s v="호식이두마리치킨"/>
    <x v="15"/>
    <s v="서비스"/>
    <s v="음식및숙박"/>
    <s v="기타프랜차이즈점"/>
    <s v="TV"/>
    <s v="케이블"/>
    <s v="ENA"/>
    <s v="-"/>
    <s v="25"/>
    <s v="08"/>
    <s v="25.08"/>
    <s v="25.08"/>
    <n v="120395"/>
  </r>
  <r>
    <s v="케이블"/>
    <s v="ADEX"/>
    <s v="호식이두마리치킨"/>
    <x v="15"/>
    <s v="서비스"/>
    <s v="음식및숙박"/>
    <s v="기타프랜차이즈점"/>
    <s v="TV"/>
    <s v="케이블"/>
    <s v="ENASTORY"/>
    <s v="-"/>
    <s v="25"/>
    <s v="08"/>
    <s v="25.08"/>
    <s v="25.08"/>
    <n v="14453"/>
  </r>
  <r>
    <s v="디지털 영상"/>
    <s v="ADEX"/>
    <s v="멕시카나"/>
    <x v="7"/>
    <s v="서비스"/>
    <s v="음식및숙박"/>
    <s v="기타프랜차이즈점"/>
    <s v="디지털"/>
    <s v="디지털동영상"/>
    <s v="Tving"/>
    <s v="-"/>
    <s v="25"/>
    <s v="08"/>
    <s v="25.08"/>
    <s v="25.08"/>
    <n v="478"/>
  </r>
  <r>
    <s v="케이블"/>
    <s v="ADEX"/>
    <s v="웰빙푸드"/>
    <x v="3"/>
    <s v="서비스"/>
    <s v="음식및숙박"/>
    <s v="기타프랜차이즈점"/>
    <s v="TV"/>
    <s v="케이블"/>
    <s v="SBSfunE"/>
    <s v="-"/>
    <s v="25"/>
    <s v="08"/>
    <s v="25.08"/>
    <s v="25.08"/>
    <n v="14726"/>
  </r>
  <r>
    <s v="디지털 영상"/>
    <s v="ADEX"/>
    <s v="지엔푸드"/>
    <x v="13"/>
    <s v="서비스"/>
    <s v="음식및숙박"/>
    <s v="기타프랜차이즈점"/>
    <s v="디지털"/>
    <s v="디지털동영상"/>
    <s v="YouTube"/>
    <s v="-"/>
    <s v="25"/>
    <s v="08"/>
    <s v="25.08"/>
    <s v="25.08"/>
    <n v="22704"/>
  </r>
  <r>
    <s v="케이블"/>
    <s v="ADEX"/>
    <s v="웰빙푸드"/>
    <x v="3"/>
    <s v="서비스"/>
    <s v="음식및숙박"/>
    <s v="기타프랜차이즈점"/>
    <s v="TV"/>
    <s v="케이블"/>
    <s v="CHING"/>
    <s v="-"/>
    <s v="25"/>
    <s v="08"/>
    <s v="25.08"/>
    <s v="25.08"/>
    <n v="77"/>
  </r>
  <r>
    <s v="신문"/>
    <s v="ADEX"/>
    <s v="아이더스에프앤비"/>
    <x v="0"/>
    <s v="서비스"/>
    <s v="음식및숙박"/>
    <s v="기타프랜차이즈점"/>
    <s v="인쇄"/>
    <s v="신문"/>
    <s v="매일경제"/>
    <s v="-"/>
    <s v="25"/>
    <s v="08"/>
    <s v="25.08"/>
    <s v="25.08"/>
    <n v="979"/>
  </r>
  <r>
    <s v="케이블"/>
    <s v="ADEX"/>
    <s v="웰빙푸드"/>
    <x v="3"/>
    <s v="서비스"/>
    <s v="음식및숙박"/>
    <s v="기타프랜차이즈점"/>
    <s v="TV"/>
    <s v="케이블"/>
    <s v="ENAPLAY"/>
    <s v="-"/>
    <s v="25"/>
    <s v="08"/>
    <s v="25.08"/>
    <s v="25.08"/>
    <n v="5737"/>
  </r>
  <r>
    <s v="케이블"/>
    <s v="ADEX"/>
    <s v="호식이두마리치킨"/>
    <x v="15"/>
    <s v="서비스"/>
    <s v="음식및숙박"/>
    <s v="기타프랜차이즈점"/>
    <s v="TV"/>
    <s v="케이블"/>
    <s v="tvNSTORY"/>
    <s v="-"/>
    <s v="25"/>
    <s v="08"/>
    <s v="25.08"/>
    <s v="25.08"/>
    <n v="84123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8"/>
    <s v="25.08"/>
    <s v="25.08"/>
    <n v="146934"/>
  </r>
  <r>
    <s v="디지털 영상"/>
    <s v="ADEX"/>
    <s v="장스푸드"/>
    <x v="2"/>
    <s v="서비스"/>
    <s v="음식및숙박"/>
    <s v="기타프랜차이즈점"/>
    <s v="디지털"/>
    <s v="디지털동영상"/>
    <s v="네이버"/>
    <s v="-"/>
    <s v="25"/>
    <s v="08"/>
    <s v="25.08"/>
    <s v="25.08"/>
    <n v="303"/>
  </r>
  <r>
    <s v="케이블"/>
    <s v="ADEX"/>
    <s v="호식이두마리치킨"/>
    <x v="15"/>
    <s v="서비스"/>
    <s v="음식및숙박"/>
    <s v="기타프랜차이즈점"/>
    <s v="TV"/>
    <s v="케이블"/>
    <s v="MBCON"/>
    <s v="-"/>
    <s v="25"/>
    <s v="08"/>
    <s v="25.08"/>
    <s v="25.08"/>
    <n v="1261"/>
  </r>
  <r>
    <s v="케이블"/>
    <s v="ADEX"/>
    <s v="웰빙푸드"/>
    <x v="3"/>
    <s v="서비스"/>
    <s v="음식및숙박"/>
    <s v="기타프랜차이즈점"/>
    <s v="TV"/>
    <s v="케이블"/>
    <s v="SPOTVPrime2"/>
    <s v="-"/>
    <s v="25"/>
    <s v="08"/>
    <s v="25.08"/>
    <s v="25.08"/>
    <n v="2424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8"/>
    <s v="25.08"/>
    <s v="25.08"/>
    <n v="3411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8"/>
    <s v="25.08"/>
    <s v="25.08"/>
    <n v="1436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8"/>
    <s v="25.08"/>
    <s v="25.08"/>
    <n v="24167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8"/>
    <s v="25.08"/>
    <s v="25.08"/>
    <n v="13950"/>
  </r>
  <r>
    <s v="디지털 영상"/>
    <s v="ADEX"/>
    <s v="웰빙푸드"/>
    <x v="3"/>
    <s v="서비스"/>
    <s v="음식및숙박"/>
    <s v="기타프랜차이즈점"/>
    <s v="디지털"/>
    <s v="디지털동영상"/>
    <s v="Afreecatv"/>
    <s v="-"/>
    <s v="25"/>
    <s v="08"/>
    <s v="25.08"/>
    <s v="25.08"/>
    <n v="5062"/>
  </r>
  <r>
    <s v="디지털 영상"/>
    <s v="ADEX"/>
    <s v="호식이두마리치킨"/>
    <x v="15"/>
    <s v="서비스"/>
    <s v="음식및숙박"/>
    <s v="기타프랜차이즈점"/>
    <s v="디지털"/>
    <s v="디지털동영상"/>
    <s v="YouTube"/>
    <s v="-"/>
    <s v="25"/>
    <s v="08"/>
    <s v="25.08"/>
    <s v="25.08"/>
    <n v="37716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8"/>
    <s v="25.08"/>
    <s v="25.08"/>
    <n v="7580"/>
  </r>
  <r>
    <s v="라디오"/>
    <s v="ADEX"/>
    <s v="웰빙푸드"/>
    <x v="3"/>
    <s v="서비스"/>
    <s v="음식및숙박"/>
    <s v="기타프랜차이즈점"/>
    <s v="라디오"/>
    <s v="라디오"/>
    <s v="CBS-FM"/>
    <s v="-"/>
    <s v="25"/>
    <s v="08"/>
    <s v="25.08"/>
    <s v="25.08"/>
    <n v="35402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08"/>
    <s v="25.08"/>
    <s v="25.08"/>
    <n v="4000"/>
  </r>
  <r>
    <s v="디지털 영상"/>
    <s v="ADEX"/>
    <s v="호식이두마리치킨"/>
    <x v="15"/>
    <s v="서비스"/>
    <s v="음식및숙박"/>
    <s v="기타프랜차이즈점"/>
    <s v="디지털"/>
    <s v="디지털동영상"/>
    <s v="Tving"/>
    <s v="-"/>
    <s v="25"/>
    <s v="08"/>
    <s v="25.08"/>
    <s v="25.08"/>
    <n v="1284"/>
  </r>
  <r>
    <s v="종편"/>
    <s v="ADEX"/>
    <s v="웰빙푸드"/>
    <x v="3"/>
    <s v="서비스"/>
    <s v="음식및숙박"/>
    <s v="기타프랜차이즈점"/>
    <s v="TV"/>
    <s v="종편"/>
    <s v="TVCHOSUN"/>
    <s v="-"/>
    <s v="25"/>
    <s v="08"/>
    <s v="25.08"/>
    <s v="25.08"/>
    <n v="37210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8"/>
    <s v="25.08"/>
    <s v="25.08"/>
    <n v="491"/>
  </r>
  <r>
    <s v="디지털 영상"/>
    <s v="ADEX"/>
    <s v="호식이두마리치킨"/>
    <x v="15"/>
    <s v="서비스"/>
    <s v="음식및숙박"/>
    <s v="기타프랜차이즈점"/>
    <s v="디지털"/>
    <s v="디지털동영상"/>
    <s v="네이버"/>
    <s v="-"/>
    <s v="25"/>
    <s v="08"/>
    <s v="25.08"/>
    <s v="25.08"/>
    <n v="7147"/>
  </r>
  <r>
    <s v="라디오"/>
    <s v="ADEX"/>
    <s v="꼬꼬에프앤비"/>
    <x v="11"/>
    <s v="서비스"/>
    <s v="음식및숙박"/>
    <s v="기타프랜차이즈점"/>
    <s v="라디오"/>
    <s v="라디오"/>
    <s v="SBS-RD"/>
    <s v="-"/>
    <s v="25"/>
    <s v="08"/>
    <s v="25.08"/>
    <s v="25.08"/>
    <n v="23250"/>
  </r>
  <r>
    <s v="디지털 영상"/>
    <s v="ADEX"/>
    <s v="호식이두마리치킨"/>
    <x v="15"/>
    <s v="서비스"/>
    <s v="음식및숙박"/>
    <s v="기타프랜차이즈점"/>
    <s v="디지털"/>
    <s v="디지털동영상"/>
    <s v="다음"/>
    <s v="-"/>
    <s v="25"/>
    <s v="08"/>
    <s v="25.08"/>
    <s v="25.08"/>
    <n v="1572"/>
  </r>
  <r>
    <s v="케이블"/>
    <s v="ADEX"/>
    <s v="웰빙푸드"/>
    <x v="3"/>
    <s v="서비스"/>
    <s v="음식및숙박"/>
    <s v="기타프랜차이즈점"/>
    <s v="TV"/>
    <s v="케이블"/>
    <s v="ENADRAMA"/>
    <s v="-"/>
    <s v="25"/>
    <s v="08"/>
    <s v="25.08"/>
    <s v="25.08"/>
    <n v="5673"/>
  </r>
  <r>
    <s v="케이블"/>
    <s v="ADEX"/>
    <s v="웰빙푸드"/>
    <x v="3"/>
    <s v="서비스"/>
    <s v="음식및숙박"/>
    <s v="기타프랜차이즈점"/>
    <s v="TV"/>
    <s v="케이블"/>
    <s v="ONT"/>
    <s v="-"/>
    <s v="25"/>
    <s v="08"/>
    <s v="25.08"/>
    <s v="25.08"/>
    <n v="90"/>
  </r>
  <r>
    <s v="라디오"/>
    <s v="ADEX"/>
    <s v="장스푸드"/>
    <x v="2"/>
    <s v="서비스"/>
    <s v="음식및숙박"/>
    <s v="기타프랜차이즈점"/>
    <s v="라디오"/>
    <s v="라디오"/>
    <s v="ITV-FM"/>
    <s v="-"/>
    <s v="25"/>
    <s v="08"/>
    <s v="25.08"/>
    <s v="25.08"/>
    <n v="13413"/>
  </r>
  <r>
    <s v="케이블"/>
    <s v="ADEX"/>
    <s v="웰빙푸드"/>
    <x v="3"/>
    <s v="서비스"/>
    <s v="음식및숙박"/>
    <s v="기타프랜차이즈점"/>
    <s v="TV"/>
    <s v="케이블"/>
    <s v="ENA"/>
    <s v="-"/>
    <s v="25"/>
    <s v="08"/>
    <s v="25.08"/>
    <s v="25.08"/>
    <n v="31163"/>
  </r>
  <r>
    <s v="케이블"/>
    <s v="ADEX"/>
    <s v="호식이두마리치킨"/>
    <x v="15"/>
    <s v="서비스"/>
    <s v="음식및숙박"/>
    <s v="기타프랜차이즈점"/>
    <s v="TV"/>
    <s v="케이블"/>
    <s v="cineF"/>
    <s v="-"/>
    <s v="25"/>
    <s v="08"/>
    <s v="25.08"/>
    <s v="25.08"/>
    <n v="7248"/>
  </r>
  <r>
    <s v="라디오"/>
    <s v="ADEX"/>
    <s v="웰빙푸드"/>
    <x v="3"/>
    <s v="서비스"/>
    <s v="음식및숙박"/>
    <s v="기타프랜차이즈점"/>
    <s v="라디오"/>
    <s v="라디오"/>
    <s v="WBS-FM"/>
    <s v="-"/>
    <s v="25"/>
    <s v="08"/>
    <s v="25.08"/>
    <s v="25.08"/>
    <n v="15266"/>
  </r>
  <r>
    <s v="케이블"/>
    <s v="ADEX"/>
    <s v="호식이두마리치킨"/>
    <x v="15"/>
    <s v="서비스"/>
    <s v="음식및숙박"/>
    <s v="기타프랜차이즈점"/>
    <s v="TV"/>
    <s v="케이블"/>
    <s v="MBCM"/>
    <s v="-"/>
    <s v="25"/>
    <s v="08"/>
    <s v="25.08"/>
    <s v="25.08"/>
    <n v="2760"/>
  </r>
  <r>
    <s v="케이블"/>
    <s v="ADEX"/>
    <s v="웰빙푸드"/>
    <x v="3"/>
    <s v="서비스"/>
    <s v="음식및숙박"/>
    <s v="기타프랜차이즈점"/>
    <s v="TV"/>
    <s v="케이블"/>
    <s v="SPOTVPrime"/>
    <s v="-"/>
    <s v="25"/>
    <s v="08"/>
    <s v="25.08"/>
    <s v="25.08"/>
    <n v="8082"/>
  </r>
  <r>
    <s v="케이블"/>
    <s v="ADEX"/>
    <s v="호식이두마리치킨"/>
    <x v="15"/>
    <s v="서비스"/>
    <s v="음식및숙박"/>
    <s v="기타프랜차이즈점"/>
    <s v="TV"/>
    <s v="케이블"/>
    <s v="SBSSports"/>
    <s v="-"/>
    <s v="25"/>
    <s v="08"/>
    <s v="25.08"/>
    <s v="25.08"/>
    <n v="667"/>
  </r>
  <r>
    <s v="디지털 영상"/>
    <s v="ADEX"/>
    <s v="지엔푸드"/>
    <x v="13"/>
    <s v="서비스"/>
    <s v="음식및숙박"/>
    <s v="기타프랜차이즈점"/>
    <s v="디지털"/>
    <s v="디지털동영상"/>
    <s v="다음"/>
    <s v="-"/>
    <s v="25"/>
    <s v="08"/>
    <s v="25.08"/>
    <s v="25.08"/>
    <n v="1791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8"/>
    <s v="25.08"/>
    <s v="25.08"/>
    <n v="26518"/>
  </r>
  <r>
    <s v="케이블"/>
    <s v="ADEX"/>
    <s v="웰빙푸드"/>
    <x v="3"/>
    <s v="서비스"/>
    <s v="음식및숙박"/>
    <s v="기타프랜차이즈점"/>
    <s v="TV"/>
    <s v="케이블"/>
    <s v="ENASTORY"/>
    <s v="-"/>
    <s v="25"/>
    <s v="08"/>
    <s v="25.08"/>
    <s v="25.08"/>
    <n v="653"/>
  </r>
  <r>
    <s v="종편"/>
    <s v="ADEX"/>
    <s v="호식이두마리치킨"/>
    <x v="15"/>
    <s v="서비스"/>
    <s v="음식및숙박"/>
    <s v="기타프랜차이즈점"/>
    <s v="TV"/>
    <s v="종편"/>
    <s v="JTBC"/>
    <s v="-"/>
    <s v="25"/>
    <s v="08"/>
    <s v="25.08"/>
    <s v="25.08"/>
    <n v="592854"/>
  </r>
  <r>
    <s v="케이블"/>
    <s v="ADEX"/>
    <s v="웰빙푸드"/>
    <x v="3"/>
    <s v="서비스"/>
    <s v="음식및숙박"/>
    <s v="기타프랜차이즈점"/>
    <s v="TV"/>
    <s v="케이블"/>
    <s v="SPOTVPrime+"/>
    <s v="-"/>
    <s v="25"/>
    <s v="08"/>
    <s v="25.08"/>
    <s v="25.08"/>
    <n v="2465"/>
  </r>
  <r>
    <s v="케이블"/>
    <s v="ADEX"/>
    <s v="웰빙푸드"/>
    <x v="3"/>
    <s v="서비스"/>
    <s v="음식및숙박"/>
    <s v="기타프랜차이즈점"/>
    <s v="TV"/>
    <s v="케이블"/>
    <s v="tvNSHOW"/>
    <s v="-"/>
    <s v="25"/>
    <s v="08"/>
    <s v="25.08"/>
    <s v="25.08"/>
    <n v="53577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8"/>
    <s v="25.08"/>
    <s v="25.08"/>
    <n v="7370"/>
  </r>
  <r>
    <s v="라디오"/>
    <s v="ADEX"/>
    <s v="웰빙푸드"/>
    <x v="3"/>
    <s v="서비스"/>
    <s v="음식및숙박"/>
    <s v="기타프랜차이즈점"/>
    <s v="라디오"/>
    <s v="라디오"/>
    <s v="CPBC-FM"/>
    <s v="-"/>
    <s v="25"/>
    <s v="08"/>
    <s v="25.08"/>
    <s v="25.08"/>
    <n v="15970"/>
  </r>
  <r>
    <s v="케이블"/>
    <s v="ADEX"/>
    <s v="호식이두마리치킨"/>
    <x v="15"/>
    <s v="서비스"/>
    <s v="음식및숙박"/>
    <s v="기타프랜차이즈점"/>
    <s v="TV"/>
    <s v="케이블"/>
    <s v="코미디TV"/>
    <s v="-"/>
    <s v="25"/>
    <s v="08"/>
    <s v="25.08"/>
    <s v="25.08"/>
    <n v="79986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8"/>
    <s v="25.08"/>
    <s v="25.08"/>
    <n v="108947"/>
  </r>
  <r>
    <s v="디지털 영상"/>
    <s v="ADEX"/>
    <s v="지엔푸드"/>
    <x v="13"/>
    <s v="서비스"/>
    <s v="음식및숙박"/>
    <s v="기타프랜차이즈점"/>
    <s v="디지털"/>
    <s v="디지털동영상"/>
    <s v="네이버"/>
    <s v="-"/>
    <s v="25"/>
    <s v="08"/>
    <s v="25.08"/>
    <s v="25.08"/>
    <n v="32586"/>
  </r>
  <r>
    <s v="케이블"/>
    <s v="ADEX"/>
    <s v="웰빙푸드"/>
    <x v="3"/>
    <s v="서비스"/>
    <s v="음식및숙박"/>
    <s v="기타프랜차이즈점"/>
    <s v="TV"/>
    <s v="케이블"/>
    <s v="MBCevery1"/>
    <s v="-"/>
    <s v="25"/>
    <s v="08"/>
    <s v="25.08"/>
    <s v="25.08"/>
    <n v="46062"/>
  </r>
  <r>
    <s v="케이블"/>
    <s v="ADEX"/>
    <s v="호식이두마리치킨"/>
    <x v="15"/>
    <s v="서비스"/>
    <s v="음식및숙박"/>
    <s v="기타프랜차이즈점"/>
    <s v="TV"/>
    <s v="케이블"/>
    <s v="헬스메디TV"/>
    <s v="-"/>
    <s v="25"/>
    <s v="08"/>
    <s v="25.08"/>
    <s v="25.08"/>
    <n v="12164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8"/>
    <s v="25.08"/>
    <s v="25.08"/>
    <n v="56724"/>
  </r>
  <r>
    <s v="케이블"/>
    <s v="ADEX"/>
    <s v="웰빙푸드"/>
    <x v="3"/>
    <s v="서비스"/>
    <s v="음식및숙박"/>
    <s v="기타프랜차이즈점"/>
    <s v="TV"/>
    <s v="케이블"/>
    <s v="MBCSPORTS+"/>
    <s v="-"/>
    <s v="25"/>
    <s v="08"/>
    <s v="25.08"/>
    <s v="25.08"/>
    <n v="68551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8"/>
    <s v="25.08"/>
    <s v="25.08"/>
    <n v="1165550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8"/>
    <s v="25.08"/>
    <s v="25.08"/>
    <n v="138456"/>
  </r>
  <r>
    <s v="케이블"/>
    <s v="ADEX"/>
    <s v="호식이두마리치킨"/>
    <x v="15"/>
    <s v="서비스"/>
    <s v="음식및숙박"/>
    <s v="기타프랜차이즈점"/>
    <s v="TV"/>
    <s v="케이블"/>
    <s v="MBC드라마넷"/>
    <s v="-"/>
    <s v="25"/>
    <s v="08"/>
    <s v="25.08"/>
    <s v="25.08"/>
    <n v="114882"/>
  </r>
  <r>
    <s v="종편"/>
    <s v="ADEX"/>
    <s v="호식이두마리치킨"/>
    <x v="15"/>
    <s v="서비스"/>
    <s v="음식및숙박"/>
    <s v="기타프랜차이즈점"/>
    <s v="TV"/>
    <s v="종편"/>
    <s v="채널A"/>
    <s v="-"/>
    <s v="25"/>
    <s v="08"/>
    <s v="25.08"/>
    <s v="25.08"/>
    <n v="210236"/>
  </r>
  <r>
    <s v="케이블"/>
    <s v="ADEX"/>
    <s v="호식이두마리치킨"/>
    <x v="15"/>
    <s v="서비스"/>
    <s v="음식및숙박"/>
    <s v="기타프랜차이즈점"/>
    <s v="TV"/>
    <s v="케이블"/>
    <s v="ishow"/>
    <s v="-"/>
    <s v="25"/>
    <s v="08"/>
    <s v="25.08"/>
    <s v="25.08"/>
    <n v="6149"/>
  </r>
  <r>
    <s v="케이블"/>
    <s v="ADEX"/>
    <s v="호식이두마리치킨"/>
    <x v="15"/>
    <s v="서비스"/>
    <s v="음식및숙박"/>
    <s v="기타프랜차이즈점"/>
    <s v="TV"/>
    <s v="케이블"/>
    <s v="SCREEN"/>
    <s v="-"/>
    <s v="25"/>
    <s v="08"/>
    <s v="25.08"/>
    <s v="25.08"/>
    <n v="38788"/>
  </r>
  <r>
    <s v="케이블"/>
    <s v="ADEX"/>
    <s v="호식이두마리치킨"/>
    <x v="15"/>
    <s v="서비스"/>
    <s v="음식및숙박"/>
    <s v="기타프랜차이즈점"/>
    <s v="TV"/>
    <s v="케이블"/>
    <s v="KBSJOY"/>
    <s v="-"/>
    <s v="25"/>
    <s v="08"/>
    <s v="25.08"/>
    <s v="25.08"/>
    <n v="85552"/>
  </r>
  <r>
    <s v="케이블"/>
    <s v="ADEX"/>
    <s v="장스푸드"/>
    <x v="2"/>
    <s v="서비스"/>
    <s v="음식및숙박"/>
    <s v="기타프랜차이즈점"/>
    <s v="TV"/>
    <s v="케이블"/>
    <s v="ENA"/>
    <s v="-"/>
    <s v="25"/>
    <s v="08"/>
    <s v="25.08"/>
    <s v="25.08"/>
    <n v="104233"/>
  </r>
  <r>
    <s v="케이블"/>
    <s v="ADEX"/>
    <s v="호식이두마리치킨"/>
    <x v="15"/>
    <s v="서비스"/>
    <s v="음식및숙박"/>
    <s v="기타프랜차이즈점"/>
    <s v="TV"/>
    <s v="케이블"/>
    <s v="MBCevery1"/>
    <s v="-"/>
    <s v="25"/>
    <s v="08"/>
    <s v="25.08"/>
    <s v="25.08"/>
    <n v="122437"/>
  </r>
  <r>
    <s v="케이블"/>
    <s v="ADEX"/>
    <s v="호식이두마리치킨"/>
    <x v="15"/>
    <s v="서비스"/>
    <s v="음식및숙박"/>
    <s v="기타프랜차이즈점"/>
    <s v="TV"/>
    <s v="케이블"/>
    <s v="연합뉴스TV"/>
    <s v="-"/>
    <s v="25"/>
    <s v="08"/>
    <s v="25.08"/>
    <s v="25.08"/>
    <n v="110526"/>
  </r>
  <r>
    <s v="케이블"/>
    <s v="ADEX"/>
    <s v="웰빙푸드"/>
    <x v="3"/>
    <s v="서비스"/>
    <s v="음식및숙박"/>
    <s v="기타프랜차이즈점"/>
    <s v="TV"/>
    <s v="케이블"/>
    <s v="Mnet"/>
    <s v="-"/>
    <s v="25"/>
    <s v="08"/>
    <s v="25.08"/>
    <s v="25.08"/>
    <n v="62460"/>
  </r>
  <r>
    <s v="디지털 영상"/>
    <s v="ADEX"/>
    <s v="교촌F&amp;B"/>
    <x v="6"/>
    <s v="서비스"/>
    <s v="음식및숙박"/>
    <s v="기타프랜차이즈점"/>
    <s v="디지털"/>
    <s v="디지털동영상"/>
    <s v="Tving"/>
    <s v="-"/>
    <s v="25"/>
    <s v="08"/>
    <s v="25.08"/>
    <s v="25.08"/>
    <n v="5937"/>
  </r>
  <r>
    <s v="케이블"/>
    <s v="ADEX"/>
    <s v="호식이두마리치킨"/>
    <x v="15"/>
    <s v="서비스"/>
    <s v="음식및숙박"/>
    <s v="기타프랜차이즈점"/>
    <s v="TV"/>
    <s v="케이블"/>
    <s v="MBCSPORTS+"/>
    <s v="-"/>
    <s v="25"/>
    <s v="08"/>
    <s v="25.08"/>
    <s v="25.08"/>
    <n v="47699"/>
  </r>
  <r>
    <s v="케이블"/>
    <s v="ADEX"/>
    <s v="호식이두마리치킨"/>
    <x v="15"/>
    <s v="서비스"/>
    <s v="음식및숙박"/>
    <s v="기타프랜차이즈점"/>
    <s v="TV"/>
    <s v="케이블"/>
    <s v="ENADRAMA"/>
    <s v="-"/>
    <s v="25"/>
    <s v="08"/>
    <s v="25.08"/>
    <s v="25.08"/>
    <n v="26182"/>
  </r>
  <r>
    <s v="케이블"/>
    <s v="ADEX"/>
    <s v="웰빙푸드"/>
    <x v="3"/>
    <s v="서비스"/>
    <s v="음식및숙박"/>
    <s v="기타프랜차이즈점"/>
    <s v="TV"/>
    <s v="케이블"/>
    <s v="헬스메디TV"/>
    <s v="-"/>
    <s v="25"/>
    <s v="08"/>
    <s v="25.08"/>
    <s v="25.08"/>
    <n v="93"/>
  </r>
  <r>
    <s v="케이블"/>
    <s v="ADEX"/>
    <s v="호식이두마리치킨"/>
    <x v="15"/>
    <s v="서비스"/>
    <s v="음식및숙박"/>
    <s v="기타프랜차이즈점"/>
    <s v="TV"/>
    <s v="케이블"/>
    <s v="ONT"/>
    <s v="-"/>
    <s v="25"/>
    <s v="08"/>
    <s v="25.08"/>
    <s v="25.08"/>
    <n v="8973"/>
  </r>
  <r>
    <s v="케이블"/>
    <s v="ADEX"/>
    <s v="호식이두마리치킨"/>
    <x v="15"/>
    <s v="서비스"/>
    <s v="음식및숙박"/>
    <s v="기타프랜차이즈점"/>
    <s v="TV"/>
    <s v="케이블"/>
    <s v="채널나우"/>
    <s v="-"/>
    <s v="25"/>
    <s v="08"/>
    <s v="25.08"/>
    <s v="25.08"/>
    <n v="15078"/>
  </r>
  <r>
    <s v="케이블"/>
    <s v="ADEX"/>
    <s v="호식이두마리치킨"/>
    <x v="15"/>
    <s v="서비스"/>
    <s v="음식및숙박"/>
    <s v="기타프랜차이즈점"/>
    <s v="TV"/>
    <s v="케이블"/>
    <s v="iplay"/>
    <s v="-"/>
    <s v="25"/>
    <s v="08"/>
    <s v="25.08"/>
    <s v="25.08"/>
    <n v="7891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8"/>
    <s v="25.08"/>
    <s v="25.08"/>
    <n v="5126"/>
  </r>
  <r>
    <s v="라디오"/>
    <s v="ADEX"/>
    <s v="장스푸드"/>
    <x v="2"/>
    <s v="서비스"/>
    <s v="음식및숙박"/>
    <s v="기타프랜차이즈점"/>
    <s v="라디오"/>
    <s v="라디오"/>
    <s v="BBS-FM"/>
    <s v="-"/>
    <s v="25"/>
    <s v="08"/>
    <s v="25.08"/>
    <s v="25.08"/>
    <n v="105886"/>
  </r>
  <r>
    <s v="라디오"/>
    <s v="ADEX"/>
    <s v="장스푸드"/>
    <x v="2"/>
    <s v="서비스"/>
    <s v="음식및숙박"/>
    <s v="기타프랜차이즈점"/>
    <s v="라디오"/>
    <s v="라디오"/>
    <s v="TBS-eFM"/>
    <s v="-"/>
    <s v="25"/>
    <s v="08"/>
    <s v="25.08"/>
    <s v="25.08"/>
    <n v="12138"/>
  </r>
  <r>
    <s v="라디오"/>
    <s v="ADEX"/>
    <s v="장스푸드"/>
    <x v="2"/>
    <s v="서비스"/>
    <s v="음식및숙박"/>
    <s v="기타프랜차이즈점"/>
    <s v="라디오"/>
    <s v="라디오"/>
    <s v="FEBC-AM"/>
    <s v="-"/>
    <s v="25"/>
    <s v="08"/>
    <s v="25.08"/>
    <s v="25.08"/>
    <n v="9986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8"/>
    <s v="25.08"/>
    <s v="25.08"/>
    <n v="2564"/>
  </r>
  <r>
    <s v="신문"/>
    <s v="ADEX"/>
    <s v="제너시스비비큐"/>
    <x v="10"/>
    <s v="서비스"/>
    <s v="음식및숙박"/>
    <s v="기타프랜차이즈점"/>
    <s v="인쇄"/>
    <s v="신문"/>
    <s v="매일경제"/>
    <s v="-"/>
    <s v="25"/>
    <s v="08"/>
    <s v="25.08"/>
    <s v="25.08"/>
    <n v="979"/>
  </r>
  <r>
    <s v="라디오"/>
    <s v="ADEX"/>
    <s v="꼬꼬에프앤비"/>
    <x v="11"/>
    <s v="서비스"/>
    <s v="음식및숙박"/>
    <s v="기타프랜차이즈점"/>
    <s v="라디오"/>
    <s v="라디오"/>
    <s v="SBS-FM"/>
    <s v="-"/>
    <s v="25"/>
    <s v="08"/>
    <s v="25.08"/>
    <s v="25.08"/>
    <n v="180800"/>
  </r>
  <r>
    <s v="케이블"/>
    <s v="ADEX"/>
    <s v="호식이두마리치킨"/>
    <x v="15"/>
    <s v="서비스"/>
    <s v="음식및숙박"/>
    <s v="기타프랜차이즈점"/>
    <s v="TV"/>
    <s v="케이블"/>
    <s v="ELIKE"/>
    <s v="-"/>
    <s v="25"/>
    <s v="08"/>
    <s v="25.08"/>
    <s v="25.08"/>
    <n v="4410"/>
  </r>
  <r>
    <s v="케이블"/>
    <s v="ADEX"/>
    <s v="호식이두마리치킨"/>
    <x v="15"/>
    <s v="서비스"/>
    <s v="음식및숙박"/>
    <s v="기타프랜차이즈점"/>
    <s v="TV"/>
    <s v="케이블"/>
    <s v="채널S플러스"/>
    <s v="-"/>
    <s v="25"/>
    <s v="08"/>
    <s v="25.08"/>
    <s v="25.08"/>
    <n v="2742"/>
  </r>
  <r>
    <s v="케이블"/>
    <s v="ADEX"/>
    <s v="호식이두마리치킨"/>
    <x v="15"/>
    <s v="서비스"/>
    <s v="음식및숙박"/>
    <s v="기타프랜차이즈점"/>
    <s v="TV"/>
    <s v="케이블"/>
    <s v="CHview"/>
    <s v="-"/>
    <s v="25"/>
    <s v="08"/>
    <s v="25.08"/>
    <s v="25.08"/>
    <n v="5856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7"/>
    <s v="25.07"/>
    <s v="25.07"/>
    <n v="124158"/>
  </r>
  <r>
    <s v="케이블"/>
    <s v="ADEX"/>
    <s v="호식이두마리치킨"/>
    <x v="15"/>
    <s v="서비스"/>
    <s v="음식및숙박"/>
    <s v="기타프랜차이즈점"/>
    <s v="TV"/>
    <s v="케이블"/>
    <s v="CHING"/>
    <s v="-"/>
    <s v="25"/>
    <s v="07"/>
    <s v="25.07"/>
    <s v="25.07"/>
    <n v="4218"/>
  </r>
  <r>
    <s v="케이블"/>
    <s v="ADEX"/>
    <s v="코리아델로스"/>
    <x v="4"/>
    <s v="서비스"/>
    <s v="음식및숙박"/>
    <s v="기타프랜차이즈점"/>
    <s v="TV"/>
    <s v="케이블"/>
    <s v="JTBC4"/>
    <s v="-"/>
    <s v="25"/>
    <s v="07"/>
    <s v="25.07"/>
    <s v="25.07"/>
    <n v="13296"/>
  </r>
  <r>
    <s v="디지털 영상"/>
    <s v="ADEX"/>
    <s v="아이더스에프앤비"/>
    <x v="0"/>
    <s v="서비스"/>
    <s v="음식및숙박"/>
    <s v="기타프랜차이즈점"/>
    <s v="디지털"/>
    <s v="디지털동영상"/>
    <s v="다음"/>
    <s v="-"/>
    <s v="25"/>
    <s v="07"/>
    <s v="25.07"/>
    <s v="25.07"/>
    <n v="278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7"/>
    <s v="25.07"/>
    <s v="25.07"/>
    <n v="79263"/>
  </r>
  <r>
    <s v="케이블"/>
    <s v="ADEX"/>
    <s v="멕시카나"/>
    <x v="7"/>
    <s v="서비스"/>
    <s v="음식및숙박"/>
    <s v="기타프랜차이즈점"/>
    <s v="TV"/>
    <s v="케이블"/>
    <s v="KBSN스포츠"/>
    <s v="-"/>
    <s v="25"/>
    <s v="07"/>
    <s v="25.07"/>
    <s v="25.07"/>
    <n v="42267"/>
  </r>
  <r>
    <s v="디지털 영상"/>
    <s v="ADEX"/>
    <s v="웰빙푸드"/>
    <x v="3"/>
    <s v="서비스"/>
    <s v="음식및숙박"/>
    <s v="기타프랜차이즈점"/>
    <s v="디지털"/>
    <s v="디지털동영상"/>
    <s v="Afreecatv"/>
    <s v="-"/>
    <s v="25"/>
    <s v="07"/>
    <s v="25.07"/>
    <s v="25.07"/>
    <n v="823"/>
  </r>
  <r>
    <s v="케이블"/>
    <s v="ADEX"/>
    <s v="호식이두마리치킨"/>
    <x v="15"/>
    <s v="서비스"/>
    <s v="음식및숙박"/>
    <s v="기타프랜차이즈점"/>
    <s v="TV"/>
    <s v="케이블"/>
    <s v="OCN"/>
    <s v="-"/>
    <s v="25"/>
    <s v="07"/>
    <s v="25.07"/>
    <s v="25.07"/>
    <n v="7788"/>
  </r>
  <r>
    <s v="케이블"/>
    <s v="ADEX"/>
    <s v="호식이두마리치킨"/>
    <x v="15"/>
    <s v="서비스"/>
    <s v="음식및숙박"/>
    <s v="기타프랜차이즈점"/>
    <s v="TV"/>
    <s v="케이블"/>
    <s v="E채널"/>
    <s v="-"/>
    <s v="25"/>
    <s v="07"/>
    <s v="25.07"/>
    <s v="25.07"/>
    <n v="23763"/>
  </r>
  <r>
    <s v="케이블"/>
    <s v="ADEX"/>
    <s v="호식이두마리치킨"/>
    <x v="15"/>
    <s v="서비스"/>
    <s v="음식및숙박"/>
    <s v="기타프랜차이즈점"/>
    <s v="TV"/>
    <s v="케이블"/>
    <s v="OLIFE"/>
    <s v="-"/>
    <s v="25"/>
    <s v="07"/>
    <s v="25.07"/>
    <s v="25.07"/>
    <n v="2155"/>
  </r>
  <r>
    <s v="케이블"/>
    <s v="ADEX"/>
    <s v="웰빙푸드"/>
    <x v="3"/>
    <s v="서비스"/>
    <s v="음식및숙박"/>
    <s v="기타프랜차이즈점"/>
    <s v="TV"/>
    <s v="케이블"/>
    <s v="MX"/>
    <s v="-"/>
    <s v="25"/>
    <s v="07"/>
    <s v="25.07"/>
    <s v="25.07"/>
    <n v="3035"/>
  </r>
  <r>
    <s v="케이블"/>
    <s v="ADEX"/>
    <s v="혜인유통"/>
    <x v="5"/>
    <s v="서비스"/>
    <s v="음식및숙박"/>
    <s v="기타프랜차이즈점"/>
    <s v="TV"/>
    <s v="케이블"/>
    <s v="YTN"/>
    <s v="-"/>
    <s v="25"/>
    <s v="07"/>
    <s v="25.07"/>
    <s v="25.07"/>
    <n v="2857"/>
  </r>
  <r>
    <s v="케이블"/>
    <s v="ADEX"/>
    <s v="웰빙푸드"/>
    <x v="3"/>
    <s v="서비스"/>
    <s v="음식및숙박"/>
    <s v="기타프랜차이즈점"/>
    <s v="TV"/>
    <s v="케이블"/>
    <s v="tvNSHOW"/>
    <s v="-"/>
    <s v="25"/>
    <s v="07"/>
    <s v="25.07"/>
    <s v="25.07"/>
    <n v="33126"/>
  </r>
  <r>
    <s v="케이블"/>
    <s v="ADEX"/>
    <s v="웰빙푸드"/>
    <x v="3"/>
    <s v="서비스"/>
    <s v="음식및숙박"/>
    <s v="기타프랜차이즈점"/>
    <s v="TV"/>
    <s v="케이블"/>
    <s v="E채널"/>
    <s v="-"/>
    <s v="25"/>
    <s v="07"/>
    <s v="25.07"/>
    <s v="25.07"/>
    <n v="29089"/>
  </r>
  <r>
    <s v="케이블"/>
    <s v="ADEX"/>
    <s v="웰빙푸드"/>
    <x v="3"/>
    <s v="서비스"/>
    <s v="음식및숙박"/>
    <s v="기타프랜차이즈점"/>
    <s v="TV"/>
    <s v="케이블"/>
    <s v="CHING"/>
    <s v="-"/>
    <s v="25"/>
    <s v="07"/>
    <s v="25.07"/>
    <s v="25.07"/>
    <n v="1103"/>
  </r>
  <r>
    <s v="디지털 영상"/>
    <s v="ADEX"/>
    <s v="지엔푸드"/>
    <x v="13"/>
    <s v="서비스"/>
    <s v="음식및숙박"/>
    <s v="기타프랜차이즈점"/>
    <s v="디지털"/>
    <s v="디지털동영상"/>
    <s v="Tving"/>
    <s v="-"/>
    <s v="25"/>
    <s v="07"/>
    <s v="25.07"/>
    <s v="25.07"/>
    <n v="2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07"/>
    <s v="25.07"/>
    <s v="25.07"/>
    <n v="312105"/>
  </r>
  <r>
    <s v="케이블"/>
    <s v="ADEX"/>
    <s v="웰빙푸드"/>
    <x v="3"/>
    <s v="서비스"/>
    <s v="음식및숙박"/>
    <s v="기타프랜차이즈점"/>
    <s v="TV"/>
    <s v="케이블"/>
    <s v="OLIFE"/>
    <s v="-"/>
    <s v="25"/>
    <s v="07"/>
    <s v="25.07"/>
    <s v="25.07"/>
    <n v="552"/>
  </r>
  <r>
    <s v="라디오"/>
    <s v="ADEX"/>
    <s v="꼬꼬에프앤비"/>
    <x v="11"/>
    <s v="서비스"/>
    <s v="음식및숙박"/>
    <s v="기타프랜차이즈점"/>
    <s v="라디오"/>
    <s v="라디오"/>
    <s v="SBS-RD"/>
    <s v="-"/>
    <s v="25"/>
    <s v="07"/>
    <s v="25.07"/>
    <s v="25.07"/>
    <n v="23250"/>
  </r>
  <r>
    <s v="케이블"/>
    <s v="ADEX"/>
    <s v="호식이두마리치킨"/>
    <x v="15"/>
    <s v="서비스"/>
    <s v="음식및숙박"/>
    <s v="기타프랜차이즈점"/>
    <s v="TV"/>
    <s v="케이블"/>
    <s v="MBCON"/>
    <s v="-"/>
    <s v="25"/>
    <s v="07"/>
    <s v="25.07"/>
    <s v="25.07"/>
    <n v="920"/>
  </r>
  <r>
    <s v="케이블"/>
    <s v="ADEX"/>
    <s v="호식이두마리치킨"/>
    <x v="15"/>
    <s v="서비스"/>
    <s v="음식및숙박"/>
    <s v="기타프랜차이즈점"/>
    <s v="TV"/>
    <s v="케이블"/>
    <s v="ENA"/>
    <s v="-"/>
    <s v="25"/>
    <s v="07"/>
    <s v="25.07"/>
    <s v="25.07"/>
    <n v="35953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7"/>
    <s v="25.07"/>
    <s v="25.07"/>
    <n v="2564"/>
  </r>
  <r>
    <s v="케이블"/>
    <s v="ADEX"/>
    <s v="호식이두마리치킨"/>
    <x v="15"/>
    <s v="서비스"/>
    <s v="음식및숙박"/>
    <s v="기타프랜차이즈점"/>
    <s v="TV"/>
    <s v="케이블"/>
    <s v="SBSfunE"/>
    <s v="-"/>
    <s v="25"/>
    <s v="07"/>
    <s v="25.07"/>
    <s v="25.07"/>
    <n v="22592"/>
  </r>
  <r>
    <s v="디지털 영상"/>
    <s v="ADEX"/>
    <s v="지엔푸드"/>
    <x v="13"/>
    <s v="서비스"/>
    <s v="음식및숙박"/>
    <s v="기타프랜차이즈점"/>
    <s v="디지털"/>
    <s v="디지털동영상"/>
    <s v="다음"/>
    <s v="-"/>
    <s v="25"/>
    <s v="07"/>
    <s v="25.07"/>
    <s v="25.07"/>
    <n v="3827"/>
  </r>
  <r>
    <s v="케이블"/>
    <s v="ADEX"/>
    <s v="호식이두마리치킨"/>
    <x v="15"/>
    <s v="서비스"/>
    <s v="음식및숙박"/>
    <s v="기타프랜차이즈점"/>
    <s v="TV"/>
    <s v="케이블"/>
    <s v="SCREEN"/>
    <s v="-"/>
    <s v="25"/>
    <s v="07"/>
    <s v="25.07"/>
    <s v="25.07"/>
    <n v="17155"/>
  </r>
  <r>
    <s v="케이블"/>
    <s v="ADEX"/>
    <s v="호식이두마리치킨"/>
    <x v="15"/>
    <s v="서비스"/>
    <s v="음식및숙박"/>
    <s v="기타프랜차이즈점"/>
    <s v="TV"/>
    <s v="케이블"/>
    <s v="MBC드라마넷"/>
    <s v="-"/>
    <s v="25"/>
    <s v="07"/>
    <s v="25.07"/>
    <s v="25.07"/>
    <n v="47412"/>
  </r>
  <r>
    <s v="케이블"/>
    <s v="ADEX"/>
    <s v="호식이두마리치킨"/>
    <x v="15"/>
    <s v="서비스"/>
    <s v="음식및숙박"/>
    <s v="기타프랜차이즈점"/>
    <s v="TV"/>
    <s v="케이블"/>
    <s v="ishow"/>
    <s v="-"/>
    <s v="25"/>
    <s v="07"/>
    <s v="25.07"/>
    <s v="25.07"/>
    <n v="2671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7"/>
    <s v="25.07"/>
    <s v="25.07"/>
    <n v="13950"/>
  </r>
  <r>
    <s v="라디오"/>
    <s v="ADEX"/>
    <s v="웰빙푸드"/>
    <x v="3"/>
    <s v="서비스"/>
    <s v="음식및숙박"/>
    <s v="기타프랜차이즈점"/>
    <s v="라디오"/>
    <s v="라디오"/>
    <s v="CBS-FM"/>
    <s v="-"/>
    <s v="25"/>
    <s v="07"/>
    <s v="25.07"/>
    <s v="25.07"/>
    <n v="35375"/>
  </r>
  <r>
    <s v="케이블"/>
    <s v="ADEX"/>
    <s v="장스푸드"/>
    <x v="2"/>
    <s v="서비스"/>
    <s v="음식및숙박"/>
    <s v="기타프랜차이즈점"/>
    <s v="TV"/>
    <s v="케이블"/>
    <s v="ENA"/>
    <s v="-"/>
    <s v="25"/>
    <s v="07"/>
    <s v="25.07"/>
    <s v="25.07"/>
    <n v="60628"/>
  </r>
  <r>
    <s v="잡지"/>
    <s v="ADEX"/>
    <s v="제너시스비비큐"/>
    <x v="10"/>
    <s v="서비스"/>
    <s v="음식및숙박"/>
    <s v="기타프랜차이즈점"/>
    <s v="인쇄"/>
    <s v="잡지"/>
    <s v="시사인"/>
    <s v="-"/>
    <s v="25"/>
    <s v="07"/>
    <s v="25.07"/>
    <s v="25.07"/>
    <n v="12000"/>
  </r>
  <r>
    <s v="디지털 영상"/>
    <s v="ADEX"/>
    <s v="혜인유통"/>
    <x v="5"/>
    <s v="서비스"/>
    <s v="음식및숙박"/>
    <s v="기타프랜차이즈점"/>
    <s v="디지털"/>
    <s v="디지털동영상"/>
    <s v="SMR"/>
    <s v="-"/>
    <s v="25"/>
    <s v="07"/>
    <s v="25.07"/>
    <s v="25.07"/>
    <n v="330"/>
  </r>
  <r>
    <s v="케이블"/>
    <s v="ADEX"/>
    <s v="웰빙푸드"/>
    <x v="3"/>
    <s v="서비스"/>
    <s v="음식및숙박"/>
    <s v="기타프랜차이즈점"/>
    <s v="TV"/>
    <s v="케이블"/>
    <s v="ENAPLAY"/>
    <s v="-"/>
    <s v="25"/>
    <s v="07"/>
    <s v="25.07"/>
    <s v="25.07"/>
    <n v="4491"/>
  </r>
  <r>
    <s v="디지털 영상"/>
    <s v="ADEX"/>
    <s v="멕시카나"/>
    <x v="7"/>
    <s v="서비스"/>
    <s v="음식및숙박"/>
    <s v="기타프랜차이즈점"/>
    <s v="디지털"/>
    <s v="디지털동영상"/>
    <s v="네이버"/>
    <s v="-"/>
    <s v="25"/>
    <s v="07"/>
    <s v="25.07"/>
    <s v="25.07"/>
    <n v="483"/>
  </r>
  <r>
    <s v="라디오"/>
    <s v="ADEX"/>
    <s v="웰빙푸드"/>
    <x v="3"/>
    <s v="서비스"/>
    <s v="음식및숙박"/>
    <s v="기타프랜차이즈점"/>
    <s v="라디오"/>
    <s v="라디오"/>
    <s v="YTN-FM"/>
    <s v="-"/>
    <s v="25"/>
    <s v="07"/>
    <s v="25.07"/>
    <s v="25.07"/>
    <n v="20167"/>
  </r>
  <r>
    <s v="케이블"/>
    <s v="ADEX"/>
    <s v="웰빙푸드"/>
    <x v="3"/>
    <s v="서비스"/>
    <s v="음식및숙박"/>
    <s v="기타프랜차이즈점"/>
    <s v="TV"/>
    <s v="케이블"/>
    <s v="SPOTVPrime"/>
    <s v="-"/>
    <s v="25"/>
    <s v="07"/>
    <s v="25.07"/>
    <s v="25.07"/>
    <n v="24432"/>
  </r>
  <r>
    <s v="케이블"/>
    <s v="ADEX"/>
    <s v="웰빙푸드"/>
    <x v="3"/>
    <s v="서비스"/>
    <s v="음식및숙박"/>
    <s v="기타프랜차이즈점"/>
    <s v="TV"/>
    <s v="케이블"/>
    <s v="CHview"/>
    <s v="-"/>
    <s v="25"/>
    <s v="07"/>
    <s v="25.07"/>
    <s v="25.07"/>
    <n v="3802"/>
  </r>
  <r>
    <s v="케이블"/>
    <s v="ADEX"/>
    <s v="웰빙푸드"/>
    <x v="3"/>
    <s v="서비스"/>
    <s v="음식및숙박"/>
    <s v="기타프랜차이즈점"/>
    <s v="TV"/>
    <s v="케이블"/>
    <s v="SkySports"/>
    <s v="-"/>
    <s v="25"/>
    <s v="07"/>
    <s v="25.07"/>
    <s v="25.07"/>
    <n v="3863"/>
  </r>
  <r>
    <s v="라디오"/>
    <s v="ADEX"/>
    <s v="꼬꼬에프앤비"/>
    <x v="11"/>
    <s v="서비스"/>
    <s v="음식및숙박"/>
    <s v="기타프랜차이즈점"/>
    <s v="라디오"/>
    <s v="라디오"/>
    <s v="SBS-FM"/>
    <s v="-"/>
    <s v="25"/>
    <s v="07"/>
    <s v="25.07"/>
    <s v="25.07"/>
    <n v="173600"/>
  </r>
  <r>
    <s v="케이블"/>
    <s v="ADEX"/>
    <s v="웰빙푸드"/>
    <x v="3"/>
    <s v="서비스"/>
    <s v="음식및숙박"/>
    <s v="기타프랜차이즈점"/>
    <s v="TV"/>
    <s v="케이블"/>
    <s v="ONT"/>
    <s v="-"/>
    <s v="25"/>
    <s v="07"/>
    <s v="25.07"/>
    <s v="25.07"/>
    <n v="604"/>
  </r>
  <r>
    <s v="케이블"/>
    <s v="ADEX"/>
    <s v="멕시카나"/>
    <x v="7"/>
    <s v="서비스"/>
    <s v="음식및숙박"/>
    <s v="기타프랜차이즈점"/>
    <s v="TV"/>
    <s v="케이블"/>
    <s v="KBSJOY"/>
    <s v="-"/>
    <s v="25"/>
    <s v="07"/>
    <s v="25.07"/>
    <s v="25.07"/>
    <n v="36000"/>
  </r>
  <r>
    <s v="케이블"/>
    <s v="ADEX"/>
    <s v="웰빙푸드"/>
    <x v="3"/>
    <s v="서비스"/>
    <s v="음식및숙박"/>
    <s v="기타프랜차이즈점"/>
    <s v="TV"/>
    <s v="케이블"/>
    <s v="채널에버"/>
    <s v="-"/>
    <s v="25"/>
    <s v="07"/>
    <s v="25.07"/>
    <s v="25.07"/>
    <n v="1944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07"/>
    <s v="25.07"/>
    <s v="25.07"/>
    <n v="7636"/>
  </r>
  <r>
    <s v="케이블"/>
    <s v="ADEX"/>
    <s v="호식이두마리치킨"/>
    <x v="15"/>
    <s v="서비스"/>
    <s v="음식및숙박"/>
    <s v="기타프랜차이즈점"/>
    <s v="TV"/>
    <s v="케이블"/>
    <s v="CHview"/>
    <s v="-"/>
    <s v="25"/>
    <s v="07"/>
    <s v="25.07"/>
    <s v="25.07"/>
    <n v="3427"/>
  </r>
  <r>
    <s v="케이블"/>
    <s v="ADEX"/>
    <s v="호식이두마리치킨"/>
    <x v="15"/>
    <s v="서비스"/>
    <s v="음식및숙박"/>
    <s v="기타프랜차이즈점"/>
    <s v="TV"/>
    <s v="케이블"/>
    <s v="MBCM"/>
    <s v="-"/>
    <s v="25"/>
    <s v="07"/>
    <s v="25.07"/>
    <s v="25.07"/>
    <n v="2488"/>
  </r>
  <r>
    <s v="케이블"/>
    <s v="ADEX"/>
    <s v="호식이두마리치킨"/>
    <x v="15"/>
    <s v="서비스"/>
    <s v="음식및숙박"/>
    <s v="기타프랜차이즈점"/>
    <s v="TV"/>
    <s v="케이블"/>
    <s v="ONT"/>
    <s v="-"/>
    <s v="25"/>
    <s v="07"/>
    <s v="25.07"/>
    <s v="25.07"/>
    <n v="1550"/>
  </r>
  <r>
    <s v="케이블"/>
    <s v="ADEX"/>
    <s v="호식이두마리치킨"/>
    <x v="15"/>
    <s v="서비스"/>
    <s v="음식및숙박"/>
    <s v="기타프랜차이즈점"/>
    <s v="TV"/>
    <s v="케이블"/>
    <s v="연합뉴스TV"/>
    <s v="-"/>
    <s v="25"/>
    <s v="07"/>
    <s v="25.07"/>
    <s v="25.07"/>
    <n v="42421"/>
  </r>
  <r>
    <s v="케이블"/>
    <s v="ADEX"/>
    <s v="호식이두마리치킨"/>
    <x v="15"/>
    <s v="서비스"/>
    <s v="음식및숙박"/>
    <s v="기타프랜차이즈점"/>
    <s v="TV"/>
    <s v="케이블"/>
    <s v="채널나우"/>
    <s v="-"/>
    <s v="25"/>
    <s v="07"/>
    <s v="25.07"/>
    <s v="25.07"/>
    <n v="13043"/>
  </r>
  <r>
    <s v="디지털 영상"/>
    <s v="ADEX"/>
    <s v="호식이두마리치킨"/>
    <x v="15"/>
    <s v="서비스"/>
    <s v="음식및숙박"/>
    <s v="기타프랜차이즈점"/>
    <s v="디지털"/>
    <s v="디지털동영상"/>
    <s v="YouTube"/>
    <s v="-"/>
    <s v="25"/>
    <s v="07"/>
    <s v="25.07"/>
    <s v="25.07"/>
    <n v="22710"/>
  </r>
  <r>
    <s v="케이블"/>
    <s v="ADEX"/>
    <s v="웰빙푸드"/>
    <x v="3"/>
    <s v="서비스"/>
    <s v="음식및숙박"/>
    <s v="기타프랜차이즈점"/>
    <s v="TV"/>
    <s v="케이블"/>
    <s v="헬스메디TV"/>
    <s v="-"/>
    <s v="25"/>
    <s v="07"/>
    <s v="25.07"/>
    <s v="25.07"/>
    <n v="930"/>
  </r>
  <r>
    <s v="케이블"/>
    <s v="ADEX"/>
    <s v="웰빙푸드"/>
    <x v="3"/>
    <s v="서비스"/>
    <s v="음식및숙박"/>
    <s v="기타프랜차이즈점"/>
    <s v="TV"/>
    <s v="케이블"/>
    <s v="Mnet"/>
    <s v="-"/>
    <s v="25"/>
    <s v="07"/>
    <s v="25.07"/>
    <s v="25.07"/>
    <n v="33379"/>
  </r>
  <r>
    <s v="케이블"/>
    <s v="ADEX"/>
    <s v="웰빙푸드"/>
    <x v="3"/>
    <s v="서비스"/>
    <s v="음식및숙박"/>
    <s v="기타프랜차이즈점"/>
    <s v="TV"/>
    <s v="케이블"/>
    <s v="KBSJOY"/>
    <s v="-"/>
    <s v="25"/>
    <s v="07"/>
    <s v="25.07"/>
    <s v="25.07"/>
    <n v="65878"/>
  </r>
  <r>
    <s v="디지털 영상"/>
    <s v="ADEX"/>
    <s v="호식이두마리치킨"/>
    <x v="15"/>
    <s v="서비스"/>
    <s v="음식및숙박"/>
    <s v="기타프랜차이즈점"/>
    <s v="디지털"/>
    <s v="디지털동영상"/>
    <s v="다음"/>
    <s v="-"/>
    <s v="25"/>
    <s v="07"/>
    <s v="25.07"/>
    <s v="25.07"/>
    <n v="278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7"/>
    <s v="25.07"/>
    <s v="25.07"/>
    <n v="8414"/>
  </r>
  <r>
    <s v="케이블"/>
    <s v="ADEX"/>
    <s v="호식이두마리치킨"/>
    <x v="15"/>
    <s v="서비스"/>
    <s v="음식및숙박"/>
    <s v="기타프랜차이즈점"/>
    <s v="TV"/>
    <s v="케이블"/>
    <s v="ENADRAMA"/>
    <s v="-"/>
    <s v="25"/>
    <s v="07"/>
    <s v="25.07"/>
    <s v="25.07"/>
    <n v="5109"/>
  </r>
  <r>
    <s v="케이블"/>
    <s v="ADEX"/>
    <s v="웰빙푸드"/>
    <x v="3"/>
    <s v="서비스"/>
    <s v="음식및숙박"/>
    <s v="기타프랜차이즈점"/>
    <s v="TV"/>
    <s v="케이블"/>
    <s v="ENADRAMA"/>
    <s v="-"/>
    <s v="25"/>
    <s v="07"/>
    <s v="25.07"/>
    <s v="25.07"/>
    <n v="4818"/>
  </r>
  <r>
    <s v="케이블"/>
    <s v="ADEX"/>
    <s v="웰빙푸드"/>
    <x v="3"/>
    <s v="서비스"/>
    <s v="음식및숙박"/>
    <s v="기타프랜차이즈점"/>
    <s v="TV"/>
    <s v="케이블"/>
    <s v="ELIKE"/>
    <s v="-"/>
    <s v="25"/>
    <s v="07"/>
    <s v="25.07"/>
    <s v="25.07"/>
    <n v="2825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7"/>
    <s v="25.07"/>
    <s v="25.07"/>
    <n v="24944"/>
  </r>
  <r>
    <s v="케이블"/>
    <s v="ADEX"/>
    <s v="웰빙푸드"/>
    <x v="3"/>
    <s v="서비스"/>
    <s v="음식및숙박"/>
    <s v="기타프랜차이즈점"/>
    <s v="TV"/>
    <s v="케이블"/>
    <s v="cineF"/>
    <s v="-"/>
    <s v="25"/>
    <s v="07"/>
    <s v="25.07"/>
    <s v="25.07"/>
    <n v="1936"/>
  </r>
  <r>
    <s v="케이블"/>
    <s v="ADEX"/>
    <s v="웰빙푸드"/>
    <x v="3"/>
    <s v="서비스"/>
    <s v="음식및숙박"/>
    <s v="기타프랜차이즈점"/>
    <s v="TV"/>
    <s v="케이블"/>
    <s v="채널나우"/>
    <s v="-"/>
    <s v="25"/>
    <s v="07"/>
    <s v="25.07"/>
    <s v="25.07"/>
    <n v="9100"/>
  </r>
  <r>
    <s v="종편"/>
    <s v="ADEX"/>
    <s v="웰빙푸드"/>
    <x v="3"/>
    <s v="서비스"/>
    <s v="음식및숙박"/>
    <s v="기타프랜차이즈점"/>
    <s v="TV"/>
    <s v="종편"/>
    <s v="JTBC"/>
    <s v="-"/>
    <s v="25"/>
    <s v="07"/>
    <s v="25.07"/>
    <s v="25.07"/>
    <n v="76271"/>
  </r>
  <r>
    <s v="케이블"/>
    <s v="ADEX"/>
    <s v="멕시카나"/>
    <x v="7"/>
    <s v="서비스"/>
    <s v="음식및숙박"/>
    <s v="기타프랜차이즈점"/>
    <s v="TV"/>
    <s v="케이블"/>
    <s v="tvN"/>
    <s v="-"/>
    <s v="25"/>
    <s v="07"/>
    <s v="25.07"/>
    <s v="25.07"/>
    <n v="80658"/>
  </r>
  <r>
    <s v="신문"/>
    <s v="ADEX"/>
    <s v="제너시스비비큐"/>
    <x v="10"/>
    <s v="서비스"/>
    <s v="음식및숙박"/>
    <s v="기타프랜차이즈점"/>
    <s v="인쇄"/>
    <s v="신문"/>
    <s v="매일경제"/>
    <s v="-"/>
    <s v="25"/>
    <s v="07"/>
    <s v="25.07"/>
    <s v="25.07"/>
    <n v="1440"/>
  </r>
  <r>
    <s v="케이블"/>
    <s v="ADEX"/>
    <s v="멕시카나"/>
    <x v="7"/>
    <s v="서비스"/>
    <s v="음식및숙박"/>
    <s v="기타프랜차이즈점"/>
    <s v="TV"/>
    <s v="케이블"/>
    <s v="SBSfunE"/>
    <s v="-"/>
    <s v="25"/>
    <s v="07"/>
    <s v="25.07"/>
    <s v="25.07"/>
    <n v="7556"/>
  </r>
  <r>
    <s v="케이블"/>
    <s v="ADEX"/>
    <s v="호식이두마리치킨"/>
    <x v="15"/>
    <s v="서비스"/>
    <s v="음식및숙박"/>
    <s v="기타프랜차이즈점"/>
    <s v="TV"/>
    <s v="케이블"/>
    <s v="ENAPLAY"/>
    <s v="-"/>
    <s v="25"/>
    <s v="07"/>
    <s v="25.07"/>
    <s v="25.07"/>
    <n v="4404"/>
  </r>
  <r>
    <s v="디지털 영상"/>
    <s v="ADEX"/>
    <s v="코리아델로스"/>
    <x v="4"/>
    <s v="서비스"/>
    <s v="음식및숙박"/>
    <s v="기타프랜차이즈점"/>
    <s v="디지털"/>
    <s v="디지털동영상"/>
    <s v="네이버"/>
    <s v="-"/>
    <s v="25"/>
    <s v="07"/>
    <s v="25.07"/>
    <s v="25.07"/>
    <n v="301"/>
  </r>
  <r>
    <s v="디지털 영상"/>
    <s v="ADEX"/>
    <s v="혜인유통"/>
    <x v="5"/>
    <s v="서비스"/>
    <s v="음식및숙박"/>
    <s v="기타프랜차이즈점"/>
    <s v="디지털"/>
    <s v="디지털동영상"/>
    <s v="YouTube"/>
    <s v="-"/>
    <s v="25"/>
    <s v="07"/>
    <s v="25.07"/>
    <s v="25.07"/>
    <n v="31944"/>
  </r>
  <r>
    <s v="케이블"/>
    <s v="ADEX"/>
    <s v="웰빙푸드"/>
    <x v="3"/>
    <s v="서비스"/>
    <s v="음식및숙박"/>
    <s v="기타프랜차이즈점"/>
    <s v="TV"/>
    <s v="케이블"/>
    <s v="JTBC2"/>
    <s v="-"/>
    <s v="25"/>
    <s v="07"/>
    <s v="25.07"/>
    <s v="25.07"/>
    <n v="5237"/>
  </r>
  <r>
    <s v="케이블"/>
    <s v="ADEX"/>
    <s v="호식이두마리치킨"/>
    <x v="15"/>
    <s v="서비스"/>
    <s v="음식및숙박"/>
    <s v="기타프랜차이즈점"/>
    <s v="TV"/>
    <s v="케이블"/>
    <s v="ONCE"/>
    <s v="-"/>
    <s v="25"/>
    <s v="07"/>
    <s v="25.07"/>
    <s v="25.07"/>
    <n v="2040"/>
  </r>
  <r>
    <s v="케이블"/>
    <s v="ADEX"/>
    <s v="호식이두마리치킨"/>
    <x v="15"/>
    <s v="서비스"/>
    <s v="음식및숙박"/>
    <s v="기타프랜차이즈점"/>
    <s v="TV"/>
    <s v="케이블"/>
    <s v="iplay"/>
    <s v="-"/>
    <s v="25"/>
    <s v="07"/>
    <s v="25.07"/>
    <s v="25.07"/>
    <n v="3712"/>
  </r>
  <r>
    <s v="케이블"/>
    <s v="ADEX"/>
    <s v="웰빙푸드"/>
    <x v="3"/>
    <s v="서비스"/>
    <s v="음식및숙박"/>
    <s v="기타프랜차이즈점"/>
    <s v="TV"/>
    <s v="케이블"/>
    <s v="SBSfunE"/>
    <s v="-"/>
    <s v="25"/>
    <s v="07"/>
    <s v="25.07"/>
    <s v="25.07"/>
    <n v="8706"/>
  </r>
  <r>
    <s v="케이블"/>
    <s v="ADEX"/>
    <s v="웰빙푸드"/>
    <x v="3"/>
    <s v="서비스"/>
    <s v="음식및숙박"/>
    <s v="기타프랜차이즈점"/>
    <s v="TV"/>
    <s v="케이블"/>
    <s v="ENA"/>
    <s v="-"/>
    <s v="25"/>
    <s v="07"/>
    <s v="25.07"/>
    <s v="25.07"/>
    <n v="28581"/>
  </r>
  <r>
    <s v="케이블"/>
    <s v="ADEX"/>
    <s v="웰빙푸드"/>
    <x v="3"/>
    <s v="서비스"/>
    <s v="음식및숙박"/>
    <s v="기타프랜차이즈점"/>
    <s v="TV"/>
    <s v="케이블"/>
    <s v="SPOTVPrime+"/>
    <s v="-"/>
    <s v="25"/>
    <s v="07"/>
    <s v="25.07"/>
    <s v="25.07"/>
    <n v="7443"/>
  </r>
  <r>
    <s v="케이블"/>
    <s v="ADEX"/>
    <s v="웰빙푸드"/>
    <x v="3"/>
    <s v="서비스"/>
    <s v="음식및숙박"/>
    <s v="기타프랜차이즈점"/>
    <s v="TV"/>
    <s v="케이블"/>
    <s v="MTN머니투데이방송"/>
    <s v="-"/>
    <s v="25"/>
    <s v="07"/>
    <s v="25.07"/>
    <s v="25.07"/>
    <n v="6256"/>
  </r>
  <r>
    <s v="케이블"/>
    <s v="ADEX"/>
    <s v="호식이두마리치킨"/>
    <x v="15"/>
    <s v="서비스"/>
    <s v="음식및숙박"/>
    <s v="기타프랜차이즈점"/>
    <s v="TV"/>
    <s v="케이블"/>
    <s v="tvNSTORY"/>
    <s v="-"/>
    <s v="25"/>
    <s v="07"/>
    <s v="25.07"/>
    <s v="25.07"/>
    <n v="43229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7"/>
    <s v="25.07"/>
    <s v="25.07"/>
    <n v="61757"/>
  </r>
  <r>
    <s v="디지털 영상"/>
    <s v="ADEX"/>
    <s v="교촌F&amp;B"/>
    <x v="6"/>
    <s v="서비스"/>
    <s v="음식및숙박"/>
    <s v="기타프랜차이즈점"/>
    <s v="디지털"/>
    <s v="디지털동영상"/>
    <s v="GOMTV"/>
    <s v="-"/>
    <s v="25"/>
    <s v="07"/>
    <s v="25.07"/>
    <s v="25.07"/>
    <n v="1143"/>
  </r>
  <r>
    <s v="케이블"/>
    <s v="ADEX"/>
    <s v="웰빙푸드"/>
    <x v="3"/>
    <s v="서비스"/>
    <s v="음식및숙박"/>
    <s v="기타프랜차이즈점"/>
    <s v="TV"/>
    <s v="케이블"/>
    <s v="SPOTVPrime2"/>
    <s v="-"/>
    <s v="25"/>
    <s v="07"/>
    <s v="25.07"/>
    <s v="25.07"/>
    <n v="13788"/>
  </r>
  <r>
    <s v="종편"/>
    <s v="ADEX"/>
    <s v="웰빙푸드"/>
    <x v="3"/>
    <s v="서비스"/>
    <s v="음식및숙박"/>
    <s v="기타프랜차이즈점"/>
    <s v="TV"/>
    <s v="종편"/>
    <s v="TVCHOSUN"/>
    <s v="-"/>
    <s v="25"/>
    <s v="07"/>
    <s v="25.07"/>
    <s v="25.07"/>
    <n v="12346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7"/>
    <s v="25.07"/>
    <s v="25.07"/>
    <n v="60269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7"/>
    <s v="25.07"/>
    <s v="25.07"/>
    <n v="632"/>
  </r>
  <r>
    <s v="케이블"/>
    <s v="ADEX"/>
    <s v="호식이두마리치킨"/>
    <x v="15"/>
    <s v="서비스"/>
    <s v="음식및숙박"/>
    <s v="기타프랜차이즈점"/>
    <s v="TV"/>
    <s v="케이블"/>
    <s v="KBS드라마"/>
    <s v="-"/>
    <s v="25"/>
    <s v="07"/>
    <s v="25.07"/>
    <s v="25.07"/>
    <n v="12476"/>
  </r>
  <r>
    <s v="종편"/>
    <s v="ADEX"/>
    <s v="코리아델로스"/>
    <x v="4"/>
    <s v="서비스"/>
    <s v="음식및숙박"/>
    <s v="기타프랜차이즈점"/>
    <s v="TV"/>
    <s v="종편"/>
    <s v="JTBC"/>
    <s v="-"/>
    <s v="25"/>
    <s v="07"/>
    <s v="25.07"/>
    <s v="25.07"/>
    <n v="25729"/>
  </r>
  <r>
    <s v="케이블"/>
    <s v="ADEX"/>
    <s v="호식이두마리치킨"/>
    <x v="15"/>
    <s v="서비스"/>
    <s v="음식및숙박"/>
    <s v="기타프랜차이즈점"/>
    <s v="TV"/>
    <s v="케이블"/>
    <s v="MX"/>
    <s v="-"/>
    <s v="25"/>
    <s v="07"/>
    <s v="25.07"/>
    <s v="25.07"/>
    <n v="3728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7"/>
    <s v="25.07"/>
    <s v="25.07"/>
    <n v="72860"/>
  </r>
  <r>
    <s v="케이블"/>
    <s v="ADEX"/>
    <s v="호식이두마리치킨"/>
    <x v="15"/>
    <s v="서비스"/>
    <s v="음식및숙박"/>
    <s v="기타프랜차이즈점"/>
    <s v="TV"/>
    <s v="케이블"/>
    <s v="SkySports"/>
    <s v="-"/>
    <s v="25"/>
    <s v="07"/>
    <s v="25.07"/>
    <s v="25.07"/>
    <n v="3869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7"/>
    <s v="25.07"/>
    <s v="25.07"/>
    <n v="22159"/>
  </r>
  <r>
    <s v="디지털 영상"/>
    <s v="ADEX"/>
    <s v="멕시카나"/>
    <x v="7"/>
    <s v="서비스"/>
    <s v="음식및숙박"/>
    <s v="기타프랜차이즈점"/>
    <s v="디지털"/>
    <s v="디지털동영상"/>
    <s v="Tving"/>
    <s v="-"/>
    <s v="25"/>
    <s v="07"/>
    <s v="25.07"/>
    <s v="25.07"/>
    <n v="3016"/>
  </r>
  <r>
    <s v="케이블"/>
    <s v="ADEX"/>
    <s v="호식이두마리치킨"/>
    <x v="15"/>
    <s v="서비스"/>
    <s v="음식및숙박"/>
    <s v="기타프랜차이즈점"/>
    <s v="TV"/>
    <s v="케이블"/>
    <s v="SBSPlus"/>
    <s v="-"/>
    <s v="25"/>
    <s v="07"/>
    <s v="25.07"/>
    <s v="25.07"/>
    <n v="17028"/>
  </r>
  <r>
    <s v="케이블"/>
    <s v="ADEX"/>
    <s v="멕시카나"/>
    <x v="7"/>
    <s v="서비스"/>
    <s v="음식및숙박"/>
    <s v="기타프랜차이즈점"/>
    <s v="TV"/>
    <s v="케이블"/>
    <s v="KBS드라마"/>
    <s v="-"/>
    <s v="25"/>
    <s v="07"/>
    <s v="25.07"/>
    <s v="25.07"/>
    <n v="1333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7"/>
    <s v="25.07"/>
    <s v="25.07"/>
    <n v="54261"/>
  </r>
  <r>
    <s v="라디오"/>
    <s v="ADEX"/>
    <s v="장스푸드"/>
    <x v="2"/>
    <s v="서비스"/>
    <s v="음식및숙박"/>
    <s v="기타프랜차이즈점"/>
    <s v="라디오"/>
    <s v="라디오"/>
    <s v="BBS-FM"/>
    <s v="-"/>
    <s v="25"/>
    <s v="07"/>
    <s v="25.07"/>
    <s v="25.07"/>
    <n v="12255"/>
  </r>
  <r>
    <s v="디지털 영상"/>
    <s v="ADEX"/>
    <s v="지엔푸드"/>
    <x v="13"/>
    <s v="서비스"/>
    <s v="음식및숙박"/>
    <s v="기타프랜차이즈점"/>
    <s v="디지털"/>
    <s v="디지털동영상"/>
    <s v="YouTube"/>
    <s v="-"/>
    <s v="25"/>
    <s v="07"/>
    <s v="25.07"/>
    <s v="25.07"/>
    <n v="120005"/>
  </r>
  <r>
    <s v="디지털 영상"/>
    <s v="ADEX"/>
    <s v="지엔푸드"/>
    <x v="13"/>
    <s v="서비스"/>
    <s v="음식및숙박"/>
    <s v="기타프랜차이즈점"/>
    <s v="디지털"/>
    <s v="디지털동영상"/>
    <s v="네이버"/>
    <s v="-"/>
    <s v="25"/>
    <s v="07"/>
    <s v="25.07"/>
    <s v="25.07"/>
    <n v="19161"/>
  </r>
  <r>
    <s v="케이블"/>
    <s v="ADEX"/>
    <s v="호식이두마리치킨"/>
    <x v="15"/>
    <s v="서비스"/>
    <s v="음식및숙박"/>
    <s v="기타프랜차이즈점"/>
    <s v="TV"/>
    <s v="케이블"/>
    <s v="cineF"/>
    <s v="-"/>
    <s v="25"/>
    <s v="07"/>
    <s v="25.07"/>
    <s v="25.07"/>
    <n v="1640"/>
  </r>
  <r>
    <s v="디지털 영상"/>
    <s v="ADEX"/>
    <s v="코리아델로스"/>
    <x v="4"/>
    <s v="서비스"/>
    <s v="음식및숙박"/>
    <s v="기타프랜차이즈점"/>
    <s v="디지털"/>
    <s v="디지털동영상"/>
    <s v="YouTube"/>
    <s v="-"/>
    <s v="25"/>
    <s v="07"/>
    <s v="25.07"/>
    <s v="25.07"/>
    <n v="10225"/>
  </r>
  <r>
    <s v="디지털 영상"/>
    <s v="ADEX"/>
    <s v="호식이두마리치킨"/>
    <x v="15"/>
    <s v="서비스"/>
    <s v="음식및숙박"/>
    <s v="기타프랜차이즈점"/>
    <s v="디지털"/>
    <s v="디지털동영상"/>
    <s v="네이버"/>
    <s v="-"/>
    <s v="25"/>
    <s v="07"/>
    <s v="25.07"/>
    <s v="25.07"/>
    <n v="6774"/>
  </r>
  <r>
    <s v="케이블"/>
    <s v="ADEX"/>
    <s v="웰빙푸드"/>
    <x v="3"/>
    <s v="서비스"/>
    <s v="음식및숙박"/>
    <s v="기타프랜차이즈점"/>
    <s v="TV"/>
    <s v="케이블"/>
    <s v="MBCevery1"/>
    <s v="-"/>
    <s v="25"/>
    <s v="07"/>
    <s v="25.07"/>
    <s v="25.07"/>
    <n v="42625"/>
  </r>
  <r>
    <s v="케이블"/>
    <s v="ADEX"/>
    <s v="웰빙푸드"/>
    <x v="3"/>
    <s v="서비스"/>
    <s v="음식및숙박"/>
    <s v="기타프랜차이즈점"/>
    <s v="TV"/>
    <s v="케이블"/>
    <s v="SBSPlus"/>
    <s v="-"/>
    <s v="25"/>
    <s v="07"/>
    <s v="25.07"/>
    <s v="25.07"/>
    <n v="54194"/>
  </r>
  <r>
    <s v="디지털 영상"/>
    <s v="ADEX"/>
    <s v="교촌F&amp;B"/>
    <x v="6"/>
    <s v="서비스"/>
    <s v="음식및숙박"/>
    <s v="기타프랜차이즈점"/>
    <s v="디지털"/>
    <s v="디지털동영상"/>
    <s v="Tving"/>
    <s v="-"/>
    <s v="25"/>
    <s v="07"/>
    <s v="25.07"/>
    <s v="25.07"/>
    <n v="12541"/>
  </r>
  <r>
    <s v="케이블"/>
    <s v="ADEX"/>
    <s v="호식이두마리치킨"/>
    <x v="15"/>
    <s v="서비스"/>
    <s v="음식및숙박"/>
    <s v="기타프랜차이즈점"/>
    <s v="TV"/>
    <s v="케이블"/>
    <s v="Dramax"/>
    <s v="-"/>
    <s v="25"/>
    <s v="07"/>
    <s v="25.07"/>
    <s v="25.07"/>
    <n v="38183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7"/>
    <s v="25.07"/>
    <s v="25.07"/>
    <n v="2032"/>
  </r>
  <r>
    <s v="케이블"/>
    <s v="ADEX"/>
    <s v="호식이두마리치킨"/>
    <x v="15"/>
    <s v="서비스"/>
    <s v="음식및숙박"/>
    <s v="기타프랜차이즈점"/>
    <s v="TV"/>
    <s v="케이블"/>
    <s v="ELIKE"/>
    <s v="-"/>
    <s v="25"/>
    <s v="07"/>
    <s v="25.07"/>
    <s v="25.07"/>
    <n v="3019"/>
  </r>
  <r>
    <s v="신문"/>
    <s v="ADEX"/>
    <s v="교촌F&amp;B"/>
    <x v="6"/>
    <s v="서비스"/>
    <s v="음식및숙박"/>
    <s v="기타프랜차이즈점"/>
    <s v="인쇄"/>
    <s v="신문"/>
    <s v="매일경제"/>
    <s v="-"/>
    <s v="25"/>
    <s v="07"/>
    <s v="25.07"/>
    <s v="25.07"/>
    <n v="1440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7"/>
    <s v="25.07"/>
    <s v="25.07"/>
    <n v="2198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07"/>
    <s v="25.07"/>
    <s v="25.07"/>
    <n v="7386"/>
  </r>
  <r>
    <s v="종편"/>
    <s v="ADEX"/>
    <s v="호식이두마리치킨"/>
    <x v="15"/>
    <s v="서비스"/>
    <s v="음식및숙박"/>
    <s v="기타프랜차이즈점"/>
    <s v="TV"/>
    <s v="종편"/>
    <s v="JTBC"/>
    <s v="-"/>
    <s v="25"/>
    <s v="07"/>
    <s v="25.07"/>
    <s v="25.07"/>
    <n v="212792"/>
  </r>
  <r>
    <s v="디지털 영상"/>
    <s v="ADEX"/>
    <s v="호식이두마리치킨"/>
    <x v="15"/>
    <s v="서비스"/>
    <s v="음식및숙박"/>
    <s v="기타프랜차이즈점"/>
    <s v="디지털"/>
    <s v="디지털동영상"/>
    <s v="Tving"/>
    <s v="-"/>
    <s v="25"/>
    <s v="07"/>
    <s v="25.07"/>
    <s v="25.07"/>
    <n v="3266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7"/>
    <s v="25.07"/>
    <s v="25.07"/>
    <n v="27054"/>
  </r>
  <r>
    <s v="케이블"/>
    <s v="ADEX"/>
    <s v="호식이두마리치킨"/>
    <x v="15"/>
    <s v="서비스"/>
    <s v="음식및숙박"/>
    <s v="기타프랜차이즈점"/>
    <s v="TV"/>
    <s v="케이블"/>
    <s v="Mnet"/>
    <s v="-"/>
    <s v="25"/>
    <s v="07"/>
    <s v="25.07"/>
    <s v="25.07"/>
    <n v="10210"/>
  </r>
  <r>
    <s v="케이블"/>
    <s v="ADEX"/>
    <s v="호식이두마리치킨"/>
    <x v="15"/>
    <s v="서비스"/>
    <s v="음식및숙박"/>
    <s v="기타프랜차이즈점"/>
    <s v="TV"/>
    <s v="케이블"/>
    <s v="헬스메디TV"/>
    <s v="-"/>
    <s v="25"/>
    <s v="07"/>
    <s v="25.07"/>
    <s v="25.07"/>
    <n v="1995"/>
  </r>
  <r>
    <s v="케이블"/>
    <s v="ADEX"/>
    <s v="호식이두마리치킨"/>
    <x v="15"/>
    <s v="서비스"/>
    <s v="음식및숙박"/>
    <s v="기타프랜차이즈점"/>
    <s v="TV"/>
    <s v="케이블"/>
    <s v="채널S"/>
    <s v="-"/>
    <s v="25"/>
    <s v="07"/>
    <s v="25.07"/>
    <s v="25.07"/>
    <n v="37333"/>
  </r>
  <r>
    <s v="케이블"/>
    <s v="ADEX"/>
    <s v="호식이두마리치킨"/>
    <x v="15"/>
    <s v="서비스"/>
    <s v="음식및숙박"/>
    <s v="기타프랜차이즈점"/>
    <s v="TV"/>
    <s v="케이블"/>
    <s v="코미디TV"/>
    <s v="-"/>
    <s v="25"/>
    <s v="07"/>
    <s v="25.07"/>
    <s v="25.07"/>
    <n v="27878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07"/>
    <s v="25.07"/>
    <s v="25.07"/>
    <n v="4000"/>
  </r>
  <r>
    <s v="케이블"/>
    <s v="ADEX"/>
    <s v="호식이두마리치킨"/>
    <x v="15"/>
    <s v="서비스"/>
    <s v="음식및숙박"/>
    <s v="기타프랜차이즈점"/>
    <s v="TV"/>
    <s v="케이블"/>
    <s v="KBSJOY"/>
    <s v="-"/>
    <s v="25"/>
    <s v="07"/>
    <s v="25.07"/>
    <s v="25.07"/>
    <n v="32296"/>
  </r>
  <r>
    <s v="신문"/>
    <s v="ADEX"/>
    <s v="아이더스에프앤비"/>
    <x v="0"/>
    <s v="서비스"/>
    <s v="음식및숙박"/>
    <s v="기타프랜차이즈점"/>
    <s v="인쇄"/>
    <s v="신문"/>
    <s v="매일경제"/>
    <s v="-"/>
    <s v="25"/>
    <s v="07"/>
    <s v="25.07"/>
    <s v="25.07"/>
    <n v="1440"/>
  </r>
  <r>
    <s v="케이블"/>
    <s v="ADEX"/>
    <s v="호식이두마리치킨"/>
    <x v="15"/>
    <s v="서비스"/>
    <s v="음식및숙박"/>
    <s v="기타프랜차이즈점"/>
    <s v="TV"/>
    <s v="케이블"/>
    <s v="MBCSPORTS+"/>
    <s v="-"/>
    <s v="25"/>
    <s v="07"/>
    <s v="25.07"/>
    <s v="25.07"/>
    <n v="46449"/>
  </r>
  <r>
    <s v="케이블"/>
    <s v="ADEX"/>
    <s v="호식이두마리치킨"/>
    <x v="15"/>
    <s v="서비스"/>
    <s v="음식및숙박"/>
    <s v="기타프랜차이즈점"/>
    <s v="TV"/>
    <s v="케이블"/>
    <s v="ENASTORY"/>
    <s v="-"/>
    <s v="25"/>
    <s v="07"/>
    <s v="25.07"/>
    <s v="25.07"/>
    <n v="2267"/>
  </r>
  <r>
    <s v="케이블"/>
    <s v="ADEX"/>
    <s v="호식이두마리치킨"/>
    <x v="15"/>
    <s v="서비스"/>
    <s v="음식및숙박"/>
    <s v="기타프랜차이즈점"/>
    <s v="TV"/>
    <s v="케이블"/>
    <s v="채널S플러스"/>
    <s v="-"/>
    <s v="25"/>
    <s v="07"/>
    <s v="25.07"/>
    <s v="25.07"/>
    <n v="11"/>
  </r>
  <r>
    <s v="종편"/>
    <s v="ADEX"/>
    <s v="제너시스비비큐"/>
    <x v="10"/>
    <s v="서비스"/>
    <s v="음식및숙박"/>
    <s v="기타프랜차이즈점"/>
    <s v="TV"/>
    <s v="종편"/>
    <s v="TVCHOSUN"/>
    <s v="-"/>
    <s v="25"/>
    <s v="07"/>
    <s v="25.07"/>
    <s v="25.07"/>
    <n v="20086"/>
  </r>
  <r>
    <s v="케이블"/>
    <s v="ADEX"/>
    <s v="호식이두마리치킨"/>
    <x v="15"/>
    <s v="서비스"/>
    <s v="음식및숙박"/>
    <s v="기타프랜차이즈점"/>
    <s v="TV"/>
    <s v="케이블"/>
    <s v="채널에버"/>
    <s v="-"/>
    <s v="25"/>
    <s v="07"/>
    <s v="25.07"/>
    <s v="25.07"/>
    <n v="1907"/>
  </r>
  <r>
    <s v="케이블"/>
    <s v="ADEX"/>
    <s v="호식이두마리치킨"/>
    <x v="15"/>
    <s v="서비스"/>
    <s v="음식및숙박"/>
    <s v="기타프랜차이즈점"/>
    <s v="TV"/>
    <s v="케이블"/>
    <s v="MBCevery1"/>
    <s v="-"/>
    <s v="25"/>
    <s v="07"/>
    <s v="25.07"/>
    <s v="25.07"/>
    <n v="58687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7"/>
    <s v="25.07"/>
    <s v="25.07"/>
    <n v="96000"/>
  </r>
  <r>
    <s v="케이블"/>
    <s v="ADEX"/>
    <s v="코리아델로스"/>
    <x v="4"/>
    <s v="서비스"/>
    <s v="음식및숙박"/>
    <s v="기타프랜차이즈점"/>
    <s v="TV"/>
    <s v="케이블"/>
    <s v="JTBC2"/>
    <s v="-"/>
    <s v="25"/>
    <s v="07"/>
    <s v="25.07"/>
    <s v="25.07"/>
    <n v="3900"/>
  </r>
  <r>
    <s v="케이블"/>
    <s v="ADEX"/>
    <s v="웰빙푸드"/>
    <x v="3"/>
    <s v="서비스"/>
    <s v="음식및숙박"/>
    <s v="기타프랜차이즈점"/>
    <s v="TV"/>
    <s v="케이블"/>
    <s v="SBSSports"/>
    <s v="-"/>
    <s v="25"/>
    <s v="07"/>
    <s v="25.07"/>
    <s v="25.07"/>
    <n v="8169"/>
  </r>
  <r>
    <s v="케이블"/>
    <s v="ADEX"/>
    <s v="웰빙푸드"/>
    <x v="3"/>
    <s v="서비스"/>
    <s v="음식및숙박"/>
    <s v="기타프랜차이즈점"/>
    <s v="TV"/>
    <s v="케이블"/>
    <s v="채널S플러스"/>
    <s v="-"/>
    <s v="25"/>
    <s v="07"/>
    <s v="25.07"/>
    <s v="25.07"/>
    <n v="1452"/>
  </r>
  <r>
    <s v="케이블"/>
    <s v="ADEX"/>
    <s v="웰빙푸드"/>
    <x v="3"/>
    <s v="서비스"/>
    <s v="음식및숙박"/>
    <s v="기타프랜차이즈점"/>
    <s v="TV"/>
    <s v="케이블"/>
    <s v="채널S"/>
    <s v="-"/>
    <s v="25"/>
    <s v="07"/>
    <s v="25.07"/>
    <s v="25.07"/>
    <n v="14210"/>
  </r>
  <r>
    <s v="케이블"/>
    <s v="ADEX"/>
    <s v="웰빙푸드"/>
    <x v="3"/>
    <s v="서비스"/>
    <s v="음식및숙박"/>
    <s v="기타프랜차이즈점"/>
    <s v="TV"/>
    <s v="케이블"/>
    <s v="MBCSPORTS+"/>
    <s v="-"/>
    <s v="25"/>
    <s v="07"/>
    <s v="25.07"/>
    <s v="25.07"/>
    <n v="46051"/>
  </r>
  <r>
    <s v="종편"/>
    <s v="ADEX"/>
    <s v="호식이두마리치킨"/>
    <x v="15"/>
    <s v="서비스"/>
    <s v="음식및숙박"/>
    <s v="기타프랜차이즈점"/>
    <s v="TV"/>
    <s v="종편"/>
    <s v="채널A"/>
    <s v="-"/>
    <s v="25"/>
    <s v="07"/>
    <s v="25.07"/>
    <s v="25.07"/>
    <n v="103460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7"/>
    <s v="25.07"/>
    <s v="25.07"/>
    <n v="4041"/>
  </r>
  <r>
    <s v="케이블"/>
    <s v="ADEX"/>
    <s v="혜인유통"/>
    <x v="5"/>
    <s v="서비스"/>
    <s v="음식및숙박"/>
    <s v="기타프랜차이즈점"/>
    <s v="TV"/>
    <s v="케이블"/>
    <s v="JTBC4"/>
    <s v="-"/>
    <s v="25"/>
    <s v="07"/>
    <s v="25.07"/>
    <s v="25.07"/>
    <n v="25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네이버"/>
    <s v="-"/>
    <s v="25"/>
    <s v="07"/>
    <s v="25.07"/>
    <s v="25.07"/>
    <n v="1812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07"/>
    <s v="25.07"/>
    <s v="25.07"/>
    <n v="4356"/>
  </r>
  <r>
    <s v="라디오"/>
    <s v="ADEX"/>
    <s v="웰빙푸드"/>
    <x v="3"/>
    <s v="서비스"/>
    <s v="음식및숙박"/>
    <s v="기타프랜차이즈점"/>
    <s v="라디오"/>
    <s v="라디오"/>
    <s v="CPBC-FM"/>
    <s v="-"/>
    <s v="25"/>
    <s v="07"/>
    <s v="25.07"/>
    <s v="25.07"/>
    <n v="39680"/>
  </r>
  <r>
    <s v="지상파"/>
    <s v="ADEX"/>
    <s v="혜인유통"/>
    <x v="5"/>
    <s v="서비스"/>
    <s v="음식및숙박"/>
    <s v="기타프랜차이즈점"/>
    <s v="TV"/>
    <s v="지상파"/>
    <s v="KBS"/>
    <s v="-"/>
    <s v="25"/>
    <s v="06"/>
    <s v="25.06"/>
    <s v="25.06"/>
    <n v="389100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6"/>
    <s v="25.06"/>
    <s v="25.06"/>
    <n v="83570"/>
  </r>
  <r>
    <s v="케이블"/>
    <s v="ADEX"/>
    <s v="혜인유통"/>
    <x v="5"/>
    <s v="서비스"/>
    <s v="음식및숙박"/>
    <s v="기타프랜차이즈점"/>
    <s v="TV"/>
    <s v="케이블"/>
    <s v="SBSPlus"/>
    <s v="-"/>
    <s v="25"/>
    <s v="06"/>
    <s v="25.06"/>
    <s v="25.06"/>
    <n v="18278"/>
  </r>
  <r>
    <s v="케이블"/>
    <s v="ADEX"/>
    <s v="혜인유통"/>
    <x v="5"/>
    <s v="서비스"/>
    <s v="음식및숙박"/>
    <s v="기타프랜차이즈점"/>
    <s v="TV"/>
    <s v="케이블"/>
    <s v="ENAPLAY"/>
    <s v="-"/>
    <s v="25"/>
    <s v="06"/>
    <s v="25.06"/>
    <s v="25.06"/>
    <n v="4789"/>
  </r>
  <r>
    <s v="케이블"/>
    <s v="ADEX"/>
    <s v="혜인유통"/>
    <x v="5"/>
    <s v="서비스"/>
    <s v="음식및숙박"/>
    <s v="기타프랜차이즈점"/>
    <s v="TV"/>
    <s v="케이블"/>
    <s v="tvNSTORY"/>
    <s v="-"/>
    <s v="25"/>
    <s v="06"/>
    <s v="25.06"/>
    <s v="25.06"/>
    <n v="50594"/>
  </r>
  <r>
    <s v="케이블"/>
    <s v="ADEX"/>
    <s v="멕시카나"/>
    <x v="7"/>
    <s v="서비스"/>
    <s v="음식및숙박"/>
    <s v="기타프랜차이즈점"/>
    <s v="TV"/>
    <s v="케이블"/>
    <s v="SBSfunE"/>
    <s v="-"/>
    <s v="25"/>
    <s v="06"/>
    <s v="25.06"/>
    <s v="25.06"/>
    <n v="12000"/>
  </r>
  <r>
    <s v="케이블"/>
    <s v="ADEX"/>
    <s v="멕시카나"/>
    <x v="7"/>
    <s v="서비스"/>
    <s v="음식및숙박"/>
    <s v="기타프랜차이즈점"/>
    <s v="TV"/>
    <s v="케이블"/>
    <s v="tvN"/>
    <s v="-"/>
    <s v="25"/>
    <s v="06"/>
    <s v="25.06"/>
    <s v="25.06"/>
    <n v="265132"/>
  </r>
  <r>
    <s v="케이블"/>
    <s v="ADEX"/>
    <s v="혜인유통"/>
    <x v="5"/>
    <s v="서비스"/>
    <s v="음식및숙박"/>
    <s v="기타프랜차이즈점"/>
    <s v="TV"/>
    <s v="케이블"/>
    <s v="iplay"/>
    <s v="-"/>
    <s v="25"/>
    <s v="06"/>
    <s v="25.06"/>
    <s v="25.06"/>
    <n v="4782"/>
  </r>
  <r>
    <s v="케이블"/>
    <s v="ADEX"/>
    <s v="코리아델로스"/>
    <x v="4"/>
    <s v="서비스"/>
    <s v="음식및숙박"/>
    <s v="기타프랜차이즈점"/>
    <s v="TV"/>
    <s v="케이블"/>
    <s v="JTBC4"/>
    <s v="-"/>
    <s v="25"/>
    <s v="06"/>
    <s v="25.06"/>
    <s v="25.06"/>
    <n v="10433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6"/>
    <s v="25.06"/>
    <s v="25.06"/>
    <n v="22042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6"/>
    <s v="25.06"/>
    <s v="25.06"/>
    <n v="23491"/>
  </r>
  <r>
    <s v="케이블"/>
    <s v="ADEX"/>
    <s v="혜인유통"/>
    <x v="5"/>
    <s v="서비스"/>
    <s v="음식및숙박"/>
    <s v="기타프랜차이즈점"/>
    <s v="TV"/>
    <s v="케이블"/>
    <s v="연합뉴스TV"/>
    <s v="-"/>
    <s v="25"/>
    <s v="06"/>
    <s v="25.06"/>
    <s v="25.06"/>
    <n v="27368"/>
  </r>
  <r>
    <s v="케이블"/>
    <s v="ADEX"/>
    <s v="웰빙푸드"/>
    <x v="3"/>
    <s v="서비스"/>
    <s v="음식및숙박"/>
    <s v="기타프랜차이즈점"/>
    <s v="TV"/>
    <s v="케이블"/>
    <s v="SPOTVPrime"/>
    <s v="-"/>
    <s v="25"/>
    <s v="06"/>
    <s v="25.06"/>
    <s v="25.06"/>
    <n v="15404"/>
  </r>
  <r>
    <s v="케이블"/>
    <s v="ADEX"/>
    <s v="혜인유통"/>
    <x v="5"/>
    <s v="서비스"/>
    <s v="음식및숙박"/>
    <s v="기타프랜차이즈점"/>
    <s v="TV"/>
    <s v="케이블"/>
    <s v="MBCevery1"/>
    <s v="-"/>
    <s v="25"/>
    <s v="06"/>
    <s v="25.06"/>
    <s v="25.06"/>
    <n v="28312"/>
  </r>
  <r>
    <s v="케이블"/>
    <s v="ADEX"/>
    <s v="혜인유통"/>
    <x v="5"/>
    <s v="서비스"/>
    <s v="음식및숙박"/>
    <s v="기타프랜차이즈점"/>
    <s v="TV"/>
    <s v="케이블"/>
    <s v="JTBC4"/>
    <s v="-"/>
    <s v="25"/>
    <s v="06"/>
    <s v="25.06"/>
    <s v="25.06"/>
    <n v="12643"/>
  </r>
  <r>
    <s v="케이블"/>
    <s v="ADEX"/>
    <s v="혜인유통"/>
    <x v="5"/>
    <s v="서비스"/>
    <s v="음식및숙박"/>
    <s v="기타프랜차이즈점"/>
    <s v="TV"/>
    <s v="케이블"/>
    <s v="코미디TV"/>
    <s v="-"/>
    <s v="25"/>
    <s v="06"/>
    <s v="25.06"/>
    <s v="25.06"/>
    <n v="13392"/>
  </r>
  <r>
    <s v="케이블"/>
    <s v="ADEX"/>
    <s v="혜인유통"/>
    <x v="5"/>
    <s v="서비스"/>
    <s v="음식및숙박"/>
    <s v="기타프랜차이즈점"/>
    <s v="TV"/>
    <s v="케이블"/>
    <s v="OCNMovies"/>
    <s v="-"/>
    <s v="25"/>
    <s v="06"/>
    <s v="25.06"/>
    <s v="25.06"/>
    <n v="21468"/>
  </r>
  <r>
    <s v="케이블"/>
    <s v="ADEX"/>
    <s v="혜인유통"/>
    <x v="5"/>
    <s v="서비스"/>
    <s v="음식및숙박"/>
    <s v="기타프랜차이즈점"/>
    <s v="TV"/>
    <s v="케이블"/>
    <s v="SkySports"/>
    <s v="-"/>
    <s v="25"/>
    <s v="06"/>
    <s v="25.06"/>
    <s v="25.06"/>
    <n v="1011"/>
  </r>
  <r>
    <s v="디지털 영상"/>
    <s v="ADEX"/>
    <s v="코리아델로스"/>
    <x v="4"/>
    <s v="서비스"/>
    <s v="음식및숙박"/>
    <s v="기타프랜차이즈점"/>
    <s v="디지털"/>
    <s v="디지털동영상"/>
    <s v="YouTube"/>
    <s v="-"/>
    <s v="25"/>
    <s v="06"/>
    <s v="25.06"/>
    <s v="25.06"/>
    <n v="30892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06"/>
    <s v="25.06"/>
    <s v="25.06"/>
    <n v="4696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네이버"/>
    <s v="-"/>
    <s v="25"/>
    <s v="06"/>
    <s v="25.06"/>
    <s v="25.06"/>
    <n v="2428"/>
  </r>
  <r>
    <s v="디지털 영상"/>
    <s v="ADEX"/>
    <s v="코리아델로스"/>
    <x v="4"/>
    <s v="서비스"/>
    <s v="음식및숙박"/>
    <s v="기타프랜차이즈점"/>
    <s v="디지털"/>
    <s v="디지털동영상"/>
    <s v="네이버"/>
    <s v="-"/>
    <s v="25"/>
    <s v="06"/>
    <s v="25.06"/>
    <s v="25.06"/>
    <n v="8552"/>
  </r>
  <r>
    <s v="케이블"/>
    <s v="ADEX"/>
    <s v="멕시카나"/>
    <x v="7"/>
    <s v="서비스"/>
    <s v="음식및숙박"/>
    <s v="기타프랜차이즈점"/>
    <s v="TV"/>
    <s v="케이블"/>
    <s v="SBSPlus"/>
    <s v="-"/>
    <s v="25"/>
    <s v="06"/>
    <s v="25.06"/>
    <s v="25.06"/>
    <n v="74667"/>
  </r>
  <r>
    <s v="디지털 영상"/>
    <s v="ADEX"/>
    <s v="혜인유통"/>
    <x v="5"/>
    <s v="서비스"/>
    <s v="음식및숙박"/>
    <s v="기타프랜차이즈점"/>
    <s v="디지털"/>
    <s v="디지털동영상"/>
    <s v="YouTube"/>
    <s v="-"/>
    <s v="25"/>
    <s v="06"/>
    <s v="25.06"/>
    <s v="25.06"/>
    <n v="17906"/>
  </r>
  <r>
    <s v="케이블"/>
    <s v="ADEX"/>
    <s v="코리아델로스"/>
    <x v="4"/>
    <s v="서비스"/>
    <s v="음식및숙박"/>
    <s v="기타프랜차이즈점"/>
    <s v="TV"/>
    <s v="케이블"/>
    <s v="JTBC2"/>
    <s v="-"/>
    <s v="25"/>
    <s v="06"/>
    <s v="25.06"/>
    <s v="25.06"/>
    <n v="3275"/>
  </r>
  <r>
    <s v="케이블"/>
    <s v="ADEX"/>
    <s v="혜인유통"/>
    <x v="5"/>
    <s v="서비스"/>
    <s v="음식및숙박"/>
    <s v="기타프랜차이즈점"/>
    <s v="TV"/>
    <s v="케이블"/>
    <s v="ishow"/>
    <s v="-"/>
    <s v="25"/>
    <s v="06"/>
    <s v="25.06"/>
    <s v="25.06"/>
    <n v="3200"/>
  </r>
  <r>
    <s v="케이블"/>
    <s v="ADEX"/>
    <s v="혜인유통"/>
    <x v="5"/>
    <s v="서비스"/>
    <s v="음식및숙박"/>
    <s v="기타프랜차이즈점"/>
    <s v="TV"/>
    <s v="케이블"/>
    <s v="KBSJOY"/>
    <s v="-"/>
    <s v="25"/>
    <s v="06"/>
    <s v="25.06"/>
    <s v="25.06"/>
    <n v="36139"/>
  </r>
  <r>
    <s v="케이블"/>
    <s v="ADEX"/>
    <s v="멕시카나"/>
    <x v="7"/>
    <s v="서비스"/>
    <s v="음식및숙박"/>
    <s v="기타프랜차이즈점"/>
    <s v="TV"/>
    <s v="케이블"/>
    <s v="Tooniverse"/>
    <s v="-"/>
    <s v="25"/>
    <s v="06"/>
    <s v="25.06"/>
    <s v="25.06"/>
    <n v="4841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6"/>
    <s v="25.06"/>
    <s v="25.06"/>
    <n v="89100"/>
  </r>
  <r>
    <s v="케이블"/>
    <s v="ADEX"/>
    <s v="웰빙푸드"/>
    <x v="3"/>
    <s v="서비스"/>
    <s v="음식및숙박"/>
    <s v="기타프랜차이즈점"/>
    <s v="TV"/>
    <s v="케이블"/>
    <s v="SPOTVGolf&amp;Health"/>
    <s v="-"/>
    <s v="25"/>
    <s v="06"/>
    <s v="25.06"/>
    <s v="25.06"/>
    <n v="242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6"/>
    <s v="25.06"/>
    <s v="25.06"/>
    <n v="3217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6"/>
    <s v="25.06"/>
    <s v="25.06"/>
    <n v="2144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6"/>
    <s v="25.06"/>
    <s v="25.06"/>
    <n v="766"/>
  </r>
  <r>
    <s v="디지털 영상"/>
    <s v="ADEX"/>
    <s v="교촌F&amp;B"/>
    <x v="6"/>
    <s v="서비스"/>
    <s v="음식및숙박"/>
    <s v="기타프랜차이즈점"/>
    <s v="디지털"/>
    <s v="디지털동영상"/>
    <s v="Tving"/>
    <s v="-"/>
    <s v="25"/>
    <s v="06"/>
    <s v="25.06"/>
    <s v="25.06"/>
    <n v="4091"/>
  </r>
  <r>
    <s v="케이블"/>
    <s v="ADEX"/>
    <s v="웰빙푸드"/>
    <x v="3"/>
    <s v="서비스"/>
    <s v="음식및숙박"/>
    <s v="기타프랜차이즈점"/>
    <s v="TV"/>
    <s v="케이블"/>
    <s v="채널S플러스"/>
    <s v="-"/>
    <s v="25"/>
    <s v="06"/>
    <s v="25.06"/>
    <s v="25.06"/>
    <n v="11"/>
  </r>
  <r>
    <s v="케이블"/>
    <s v="ADEX"/>
    <s v="웰빙푸드"/>
    <x v="3"/>
    <s v="서비스"/>
    <s v="음식및숙박"/>
    <s v="기타프랜차이즈점"/>
    <s v="TV"/>
    <s v="케이블"/>
    <s v="MBCSPORTS+"/>
    <s v="-"/>
    <s v="25"/>
    <s v="06"/>
    <s v="25.06"/>
    <s v="25.06"/>
    <n v="61506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6"/>
    <s v="25.06"/>
    <s v="25.06"/>
    <n v="25223"/>
  </r>
  <r>
    <s v="케이블"/>
    <s v="ADEX"/>
    <s v="웰빙푸드"/>
    <x v="3"/>
    <s v="서비스"/>
    <s v="음식및숙박"/>
    <s v="기타프랜차이즈점"/>
    <s v="TV"/>
    <s v="케이블"/>
    <s v="MTN머니투데이방송"/>
    <s v="-"/>
    <s v="25"/>
    <s v="06"/>
    <s v="25.06"/>
    <s v="25.06"/>
    <n v="25"/>
  </r>
  <r>
    <s v="케이블"/>
    <s v="ADEX"/>
    <s v="웰빙푸드"/>
    <x v="3"/>
    <s v="서비스"/>
    <s v="음식및숙박"/>
    <s v="기타프랜차이즈점"/>
    <s v="TV"/>
    <s v="케이블"/>
    <s v="SPOTVPrime2"/>
    <s v="-"/>
    <s v="25"/>
    <s v="06"/>
    <s v="25.06"/>
    <s v="25.06"/>
    <n v="10667"/>
  </r>
  <r>
    <s v="디지털 영상"/>
    <s v="ADEX"/>
    <s v="혜인유통"/>
    <x v="5"/>
    <s v="서비스"/>
    <s v="음식및숙박"/>
    <s v="기타프랜차이즈점"/>
    <s v="디지털"/>
    <s v="디지털동영상"/>
    <s v="Tving"/>
    <s v="-"/>
    <s v="25"/>
    <s v="06"/>
    <s v="25.06"/>
    <s v="25.06"/>
    <n v="441"/>
  </r>
  <r>
    <s v="디지털 영상"/>
    <s v="ADEX"/>
    <s v="제너시스비비큐"/>
    <x v="10"/>
    <s v="서비스"/>
    <s v="음식및숙박"/>
    <s v="기타프랜차이즈점"/>
    <s v="디지털"/>
    <s v="디지털동영상"/>
    <s v="네이버"/>
    <s v="-"/>
    <s v="25"/>
    <s v="06"/>
    <s v="25.06"/>
    <s v="25.06"/>
    <n v="525"/>
  </r>
  <r>
    <s v="디지털 영상"/>
    <s v="ADEX"/>
    <s v="혜인유통"/>
    <x v="5"/>
    <s v="서비스"/>
    <s v="음식및숙박"/>
    <s v="기타프랜차이즈점"/>
    <s v="디지털"/>
    <s v="디지털동영상"/>
    <s v="SMR"/>
    <s v="-"/>
    <s v="25"/>
    <s v="06"/>
    <s v="25.06"/>
    <s v="25.06"/>
    <n v="11507"/>
  </r>
  <r>
    <s v="디지털 영상"/>
    <s v="ADEX"/>
    <s v="멕시카나"/>
    <x v="7"/>
    <s v="서비스"/>
    <s v="음식및숙박"/>
    <s v="기타프랜차이즈점"/>
    <s v="디지털"/>
    <s v="디지털동영상"/>
    <s v="네이버"/>
    <s v="-"/>
    <s v="25"/>
    <s v="06"/>
    <s v="25.06"/>
    <s v="25.06"/>
    <n v="3703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6"/>
    <s v="25.06"/>
    <s v="25.06"/>
    <n v="60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6"/>
    <s v="25.06"/>
    <s v="25.06"/>
    <n v="64000"/>
  </r>
  <r>
    <s v="디지털 영상"/>
    <s v="ADEX"/>
    <s v="웰빙푸드"/>
    <x v="3"/>
    <s v="서비스"/>
    <s v="음식및숙박"/>
    <s v="기타프랜차이즈점"/>
    <s v="디지털"/>
    <s v="디지털동영상"/>
    <s v="Afreecatv"/>
    <s v="-"/>
    <s v="25"/>
    <s v="06"/>
    <s v="25.06"/>
    <s v="25.06"/>
    <n v="411"/>
  </r>
  <r>
    <s v="디지털 영상"/>
    <s v="ADEX"/>
    <s v="코리아델로스"/>
    <x v="4"/>
    <s v="서비스"/>
    <s v="음식및숙박"/>
    <s v="기타프랜차이즈점"/>
    <s v="디지털"/>
    <s v="디지털동영상"/>
    <s v="Tving"/>
    <s v="-"/>
    <s v="25"/>
    <s v="06"/>
    <s v="25.06"/>
    <s v="25.06"/>
    <n v="84"/>
  </r>
  <r>
    <s v="지상파"/>
    <s v="ADEX"/>
    <s v="장스푸드"/>
    <x v="2"/>
    <s v="서비스"/>
    <s v="음식및숙박"/>
    <s v="기타프랜차이즈점"/>
    <s v="TV"/>
    <s v="지상파"/>
    <s v="MBC"/>
    <s v="-"/>
    <s v="25"/>
    <s v="06"/>
    <s v="25.06"/>
    <s v="25.06"/>
    <n v="89700"/>
  </r>
  <r>
    <s v="케이블"/>
    <s v="ADEX"/>
    <s v="멕시카나"/>
    <x v="7"/>
    <s v="서비스"/>
    <s v="음식및숙박"/>
    <s v="기타프랜차이즈점"/>
    <s v="TV"/>
    <s v="케이블"/>
    <s v="MBC드라마넷"/>
    <s v="-"/>
    <s v="25"/>
    <s v="06"/>
    <s v="25.06"/>
    <s v="25.06"/>
    <n v="1647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6"/>
    <s v="25.06"/>
    <s v="25.06"/>
    <n v="24844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6"/>
    <s v="25.06"/>
    <s v="25.06"/>
    <n v="17576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6"/>
    <s v="25.06"/>
    <s v="25.06"/>
    <n v="2481"/>
  </r>
  <r>
    <s v="디지털 영상"/>
    <s v="ADEX"/>
    <s v="멕시카나"/>
    <x v="7"/>
    <s v="서비스"/>
    <s v="음식및숙박"/>
    <s v="기타프랜차이즈점"/>
    <s v="디지털"/>
    <s v="디지털동영상"/>
    <s v="Tving"/>
    <s v="-"/>
    <s v="25"/>
    <s v="06"/>
    <s v="25.06"/>
    <s v="25.06"/>
    <n v="510"/>
  </r>
  <r>
    <s v="종편"/>
    <s v="ADEX"/>
    <s v="혜인유통"/>
    <x v="5"/>
    <s v="서비스"/>
    <s v="음식및숙박"/>
    <s v="기타프랜차이즈점"/>
    <s v="TV"/>
    <s v="종편"/>
    <s v="TVCHOSUN"/>
    <s v="-"/>
    <s v="25"/>
    <s v="06"/>
    <s v="25.06"/>
    <s v="25.06"/>
    <n v="56814"/>
  </r>
  <r>
    <s v="케이블"/>
    <s v="ADEX"/>
    <s v="혜인유통"/>
    <x v="5"/>
    <s v="서비스"/>
    <s v="음식및숙박"/>
    <s v="기타프랜차이즈점"/>
    <s v="TV"/>
    <s v="케이블"/>
    <s v="SBSfunE"/>
    <s v="-"/>
    <s v="25"/>
    <s v="06"/>
    <s v="25.06"/>
    <s v="25.06"/>
    <n v="7330"/>
  </r>
  <r>
    <s v="케이블"/>
    <s v="ADEX"/>
    <s v="혜인유통"/>
    <x v="5"/>
    <s v="서비스"/>
    <s v="음식및숙박"/>
    <s v="기타프랜차이즈점"/>
    <s v="TV"/>
    <s v="케이블"/>
    <s v="YTN"/>
    <s v="-"/>
    <s v="25"/>
    <s v="06"/>
    <s v="25.06"/>
    <s v="25.06"/>
    <n v="22429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6"/>
    <s v="25.06"/>
    <s v="25.06"/>
    <n v="44020"/>
  </r>
  <r>
    <s v="디지털 영상"/>
    <s v="ADEX"/>
    <s v="제너시스비비큐"/>
    <x v="10"/>
    <s v="서비스"/>
    <s v="음식및숙박"/>
    <s v="기타프랜차이즈점"/>
    <s v="디지털"/>
    <s v="디지털동영상"/>
    <s v="다음"/>
    <s v="-"/>
    <s v="25"/>
    <s v="06"/>
    <s v="25.06"/>
    <s v="25.06"/>
    <n v="3659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6"/>
    <s v="25.06"/>
    <s v="25.06"/>
    <n v="59886"/>
  </r>
  <r>
    <s v="케이블"/>
    <s v="ADEX"/>
    <s v="혜인유통"/>
    <x v="5"/>
    <s v="서비스"/>
    <s v="음식및숙박"/>
    <s v="기타프랜차이즈점"/>
    <s v="TV"/>
    <s v="케이블"/>
    <s v="MBCM"/>
    <s v="-"/>
    <s v="25"/>
    <s v="06"/>
    <s v="25.06"/>
    <s v="25.06"/>
    <n v="6279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6"/>
    <s v="25.06"/>
    <s v="25.06"/>
    <n v="13500"/>
  </r>
  <r>
    <s v="케이블"/>
    <s v="ADEX"/>
    <s v="혜인유통"/>
    <x v="5"/>
    <s v="서비스"/>
    <s v="음식및숙박"/>
    <s v="기타프랜차이즈점"/>
    <s v="TV"/>
    <s v="케이블"/>
    <s v="ENADRAMA"/>
    <s v="-"/>
    <s v="25"/>
    <s v="06"/>
    <s v="25.06"/>
    <s v="25.06"/>
    <n v="3909"/>
  </r>
  <r>
    <s v="케이블"/>
    <s v="ADEX"/>
    <s v="혜인유통"/>
    <x v="5"/>
    <s v="서비스"/>
    <s v="음식및숙박"/>
    <s v="기타프랜차이즈점"/>
    <s v="TV"/>
    <s v="케이블"/>
    <s v="tvNSHOW"/>
    <s v="-"/>
    <s v="25"/>
    <s v="06"/>
    <s v="25.06"/>
    <s v="25.06"/>
    <n v="26071"/>
  </r>
  <r>
    <s v="종편"/>
    <s v="ADEX"/>
    <s v="혜인유통"/>
    <x v="5"/>
    <s v="서비스"/>
    <s v="음식및숙박"/>
    <s v="기타프랜차이즈점"/>
    <s v="TV"/>
    <s v="종편"/>
    <s v="채널A"/>
    <s v="-"/>
    <s v="25"/>
    <s v="06"/>
    <s v="25.06"/>
    <s v="25.06"/>
    <n v="59184"/>
  </r>
  <r>
    <s v="종편"/>
    <s v="ADEX"/>
    <s v="혜인유통"/>
    <x v="5"/>
    <s v="서비스"/>
    <s v="음식및숙박"/>
    <s v="기타프랜차이즈점"/>
    <s v="TV"/>
    <s v="종편"/>
    <s v="JTBC"/>
    <s v="-"/>
    <s v="25"/>
    <s v="06"/>
    <s v="25.06"/>
    <s v="25.06"/>
    <n v="135854"/>
  </r>
  <r>
    <s v="케이블"/>
    <s v="ADEX"/>
    <s v="웰빙푸드"/>
    <x v="3"/>
    <s v="서비스"/>
    <s v="음식및숙박"/>
    <s v="기타프랜차이즈점"/>
    <s v="TV"/>
    <s v="케이블"/>
    <s v="SPOTVPrime+"/>
    <s v="-"/>
    <s v="25"/>
    <s v="06"/>
    <s v="25.06"/>
    <s v="25.06"/>
    <n v="6682"/>
  </r>
  <r>
    <s v="케이블"/>
    <s v="ADEX"/>
    <s v="멕시카나"/>
    <x v="7"/>
    <s v="서비스"/>
    <s v="음식및숙박"/>
    <s v="기타프랜차이즈점"/>
    <s v="TV"/>
    <s v="케이블"/>
    <s v="Mnet"/>
    <s v="-"/>
    <s v="25"/>
    <s v="06"/>
    <s v="25.06"/>
    <s v="25.06"/>
    <n v="42145"/>
  </r>
  <r>
    <s v="디지털 영상"/>
    <s v="ADEX"/>
    <s v="코리아델로스"/>
    <x v="4"/>
    <s v="서비스"/>
    <s v="음식및숙박"/>
    <s v="기타프랜차이즈점"/>
    <s v="디지털"/>
    <s v="디지털동영상"/>
    <s v="다음"/>
    <s v="-"/>
    <s v="25"/>
    <s v="06"/>
    <s v="25.06"/>
    <s v="25.06"/>
    <n v="60"/>
  </r>
  <r>
    <s v="종편"/>
    <s v="ADEX"/>
    <s v="혜인유통"/>
    <x v="5"/>
    <s v="서비스"/>
    <s v="음식및숙박"/>
    <s v="기타프랜차이즈점"/>
    <s v="TV"/>
    <s v="종편"/>
    <s v="MBN"/>
    <s v="-"/>
    <s v="25"/>
    <s v="06"/>
    <s v="25.06"/>
    <s v="25.06"/>
    <n v="55235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6"/>
    <s v="25.06"/>
    <s v="25.06"/>
    <n v="423"/>
  </r>
  <r>
    <s v="케이블"/>
    <s v="ADEX"/>
    <s v="혜인유통"/>
    <x v="5"/>
    <s v="서비스"/>
    <s v="음식및숙박"/>
    <s v="기타프랜차이즈점"/>
    <s v="TV"/>
    <s v="케이블"/>
    <s v="ENA"/>
    <s v="-"/>
    <s v="25"/>
    <s v="06"/>
    <s v="25.06"/>
    <s v="25.06"/>
    <n v="24814"/>
  </r>
  <r>
    <s v="케이블"/>
    <s v="ADEX"/>
    <s v="멕시카나"/>
    <x v="7"/>
    <s v="서비스"/>
    <s v="음식및숙박"/>
    <s v="기타프랜차이즈점"/>
    <s v="TV"/>
    <s v="케이블"/>
    <s v="OCN"/>
    <s v="-"/>
    <s v="25"/>
    <s v="06"/>
    <s v="25.06"/>
    <s v="25.06"/>
    <n v="35085"/>
  </r>
  <r>
    <s v="케이블"/>
    <s v="ADEX"/>
    <s v="혜인유통"/>
    <x v="5"/>
    <s v="서비스"/>
    <s v="음식및숙박"/>
    <s v="기타프랜차이즈점"/>
    <s v="TV"/>
    <s v="케이블"/>
    <s v="tvN"/>
    <s v="-"/>
    <s v="25"/>
    <s v="06"/>
    <s v="25.06"/>
    <s v="25.06"/>
    <n v="199474"/>
  </r>
  <r>
    <s v="케이블"/>
    <s v="ADEX"/>
    <s v="혜인유통"/>
    <x v="5"/>
    <s v="서비스"/>
    <s v="음식및숙박"/>
    <s v="기타프랜차이즈점"/>
    <s v="TV"/>
    <s v="케이블"/>
    <s v="Dramax"/>
    <s v="-"/>
    <s v="25"/>
    <s v="06"/>
    <s v="25.06"/>
    <s v="25.06"/>
    <n v="9268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6"/>
    <s v="25.06"/>
    <s v="25.06"/>
    <n v="10908"/>
  </r>
  <r>
    <s v="지상파"/>
    <s v="ADEX"/>
    <s v="코리아델로스"/>
    <x v="4"/>
    <s v="서비스"/>
    <s v="음식및숙박"/>
    <s v="기타프랜차이즈점"/>
    <s v="TV"/>
    <s v="지상파"/>
    <s v="OBS"/>
    <s v="-"/>
    <s v="25"/>
    <s v="06"/>
    <s v="25.06"/>
    <s v="25.06"/>
    <n v="2329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6"/>
    <s v="25.06"/>
    <s v="25.06"/>
    <n v="125565"/>
  </r>
  <r>
    <s v="케이블"/>
    <s v="ADEX"/>
    <s v="혜인유통"/>
    <x v="5"/>
    <s v="서비스"/>
    <s v="음식및숙박"/>
    <s v="기타프랜차이즈점"/>
    <s v="TV"/>
    <s v="케이블"/>
    <s v="tvNSPORTS"/>
    <s v="-"/>
    <s v="25"/>
    <s v="06"/>
    <s v="25.06"/>
    <s v="25.06"/>
    <n v="20426"/>
  </r>
  <r>
    <s v="디지털 영상"/>
    <s v="ADEX"/>
    <s v="아이더스에프앤비"/>
    <x v="0"/>
    <s v="서비스"/>
    <s v="음식및숙박"/>
    <s v="기타프랜차이즈점"/>
    <s v="디지털"/>
    <s v="디지털동영상"/>
    <s v="다음"/>
    <s v="-"/>
    <s v="25"/>
    <s v="06"/>
    <s v="25.06"/>
    <s v="25.06"/>
    <n v="60"/>
  </r>
  <r>
    <s v="종편"/>
    <s v="ADEX"/>
    <s v="코리아델로스"/>
    <x v="4"/>
    <s v="서비스"/>
    <s v="음식및숙박"/>
    <s v="기타프랜차이즈점"/>
    <s v="TV"/>
    <s v="종편"/>
    <s v="JTBC"/>
    <s v="-"/>
    <s v="25"/>
    <s v="06"/>
    <s v="25.06"/>
    <s v="25.06"/>
    <n v="44896"/>
  </r>
  <r>
    <s v="케이블"/>
    <s v="ADEX"/>
    <s v="혜인유통"/>
    <x v="5"/>
    <s v="서비스"/>
    <s v="음식및숙박"/>
    <s v="기타프랜차이즈점"/>
    <s v="TV"/>
    <s v="케이블"/>
    <s v="MBCevery1"/>
    <s v="-"/>
    <s v="25"/>
    <s v="05"/>
    <s v="25.05"/>
    <s v="25.05"/>
    <n v="30857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5"/>
    <s v="25.05"/>
    <s v="25.05"/>
    <n v="13950"/>
  </r>
  <r>
    <s v="케이블"/>
    <s v="ADEX"/>
    <s v="멕시카나"/>
    <x v="7"/>
    <s v="서비스"/>
    <s v="음식및숙박"/>
    <s v="기타프랜차이즈점"/>
    <s v="TV"/>
    <s v="케이블"/>
    <s v="Tooniverse"/>
    <s v="-"/>
    <s v="25"/>
    <s v="05"/>
    <s v="25.05"/>
    <s v="25.05"/>
    <n v="10200"/>
  </r>
  <r>
    <s v="케이블"/>
    <s v="ADEX"/>
    <s v="웰빙푸드"/>
    <x v="3"/>
    <s v="서비스"/>
    <s v="음식및숙박"/>
    <s v="기타프랜차이즈점"/>
    <s v="TV"/>
    <s v="케이블"/>
    <s v="MBCSPORTS+"/>
    <s v="-"/>
    <s v="25"/>
    <s v="05"/>
    <s v="25.05"/>
    <s v="25.05"/>
    <n v="101775"/>
  </r>
  <r>
    <s v="케이블"/>
    <s v="ADEX"/>
    <s v="웰빙푸드"/>
    <x v="3"/>
    <s v="서비스"/>
    <s v="음식및숙박"/>
    <s v="기타프랜차이즈점"/>
    <s v="TV"/>
    <s v="케이블"/>
    <s v="KBSJOY"/>
    <s v="-"/>
    <s v="25"/>
    <s v="05"/>
    <s v="25.05"/>
    <s v="25.05"/>
    <n v="61426"/>
  </r>
  <r>
    <s v="케이블"/>
    <s v="ADEX"/>
    <s v="웰빙푸드"/>
    <x v="3"/>
    <s v="서비스"/>
    <s v="음식및숙박"/>
    <s v="기타프랜차이즈점"/>
    <s v="TV"/>
    <s v="케이블"/>
    <s v="채널S"/>
    <s v="-"/>
    <s v="25"/>
    <s v="05"/>
    <s v="25.05"/>
    <s v="25.05"/>
    <n v="19000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5"/>
    <s v="25.05"/>
    <s v="25.05"/>
    <n v="65789"/>
  </r>
  <r>
    <s v="케이블"/>
    <s v="ADEX"/>
    <s v="혜인유통"/>
    <x v="5"/>
    <s v="서비스"/>
    <s v="음식및숙박"/>
    <s v="기타프랜차이즈점"/>
    <s v="TV"/>
    <s v="케이블"/>
    <s v="연합뉴스TV"/>
    <s v="-"/>
    <s v="25"/>
    <s v="05"/>
    <s v="25.05"/>
    <s v="25.05"/>
    <n v="51895"/>
  </r>
  <r>
    <s v="케이블"/>
    <s v="ADEX"/>
    <s v="혜인유통"/>
    <x v="5"/>
    <s v="서비스"/>
    <s v="음식및숙박"/>
    <s v="기타프랜차이즈점"/>
    <s v="TV"/>
    <s v="케이블"/>
    <s v="SkySports"/>
    <s v="-"/>
    <s v="25"/>
    <s v="05"/>
    <s v="25.05"/>
    <s v="25.05"/>
    <n v="5113"/>
  </r>
  <r>
    <s v="케이블"/>
    <s v="ADEX"/>
    <s v="멕시카나"/>
    <x v="7"/>
    <s v="서비스"/>
    <s v="음식및숙박"/>
    <s v="기타프랜차이즈점"/>
    <s v="TV"/>
    <s v="케이블"/>
    <s v="SBSPlus"/>
    <s v="-"/>
    <s v="25"/>
    <s v="05"/>
    <s v="25.05"/>
    <s v="25.05"/>
    <n v="51000"/>
  </r>
  <r>
    <s v="케이블"/>
    <s v="ADEX"/>
    <s v="혜인유통"/>
    <x v="5"/>
    <s v="서비스"/>
    <s v="음식및숙박"/>
    <s v="기타프랜차이즈점"/>
    <s v="TV"/>
    <s v="케이블"/>
    <s v="헬스메디TV"/>
    <s v="-"/>
    <s v="25"/>
    <s v="05"/>
    <s v="25.05"/>
    <s v="25.05"/>
    <n v="4120"/>
  </r>
  <r>
    <s v="종편"/>
    <s v="ADEX"/>
    <s v="혜인유통"/>
    <x v="5"/>
    <s v="서비스"/>
    <s v="음식및숙박"/>
    <s v="기타프랜차이즈점"/>
    <s v="TV"/>
    <s v="종편"/>
    <s v="TVCHOSUN"/>
    <s v="-"/>
    <s v="25"/>
    <s v="05"/>
    <s v="25.05"/>
    <s v="25.05"/>
    <n v="183155"/>
  </r>
  <r>
    <s v="지상파"/>
    <s v="ADEX"/>
    <s v="혜인유통"/>
    <x v="5"/>
    <s v="서비스"/>
    <s v="음식및숙박"/>
    <s v="기타프랜차이즈점"/>
    <s v="TV"/>
    <s v="지상파"/>
    <s v="OBS"/>
    <s v="-"/>
    <s v="25"/>
    <s v="05"/>
    <s v="25.05"/>
    <s v="25.05"/>
    <n v="4034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5"/>
    <s v="25.05"/>
    <s v="25.05"/>
    <n v="6024"/>
  </r>
  <r>
    <s v="케이블"/>
    <s v="ADEX"/>
    <s v="혜인유통"/>
    <x v="5"/>
    <s v="서비스"/>
    <s v="음식및숙박"/>
    <s v="기타프랜차이즈점"/>
    <s v="TV"/>
    <s v="케이블"/>
    <s v="YTN"/>
    <s v="-"/>
    <s v="25"/>
    <s v="05"/>
    <s v="25.05"/>
    <s v="25.05"/>
    <n v="51071"/>
  </r>
  <r>
    <s v="케이블"/>
    <s v="ADEX"/>
    <s v="혜인유통"/>
    <x v="5"/>
    <s v="서비스"/>
    <s v="음식및숙박"/>
    <s v="기타프랜차이즈점"/>
    <s v="TV"/>
    <s v="케이블"/>
    <s v="E채널"/>
    <s v="-"/>
    <s v="25"/>
    <s v="05"/>
    <s v="25.05"/>
    <s v="25.05"/>
    <n v="33731"/>
  </r>
  <r>
    <s v="케이블"/>
    <s v="ADEX"/>
    <s v="혜인유통"/>
    <x v="5"/>
    <s v="서비스"/>
    <s v="음식및숙박"/>
    <s v="기타프랜차이즈점"/>
    <s v="TV"/>
    <s v="케이블"/>
    <s v="tvN"/>
    <s v="-"/>
    <s v="25"/>
    <s v="05"/>
    <s v="25.05"/>
    <s v="25.05"/>
    <n v="345556"/>
  </r>
  <r>
    <s v="케이블"/>
    <s v="ADEX"/>
    <s v="혜인유통"/>
    <x v="5"/>
    <s v="서비스"/>
    <s v="음식및숙박"/>
    <s v="기타프랜차이즈점"/>
    <s v="TV"/>
    <s v="케이블"/>
    <s v="MX"/>
    <s v="-"/>
    <s v="25"/>
    <s v="05"/>
    <s v="25.05"/>
    <s v="25.05"/>
    <n v="1649"/>
  </r>
  <r>
    <s v="케이블"/>
    <s v="ADEX"/>
    <s v="혜인유통"/>
    <x v="5"/>
    <s v="서비스"/>
    <s v="음식및숙박"/>
    <s v="기타프랜차이즈점"/>
    <s v="TV"/>
    <s v="케이블"/>
    <s v="SBSfunE"/>
    <s v="-"/>
    <s v="25"/>
    <s v="05"/>
    <s v="25.05"/>
    <s v="25.05"/>
    <n v="30525"/>
  </r>
  <r>
    <s v="케이블"/>
    <s v="ADEX"/>
    <s v="혜인유통"/>
    <x v="5"/>
    <s v="서비스"/>
    <s v="음식및숙박"/>
    <s v="기타프랜차이즈점"/>
    <s v="TV"/>
    <s v="케이블"/>
    <s v="CHING"/>
    <s v="-"/>
    <s v="25"/>
    <s v="05"/>
    <s v="25.05"/>
    <s v="25.05"/>
    <n v="4835"/>
  </r>
  <r>
    <s v="케이블"/>
    <s v="ADEX"/>
    <s v="혜인유통"/>
    <x v="5"/>
    <s v="서비스"/>
    <s v="음식및숙박"/>
    <s v="기타프랜차이즈점"/>
    <s v="TV"/>
    <s v="케이블"/>
    <s v="OLIFE"/>
    <s v="-"/>
    <s v="25"/>
    <s v="05"/>
    <s v="25.05"/>
    <s v="25.05"/>
    <n v="3498"/>
  </r>
  <r>
    <s v="케이블"/>
    <s v="ADEX"/>
    <s v="혜인유통"/>
    <x v="5"/>
    <s v="서비스"/>
    <s v="음식및숙박"/>
    <s v="기타프랜차이즈점"/>
    <s v="TV"/>
    <s v="케이블"/>
    <s v="ENA"/>
    <s v="-"/>
    <s v="25"/>
    <s v="05"/>
    <s v="25.05"/>
    <s v="25.05"/>
    <n v="59595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5"/>
    <s v="25.05"/>
    <s v="25.05"/>
    <n v="31794"/>
  </r>
  <r>
    <s v="케이블"/>
    <s v="ADEX"/>
    <s v="멕시카나"/>
    <x v="7"/>
    <s v="서비스"/>
    <s v="음식및숙박"/>
    <s v="기타프랜차이즈점"/>
    <s v="TV"/>
    <s v="케이블"/>
    <s v="MBC드라마넷"/>
    <s v="-"/>
    <s v="25"/>
    <s v="05"/>
    <s v="25.05"/>
    <s v="25.05"/>
    <n v="9600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5"/>
    <s v="25.05"/>
    <s v="25.05"/>
    <n v="21716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5"/>
    <s v="25.05"/>
    <s v="25.05"/>
    <n v="76812"/>
  </r>
  <r>
    <s v="케이블"/>
    <s v="ADEX"/>
    <s v="멕시카나"/>
    <x v="7"/>
    <s v="서비스"/>
    <s v="음식및숙박"/>
    <s v="기타프랜차이즈점"/>
    <s v="TV"/>
    <s v="케이블"/>
    <s v="SBSLife"/>
    <s v="-"/>
    <s v="25"/>
    <s v="05"/>
    <s v="25.05"/>
    <s v="25.05"/>
    <n v="34"/>
  </r>
  <r>
    <s v="케이블"/>
    <s v="ADEX"/>
    <s v="멕시카나"/>
    <x v="7"/>
    <s v="서비스"/>
    <s v="음식및숙박"/>
    <s v="기타프랜차이즈점"/>
    <s v="TV"/>
    <s v="케이블"/>
    <s v="채널S"/>
    <s v="-"/>
    <s v="25"/>
    <s v="05"/>
    <s v="25.05"/>
    <s v="25.05"/>
    <n v="44"/>
  </r>
  <r>
    <s v="케이블"/>
    <s v="ADEX"/>
    <s v="웰빙푸드"/>
    <x v="3"/>
    <s v="서비스"/>
    <s v="음식및숙박"/>
    <s v="기타프랜차이즈점"/>
    <s v="TV"/>
    <s v="케이블"/>
    <s v="SBSPlus"/>
    <s v="-"/>
    <s v="25"/>
    <s v="05"/>
    <s v="25.05"/>
    <s v="25.05"/>
    <n v="33781"/>
  </r>
  <r>
    <s v="케이블"/>
    <s v="ADEX"/>
    <s v="웰빙푸드"/>
    <x v="3"/>
    <s v="서비스"/>
    <s v="음식및숙박"/>
    <s v="기타프랜차이즈점"/>
    <s v="TV"/>
    <s v="케이블"/>
    <s v="ENAPLAY"/>
    <s v="-"/>
    <s v="25"/>
    <s v="05"/>
    <s v="25.05"/>
    <s v="25.05"/>
    <n v="4766"/>
  </r>
  <r>
    <s v="케이블"/>
    <s v="ADEX"/>
    <s v="웰빙푸드"/>
    <x v="3"/>
    <s v="서비스"/>
    <s v="음식및숙박"/>
    <s v="기타프랜차이즈점"/>
    <s v="TV"/>
    <s v="케이블"/>
    <s v="tvNSTORY"/>
    <s v="-"/>
    <s v="25"/>
    <s v="05"/>
    <s v="25.05"/>
    <s v="25.05"/>
    <n v="22100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5"/>
    <s v="25.05"/>
    <s v="25.05"/>
    <n v="145329"/>
  </r>
  <r>
    <s v="지상파"/>
    <s v="ADEX"/>
    <s v="코리아델로스"/>
    <x v="4"/>
    <s v="서비스"/>
    <s v="음식및숙박"/>
    <s v="기타프랜차이즈점"/>
    <s v="TV"/>
    <s v="지상파"/>
    <s v="SBS"/>
    <s v="-"/>
    <s v="25"/>
    <s v="05"/>
    <s v="25.05"/>
    <s v="25.05"/>
    <n v="10100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5"/>
    <s v="25.05"/>
    <s v="25.05"/>
    <n v="2564"/>
  </r>
  <r>
    <s v="케이블"/>
    <s v="ADEX"/>
    <s v="혜인유통"/>
    <x v="5"/>
    <s v="서비스"/>
    <s v="음식및숙박"/>
    <s v="기타프랜차이즈점"/>
    <s v="TV"/>
    <s v="케이블"/>
    <s v="cineF"/>
    <s v="-"/>
    <s v="25"/>
    <s v="05"/>
    <s v="25.05"/>
    <s v="25.05"/>
    <n v="2529"/>
  </r>
  <r>
    <s v="케이블"/>
    <s v="ADEX"/>
    <s v="혜인유통"/>
    <x v="5"/>
    <s v="서비스"/>
    <s v="음식및숙박"/>
    <s v="기타프랜차이즈점"/>
    <s v="TV"/>
    <s v="케이블"/>
    <s v="JTBC2"/>
    <s v="-"/>
    <s v="25"/>
    <s v="05"/>
    <s v="25.05"/>
    <s v="25.05"/>
    <n v="125"/>
  </r>
  <r>
    <s v="케이블"/>
    <s v="ADEX"/>
    <s v="혜인유통"/>
    <x v="5"/>
    <s v="서비스"/>
    <s v="음식및숙박"/>
    <s v="기타프랜차이즈점"/>
    <s v="TV"/>
    <s v="케이블"/>
    <s v="OCNMovies"/>
    <s v="-"/>
    <s v="25"/>
    <s v="05"/>
    <s v="25.05"/>
    <s v="25.05"/>
    <n v="21679"/>
  </r>
  <r>
    <s v="케이블"/>
    <s v="ADEX"/>
    <s v="혜인유통"/>
    <x v="5"/>
    <s v="서비스"/>
    <s v="음식및숙박"/>
    <s v="기타프랜차이즈점"/>
    <s v="TV"/>
    <s v="케이블"/>
    <s v="채널나우"/>
    <s v="-"/>
    <s v="25"/>
    <s v="05"/>
    <s v="25.05"/>
    <s v="25.05"/>
    <n v="9531"/>
  </r>
  <r>
    <s v="케이블"/>
    <s v="ADEX"/>
    <s v="혜인유통"/>
    <x v="5"/>
    <s v="서비스"/>
    <s v="음식및숙박"/>
    <s v="기타프랜차이즈점"/>
    <s v="TV"/>
    <s v="케이블"/>
    <s v="ENADRAMA"/>
    <s v="-"/>
    <s v="25"/>
    <s v="05"/>
    <s v="25.05"/>
    <s v="25.05"/>
    <n v="5442"/>
  </r>
  <r>
    <s v="케이블"/>
    <s v="ADEX"/>
    <s v="혜인유통"/>
    <x v="5"/>
    <s v="서비스"/>
    <s v="음식및숙박"/>
    <s v="기타프랜차이즈점"/>
    <s v="TV"/>
    <s v="케이블"/>
    <s v="ELIKE"/>
    <s v="-"/>
    <s v="25"/>
    <s v="05"/>
    <s v="25.05"/>
    <s v="25.05"/>
    <n v="2065"/>
  </r>
  <r>
    <s v="케이블"/>
    <s v="ADEX"/>
    <s v="혜인유통"/>
    <x v="5"/>
    <s v="서비스"/>
    <s v="음식및숙박"/>
    <s v="기타프랜차이즈점"/>
    <s v="TV"/>
    <s v="케이블"/>
    <s v="ONT"/>
    <s v="-"/>
    <s v="25"/>
    <s v="05"/>
    <s v="25.05"/>
    <s v="25.05"/>
    <n v="2281"/>
  </r>
  <r>
    <s v="케이블"/>
    <s v="ADEX"/>
    <s v="혜인유통"/>
    <x v="5"/>
    <s v="서비스"/>
    <s v="음식및숙박"/>
    <s v="기타프랜차이즈점"/>
    <s v="TV"/>
    <s v="케이블"/>
    <s v="MBCM"/>
    <s v="-"/>
    <s v="25"/>
    <s v="05"/>
    <s v="25.05"/>
    <s v="25.05"/>
    <n v="1466"/>
  </r>
  <r>
    <s v="케이블"/>
    <s v="ADEX"/>
    <s v="혜인유통"/>
    <x v="5"/>
    <s v="서비스"/>
    <s v="음식및숙박"/>
    <s v="기타프랜차이즈점"/>
    <s v="TV"/>
    <s v="케이블"/>
    <s v="JTBC4"/>
    <s v="-"/>
    <s v="25"/>
    <s v="05"/>
    <s v="25.05"/>
    <s v="25.05"/>
    <n v="16917"/>
  </r>
  <r>
    <s v="종편"/>
    <s v="ADEX"/>
    <s v="혜인유통"/>
    <x v="5"/>
    <s v="서비스"/>
    <s v="음식및숙박"/>
    <s v="기타프랜차이즈점"/>
    <s v="TV"/>
    <s v="종편"/>
    <s v="MBN"/>
    <s v="-"/>
    <s v="25"/>
    <s v="05"/>
    <s v="25.05"/>
    <s v="25.05"/>
    <n v="143300"/>
  </r>
  <r>
    <s v="케이블"/>
    <s v="ADEX"/>
    <s v="멕시카나"/>
    <x v="7"/>
    <s v="서비스"/>
    <s v="음식및숙박"/>
    <s v="기타프랜차이즈점"/>
    <s v="TV"/>
    <s v="케이블"/>
    <s v="ENAPLAY"/>
    <s v="-"/>
    <s v="25"/>
    <s v="05"/>
    <s v="25.05"/>
    <s v="25.05"/>
    <n v="213"/>
  </r>
  <r>
    <s v="케이블"/>
    <s v="ADEX"/>
    <s v="웰빙푸드"/>
    <x v="3"/>
    <s v="서비스"/>
    <s v="음식및숙박"/>
    <s v="기타프랜차이즈점"/>
    <s v="TV"/>
    <s v="케이블"/>
    <s v="MBCevery1"/>
    <s v="-"/>
    <s v="25"/>
    <s v="05"/>
    <s v="25.05"/>
    <s v="25.05"/>
    <n v="36429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5"/>
    <s v="25.05"/>
    <s v="25.05"/>
    <n v="31123"/>
  </r>
  <r>
    <s v="케이블"/>
    <s v="ADEX"/>
    <s v="웰빙푸드"/>
    <x v="3"/>
    <s v="서비스"/>
    <s v="음식및숙박"/>
    <s v="기타프랜차이즈점"/>
    <s v="TV"/>
    <s v="케이블"/>
    <s v="채널S플러스"/>
    <s v="-"/>
    <s v="25"/>
    <s v="05"/>
    <s v="25.05"/>
    <s v="25.05"/>
    <n v="1257"/>
  </r>
  <r>
    <s v="케이블"/>
    <s v="ADEX"/>
    <s v="코리아델로스"/>
    <x v="4"/>
    <s v="서비스"/>
    <s v="음식및숙박"/>
    <s v="기타프랜차이즈점"/>
    <s v="TV"/>
    <s v="케이블"/>
    <s v="JTBC4"/>
    <s v="-"/>
    <s v="25"/>
    <s v="05"/>
    <s v="25.05"/>
    <s v="25.05"/>
    <n v="56"/>
  </r>
  <r>
    <s v="디지털 영상"/>
    <s v="ADEX"/>
    <s v="멕시카나"/>
    <x v="7"/>
    <s v="서비스"/>
    <s v="음식및숙박"/>
    <s v="기타프랜차이즈점"/>
    <s v="디지털"/>
    <s v="디지털동영상"/>
    <s v="Tving"/>
    <s v="-"/>
    <s v="25"/>
    <s v="05"/>
    <s v="25.05"/>
    <s v="25.05"/>
    <n v="2115"/>
  </r>
  <r>
    <s v="케이블"/>
    <s v="ADEX"/>
    <s v="혜인유통"/>
    <x v="5"/>
    <s v="서비스"/>
    <s v="음식및숙박"/>
    <s v="기타프랜차이즈점"/>
    <s v="TV"/>
    <s v="케이블"/>
    <s v="CHview"/>
    <s v="-"/>
    <s v="25"/>
    <s v="05"/>
    <s v="25.05"/>
    <s v="25.05"/>
    <n v="4583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5"/>
    <s v="25.05"/>
    <s v="25.05"/>
    <n v="65011"/>
  </r>
  <r>
    <s v="디지털 영상"/>
    <s v="ADEX"/>
    <s v="혜인유통"/>
    <x v="5"/>
    <s v="서비스"/>
    <s v="음식및숙박"/>
    <s v="기타프랜차이즈점"/>
    <s v="디지털"/>
    <s v="디지털동영상"/>
    <s v="YouTube"/>
    <s v="-"/>
    <s v="25"/>
    <s v="05"/>
    <s v="25.05"/>
    <s v="25.05"/>
    <n v="32648"/>
  </r>
  <r>
    <s v="라디오"/>
    <s v="ADEX"/>
    <s v="웰빙푸드"/>
    <x v="3"/>
    <s v="서비스"/>
    <s v="음식및숙박"/>
    <s v="기타프랜차이즈점"/>
    <s v="라디오"/>
    <s v="라디오"/>
    <s v="WBS-FM"/>
    <s v="-"/>
    <s v="25"/>
    <s v="05"/>
    <s v="25.05"/>
    <s v="25.05"/>
    <n v="4170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5"/>
    <s v="25.05"/>
    <s v="25.05"/>
    <n v="42043"/>
  </r>
  <r>
    <s v="디지털 영상"/>
    <s v="ADEX"/>
    <s v="교촌F&amp;B"/>
    <x v="6"/>
    <s v="서비스"/>
    <s v="음식및숙박"/>
    <s v="기타프랜차이즈점"/>
    <s v="디지털"/>
    <s v="디지털동영상"/>
    <s v="Tving"/>
    <s v="-"/>
    <s v="25"/>
    <s v="05"/>
    <s v="25.05"/>
    <s v="25.05"/>
    <n v="5375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5"/>
    <s v="25.05"/>
    <s v="25.05"/>
    <n v="3191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5"/>
    <s v="25.05"/>
    <s v="25.05"/>
    <n v="1159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05"/>
    <s v="25.05"/>
    <s v="25.05"/>
    <n v="3608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네이버"/>
    <s v="-"/>
    <s v="25"/>
    <s v="05"/>
    <s v="25.05"/>
    <s v="25.05"/>
    <n v="322"/>
  </r>
  <r>
    <s v="디지털 영상"/>
    <s v="ADEX"/>
    <s v="제너시스비비큐"/>
    <x v="10"/>
    <s v="서비스"/>
    <s v="음식및숙박"/>
    <s v="기타프랜차이즈점"/>
    <s v="디지털"/>
    <s v="디지털동영상"/>
    <s v="네이버"/>
    <s v="-"/>
    <s v="25"/>
    <s v="05"/>
    <s v="25.05"/>
    <s v="25.05"/>
    <n v="4288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5"/>
    <s v="25.05"/>
    <s v="25.05"/>
    <n v="3287"/>
  </r>
  <r>
    <s v="종편"/>
    <s v="ADEX"/>
    <s v="웰빙푸드"/>
    <x v="3"/>
    <s v="서비스"/>
    <s v="음식및숙박"/>
    <s v="기타프랜차이즈점"/>
    <s v="TV"/>
    <s v="종편"/>
    <s v="JTBC"/>
    <s v="-"/>
    <s v="25"/>
    <s v="05"/>
    <s v="25.05"/>
    <s v="25.05"/>
    <n v="118143"/>
  </r>
  <r>
    <s v="디지털 영상"/>
    <s v="ADEX"/>
    <s v="혜인유통"/>
    <x v="5"/>
    <s v="서비스"/>
    <s v="음식및숙박"/>
    <s v="기타프랜차이즈점"/>
    <s v="디지털"/>
    <s v="디지털동영상"/>
    <s v="Tving"/>
    <s v="-"/>
    <s v="25"/>
    <s v="05"/>
    <s v="25.05"/>
    <s v="25.05"/>
    <n v="4067"/>
  </r>
  <r>
    <s v="디지털 영상"/>
    <s v="ADEX"/>
    <s v="혜인유통"/>
    <x v="5"/>
    <s v="서비스"/>
    <s v="음식및숙박"/>
    <s v="기타프랜차이즈점"/>
    <s v="디지털"/>
    <s v="디지털동영상"/>
    <s v="SMR"/>
    <s v="-"/>
    <s v="25"/>
    <s v="05"/>
    <s v="25.05"/>
    <s v="25.05"/>
    <n v="54052"/>
  </r>
  <r>
    <s v="케이블"/>
    <s v="ADEX"/>
    <s v="멕시카나"/>
    <x v="7"/>
    <s v="서비스"/>
    <s v="음식및숙박"/>
    <s v="기타프랜차이즈점"/>
    <s v="TV"/>
    <s v="케이블"/>
    <s v="MBCevery1"/>
    <s v="-"/>
    <s v="25"/>
    <s v="05"/>
    <s v="25.05"/>
    <s v="25.05"/>
    <n v="35143"/>
  </r>
  <r>
    <s v="케이블"/>
    <s v="ADEX"/>
    <s v="혜인유통"/>
    <x v="5"/>
    <s v="서비스"/>
    <s v="음식및숙박"/>
    <s v="기타프랜차이즈점"/>
    <s v="TV"/>
    <s v="케이블"/>
    <s v="SBSPlus"/>
    <s v="-"/>
    <s v="25"/>
    <s v="05"/>
    <s v="25.05"/>
    <s v="25.05"/>
    <n v="58750"/>
  </r>
  <r>
    <s v="케이블"/>
    <s v="ADEX"/>
    <s v="혜인유통"/>
    <x v="5"/>
    <s v="서비스"/>
    <s v="음식및숙박"/>
    <s v="기타프랜차이즈점"/>
    <s v="TV"/>
    <s v="케이블"/>
    <s v="ENAPLAY"/>
    <s v="-"/>
    <s v="25"/>
    <s v="05"/>
    <s v="25.05"/>
    <s v="25.05"/>
    <n v="6723"/>
  </r>
  <r>
    <s v="케이블"/>
    <s v="ADEX"/>
    <s v="혜인유통"/>
    <x v="5"/>
    <s v="서비스"/>
    <s v="음식및숙박"/>
    <s v="기타프랜차이즈점"/>
    <s v="TV"/>
    <s v="케이블"/>
    <s v="ONCE"/>
    <s v="-"/>
    <s v="25"/>
    <s v="05"/>
    <s v="25.05"/>
    <s v="25.05"/>
    <n v="3324"/>
  </r>
  <r>
    <s v="케이블"/>
    <s v="ADEX"/>
    <s v="멕시카나"/>
    <x v="7"/>
    <s v="서비스"/>
    <s v="음식및숙박"/>
    <s v="기타프랜차이즈점"/>
    <s v="TV"/>
    <s v="케이블"/>
    <s v="Mnet"/>
    <s v="-"/>
    <s v="25"/>
    <s v="05"/>
    <s v="25.05"/>
    <s v="25.05"/>
    <n v="13063"/>
  </r>
  <r>
    <s v="케이블"/>
    <s v="ADEX"/>
    <s v="혜인유통"/>
    <x v="5"/>
    <s v="서비스"/>
    <s v="음식및숙박"/>
    <s v="기타프랜차이즈점"/>
    <s v="TV"/>
    <s v="케이블"/>
    <s v="tvNSTORY"/>
    <s v="-"/>
    <s v="25"/>
    <s v="05"/>
    <s v="25.05"/>
    <s v="25.05"/>
    <n v="69817"/>
  </r>
  <r>
    <s v="디지털 영상"/>
    <s v="ADEX"/>
    <s v="웰빙푸드"/>
    <x v="3"/>
    <s v="서비스"/>
    <s v="음식및숙박"/>
    <s v="기타프랜차이즈점"/>
    <s v="디지털"/>
    <s v="디지털동영상"/>
    <s v="Afreecatv"/>
    <s v="-"/>
    <s v="25"/>
    <s v="05"/>
    <s v="25.05"/>
    <s v="25.05"/>
    <n v="446"/>
  </r>
  <r>
    <s v="종편"/>
    <s v="ADEX"/>
    <s v="혜인유통"/>
    <x v="5"/>
    <s v="서비스"/>
    <s v="음식및숙박"/>
    <s v="기타프랜차이즈점"/>
    <s v="TV"/>
    <s v="종편"/>
    <s v="JTBC"/>
    <s v="-"/>
    <s v="25"/>
    <s v="05"/>
    <s v="25.05"/>
    <s v="25.05"/>
    <n v="313548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5"/>
    <s v="25.05"/>
    <s v="25.05"/>
    <n v="1320"/>
  </r>
  <r>
    <s v="종편"/>
    <s v="ADEX"/>
    <s v="혜인유통"/>
    <x v="5"/>
    <s v="서비스"/>
    <s v="음식및숙박"/>
    <s v="기타프랜차이즈점"/>
    <s v="TV"/>
    <s v="종편"/>
    <s v="채널A"/>
    <s v="-"/>
    <s v="25"/>
    <s v="05"/>
    <s v="25.05"/>
    <s v="25.05"/>
    <n v="92241"/>
  </r>
  <r>
    <s v="케이블"/>
    <s v="ADEX"/>
    <s v="멕시카나"/>
    <x v="7"/>
    <s v="서비스"/>
    <s v="음식및숙박"/>
    <s v="기타프랜차이즈점"/>
    <s v="TV"/>
    <s v="케이블"/>
    <s v="OCN"/>
    <s v="-"/>
    <s v="25"/>
    <s v="05"/>
    <s v="25.05"/>
    <s v="25.05"/>
    <n v="27014"/>
  </r>
  <r>
    <s v="케이블"/>
    <s v="ADEX"/>
    <s v="멕시카나"/>
    <x v="7"/>
    <s v="서비스"/>
    <s v="음식및숙박"/>
    <s v="기타프랜차이즈점"/>
    <s v="TV"/>
    <s v="케이블"/>
    <s v="tvN"/>
    <s v="-"/>
    <s v="25"/>
    <s v="05"/>
    <s v="25.05"/>
    <s v="25.05"/>
    <n v="293472"/>
  </r>
  <r>
    <s v="케이블"/>
    <s v="ADEX"/>
    <s v="혜인유통"/>
    <x v="5"/>
    <s v="서비스"/>
    <s v="음식및숙박"/>
    <s v="기타프랜차이즈점"/>
    <s v="TV"/>
    <s v="케이블"/>
    <s v="채널에버"/>
    <s v="-"/>
    <s v="25"/>
    <s v="05"/>
    <s v="25.05"/>
    <s v="25.05"/>
    <n v="2354"/>
  </r>
  <r>
    <s v="케이블"/>
    <s v="ADEX"/>
    <s v="멕시카나"/>
    <x v="7"/>
    <s v="서비스"/>
    <s v="음식및숙박"/>
    <s v="기타프랜차이즈점"/>
    <s v="TV"/>
    <s v="케이블"/>
    <s v="ENA"/>
    <s v="-"/>
    <s v="25"/>
    <s v="05"/>
    <s v="25.05"/>
    <s v="25.05"/>
    <n v="541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05"/>
    <s v="25.05"/>
    <s v="25.05"/>
    <n v="2000"/>
  </r>
  <r>
    <s v="케이블"/>
    <s v="ADEX"/>
    <s v="혜인유통"/>
    <x v="5"/>
    <s v="서비스"/>
    <s v="음식및숙박"/>
    <s v="기타프랜차이즈점"/>
    <s v="TV"/>
    <s v="케이블"/>
    <s v="tvNSHOW"/>
    <s v="-"/>
    <s v="25"/>
    <s v="05"/>
    <s v="25.05"/>
    <s v="25.05"/>
    <n v="52132"/>
  </r>
  <r>
    <s v="케이블"/>
    <s v="ADEX"/>
    <s v="웰빙푸드"/>
    <x v="3"/>
    <s v="서비스"/>
    <s v="음식및숙박"/>
    <s v="기타프랜차이즈점"/>
    <s v="TV"/>
    <s v="케이블"/>
    <s v="채널나우"/>
    <s v="-"/>
    <s v="25"/>
    <s v="05"/>
    <s v="25.05"/>
    <s v="25.05"/>
    <n v="5857"/>
  </r>
  <r>
    <s v="케이블"/>
    <s v="ADEX"/>
    <s v="웰빙푸드"/>
    <x v="3"/>
    <s v="서비스"/>
    <s v="음식및숙박"/>
    <s v="기타프랜차이즈점"/>
    <s v="TV"/>
    <s v="케이블"/>
    <s v="JTBC2"/>
    <s v="-"/>
    <s v="25"/>
    <s v="05"/>
    <s v="25.05"/>
    <s v="25.05"/>
    <n v="7609"/>
  </r>
  <r>
    <s v="케이블"/>
    <s v="ADEX"/>
    <s v="웰빙푸드"/>
    <x v="3"/>
    <s v="서비스"/>
    <s v="음식및숙박"/>
    <s v="기타프랜차이즈점"/>
    <s v="TV"/>
    <s v="케이블"/>
    <s v="ENADRAMA"/>
    <s v="-"/>
    <s v="25"/>
    <s v="05"/>
    <s v="25.05"/>
    <s v="25.05"/>
    <n v="3846"/>
  </r>
  <r>
    <s v="케이블"/>
    <s v="ADEX"/>
    <s v="웰빙푸드"/>
    <x v="3"/>
    <s v="서비스"/>
    <s v="음식및숙박"/>
    <s v="기타프랜차이즈점"/>
    <s v="TV"/>
    <s v="케이블"/>
    <s v="ELIKE"/>
    <s v="-"/>
    <s v="25"/>
    <s v="05"/>
    <s v="25.05"/>
    <s v="25.05"/>
    <n v="1275"/>
  </r>
  <r>
    <s v="케이블"/>
    <s v="ADEX"/>
    <s v="웰빙푸드"/>
    <x v="3"/>
    <s v="서비스"/>
    <s v="음식및숙박"/>
    <s v="기타프랜차이즈점"/>
    <s v="TV"/>
    <s v="케이블"/>
    <s v="CHview"/>
    <s v="-"/>
    <s v="25"/>
    <s v="05"/>
    <s v="25.05"/>
    <s v="25.05"/>
    <n v="2110"/>
  </r>
  <r>
    <s v="케이블"/>
    <s v="ADEX"/>
    <s v="웰빙푸드"/>
    <x v="3"/>
    <s v="서비스"/>
    <s v="음식및숙박"/>
    <s v="기타프랜차이즈점"/>
    <s v="TV"/>
    <s v="케이블"/>
    <s v="cineF"/>
    <s v="-"/>
    <s v="25"/>
    <s v="05"/>
    <s v="25.05"/>
    <s v="25.05"/>
    <n v="1122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5"/>
    <s v="25.05"/>
    <s v="25.05"/>
    <n v="28036"/>
  </r>
  <r>
    <s v="케이블"/>
    <s v="ADEX"/>
    <s v="웰빙푸드"/>
    <x v="3"/>
    <s v="서비스"/>
    <s v="음식및숙박"/>
    <s v="기타프랜차이즈점"/>
    <s v="TV"/>
    <s v="케이블"/>
    <s v="SkySports"/>
    <s v="-"/>
    <s v="25"/>
    <s v="05"/>
    <s v="25.05"/>
    <s v="25.05"/>
    <n v="1564"/>
  </r>
  <r>
    <s v="케이블"/>
    <s v="ADEX"/>
    <s v="웰빙푸드"/>
    <x v="3"/>
    <s v="서비스"/>
    <s v="음식및숙박"/>
    <s v="기타프랜차이즈점"/>
    <s v="TV"/>
    <s v="케이블"/>
    <s v="SPOTVPrime"/>
    <s v="-"/>
    <s v="25"/>
    <s v="05"/>
    <s v="25.05"/>
    <s v="25.05"/>
    <n v="15026"/>
  </r>
  <r>
    <s v="케이블"/>
    <s v="ADEX"/>
    <s v="웰빙푸드"/>
    <x v="3"/>
    <s v="서비스"/>
    <s v="음식및숙박"/>
    <s v="기타프랜차이즈점"/>
    <s v="TV"/>
    <s v="케이블"/>
    <s v="SPOTVPrime+"/>
    <s v="-"/>
    <s v="25"/>
    <s v="05"/>
    <s v="25.05"/>
    <s v="25.05"/>
    <n v="8746"/>
  </r>
  <r>
    <s v="케이블"/>
    <s v="ADEX"/>
    <s v="혜인유통"/>
    <x v="5"/>
    <s v="서비스"/>
    <s v="음식및숙박"/>
    <s v="기타프랜차이즈점"/>
    <s v="TV"/>
    <s v="케이블"/>
    <s v="OCNMovies2"/>
    <s v="-"/>
    <s v="25"/>
    <s v="05"/>
    <s v="25.05"/>
    <s v="25.05"/>
    <n v="17018"/>
  </r>
  <r>
    <s v="케이블"/>
    <s v="ADEX"/>
    <s v="혜인유통"/>
    <x v="5"/>
    <s v="서비스"/>
    <s v="음식및숙박"/>
    <s v="기타프랜차이즈점"/>
    <s v="TV"/>
    <s v="케이블"/>
    <s v="KBSJOY"/>
    <s v="-"/>
    <s v="25"/>
    <s v="05"/>
    <s v="25.05"/>
    <s v="25.05"/>
    <n v="51516"/>
  </r>
  <r>
    <s v="케이블"/>
    <s v="ADEX"/>
    <s v="혜인유통"/>
    <x v="5"/>
    <s v="서비스"/>
    <s v="음식및숙박"/>
    <s v="기타프랜차이즈점"/>
    <s v="TV"/>
    <s v="케이블"/>
    <s v="SCREEN"/>
    <s v="-"/>
    <s v="25"/>
    <s v="05"/>
    <s v="25.05"/>
    <s v="25.05"/>
    <n v="18278"/>
  </r>
  <r>
    <s v="케이블"/>
    <s v="ADEX"/>
    <s v="혜인유통"/>
    <x v="5"/>
    <s v="서비스"/>
    <s v="음식및숙박"/>
    <s v="기타프랜차이즈점"/>
    <s v="TV"/>
    <s v="케이블"/>
    <s v="ENASTORY"/>
    <s v="-"/>
    <s v="25"/>
    <s v="05"/>
    <s v="25.05"/>
    <s v="25.05"/>
    <n v="2595"/>
  </r>
  <r>
    <s v="케이블"/>
    <s v="ADEX"/>
    <s v="혜인유통"/>
    <x v="5"/>
    <s v="서비스"/>
    <s v="음식및숙박"/>
    <s v="기타프랜차이즈점"/>
    <s v="TV"/>
    <s v="케이블"/>
    <s v="채널S"/>
    <s v="-"/>
    <s v="25"/>
    <s v="05"/>
    <s v="25.05"/>
    <s v="25.05"/>
    <n v="24033"/>
  </r>
  <r>
    <s v="케이블"/>
    <s v="ADEX"/>
    <s v="멕시카나"/>
    <x v="7"/>
    <s v="서비스"/>
    <s v="음식및숙박"/>
    <s v="기타프랜차이즈점"/>
    <s v="TV"/>
    <s v="케이블"/>
    <s v="MBCM"/>
    <s v="-"/>
    <s v="25"/>
    <s v="05"/>
    <s v="25.05"/>
    <s v="25.05"/>
    <n v="1773"/>
  </r>
  <r>
    <s v="잡지"/>
    <s v="ADEX"/>
    <s v="웰빙푸드"/>
    <x v="3"/>
    <s v="서비스"/>
    <s v="음식및숙박"/>
    <s v="기타프랜차이즈점"/>
    <s v="인쇄"/>
    <s v="잡지"/>
    <s v="월간식당"/>
    <s v="-"/>
    <s v="25"/>
    <s v="05"/>
    <s v="25.05"/>
    <s v="25.05"/>
    <n v="1500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다음"/>
    <s v="-"/>
    <s v="25"/>
    <s v="05"/>
    <s v="25.05"/>
    <s v="25.05"/>
    <n v="113"/>
  </r>
  <r>
    <s v="케이블"/>
    <s v="ADEX"/>
    <s v="웰빙푸드"/>
    <x v="3"/>
    <s v="서비스"/>
    <s v="음식및숙박"/>
    <s v="기타프랜차이즈점"/>
    <s v="TV"/>
    <s v="케이블"/>
    <s v="MTN머니투데이방송"/>
    <s v="-"/>
    <s v="25"/>
    <s v="05"/>
    <s v="25.05"/>
    <s v="25.05"/>
    <n v="364500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5"/>
    <s v="25.05"/>
    <s v="25.05"/>
    <n v="54021"/>
  </r>
  <r>
    <s v="케이블"/>
    <s v="ADEX"/>
    <s v="멕시카나"/>
    <x v="7"/>
    <s v="서비스"/>
    <s v="음식및숙박"/>
    <s v="기타프랜차이즈점"/>
    <s v="TV"/>
    <s v="케이블"/>
    <s v="ENADRAMA"/>
    <s v="-"/>
    <s v="25"/>
    <s v="05"/>
    <s v="25.05"/>
    <s v="25.05"/>
    <n v="173"/>
  </r>
  <r>
    <s v="디지털 영상"/>
    <s v="ADEX"/>
    <s v="제너시스비비큐"/>
    <x v="10"/>
    <s v="서비스"/>
    <s v="음식및숙박"/>
    <s v="기타프랜차이즈점"/>
    <s v="디지털"/>
    <s v="디지털동영상"/>
    <s v="Tving"/>
    <s v="-"/>
    <s v="25"/>
    <s v="05"/>
    <s v="25.05"/>
    <s v="25.05"/>
    <n v="12895"/>
  </r>
  <r>
    <s v="케이블"/>
    <s v="ADEX"/>
    <s v="웰빙푸드"/>
    <x v="3"/>
    <s v="서비스"/>
    <s v="음식및숙박"/>
    <s v="기타프랜차이즈점"/>
    <s v="TV"/>
    <s v="케이블"/>
    <s v="E채널"/>
    <s v="-"/>
    <s v="25"/>
    <s v="05"/>
    <s v="25.05"/>
    <s v="25.05"/>
    <n v="20850"/>
  </r>
  <r>
    <s v="케이블"/>
    <s v="ADEX"/>
    <s v="웰빙푸드"/>
    <x v="3"/>
    <s v="서비스"/>
    <s v="음식및숙박"/>
    <s v="기타프랜차이즈점"/>
    <s v="TV"/>
    <s v="케이블"/>
    <s v="tvNSHOW"/>
    <s v="-"/>
    <s v="25"/>
    <s v="05"/>
    <s v="25.05"/>
    <s v="25.05"/>
    <n v="32800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05"/>
    <s v="25.05"/>
    <s v="25.05"/>
    <n v="110694"/>
  </r>
  <r>
    <s v="케이블"/>
    <s v="ADEX"/>
    <s v="웰빙푸드"/>
    <x v="3"/>
    <s v="서비스"/>
    <s v="음식및숙박"/>
    <s v="기타프랜차이즈점"/>
    <s v="TV"/>
    <s v="케이블"/>
    <s v="MX"/>
    <s v="-"/>
    <s v="25"/>
    <s v="05"/>
    <s v="25.05"/>
    <s v="25.05"/>
    <n v="1465"/>
  </r>
  <r>
    <s v="케이블"/>
    <s v="ADEX"/>
    <s v="웰빙푸드"/>
    <x v="3"/>
    <s v="서비스"/>
    <s v="음식및숙박"/>
    <s v="기타프랜차이즈점"/>
    <s v="TV"/>
    <s v="케이블"/>
    <s v="SPOTVPrime2"/>
    <s v="-"/>
    <s v="25"/>
    <s v="05"/>
    <s v="25.05"/>
    <s v="25.05"/>
    <n v="3957"/>
  </r>
  <r>
    <s v="케이블"/>
    <s v="ADEX"/>
    <s v="웰빙푸드"/>
    <x v="3"/>
    <s v="서비스"/>
    <s v="음식및숙박"/>
    <s v="기타프랜차이즈점"/>
    <s v="TV"/>
    <s v="케이블"/>
    <s v="채널에버"/>
    <s v="-"/>
    <s v="25"/>
    <s v="05"/>
    <s v="25.05"/>
    <s v="25.05"/>
    <n v="966"/>
  </r>
  <r>
    <s v="라디오"/>
    <s v="ADEX"/>
    <s v="웰빙푸드"/>
    <x v="3"/>
    <s v="서비스"/>
    <s v="음식및숙박"/>
    <s v="기타프랜차이즈점"/>
    <s v="라디오"/>
    <s v="라디오"/>
    <s v="CPBC-FM"/>
    <s v="-"/>
    <s v="25"/>
    <s v="05"/>
    <s v="25.05"/>
    <s v="25.05"/>
    <n v="15830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5"/>
    <s v="25.05"/>
    <s v="25.05"/>
    <n v="74300"/>
  </r>
  <r>
    <s v="케이블"/>
    <s v="ADEX"/>
    <s v="웰빙푸드"/>
    <x v="3"/>
    <s v="서비스"/>
    <s v="음식및숙박"/>
    <s v="기타프랜차이즈점"/>
    <s v="TV"/>
    <s v="케이블"/>
    <s v="tvNSPORTS"/>
    <s v="-"/>
    <s v="25"/>
    <s v="05"/>
    <s v="25.05"/>
    <s v="25.05"/>
    <n v="129"/>
  </r>
  <r>
    <s v="케이블"/>
    <s v="ADEX"/>
    <s v="웰빙푸드"/>
    <x v="3"/>
    <s v="서비스"/>
    <s v="음식및숙박"/>
    <s v="기타프랜차이즈점"/>
    <s v="TV"/>
    <s v="케이블"/>
    <s v="ENA"/>
    <s v="-"/>
    <s v="25"/>
    <s v="05"/>
    <s v="25.05"/>
    <s v="25.05"/>
    <n v="29784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5"/>
    <s v="25.05"/>
    <s v="25.05"/>
    <n v="298"/>
  </r>
  <r>
    <s v="지상파"/>
    <s v="ADEX"/>
    <s v="장스푸드"/>
    <x v="2"/>
    <s v="서비스"/>
    <s v="음식및숙박"/>
    <s v="기타프랜차이즈점"/>
    <s v="TV"/>
    <s v="지상파"/>
    <s v="MBC"/>
    <s v="-"/>
    <s v="25"/>
    <s v="05"/>
    <s v="25.05"/>
    <s v="25.05"/>
    <n v="40500"/>
  </r>
  <r>
    <s v="라디오"/>
    <s v="ADEX"/>
    <s v="웰빙푸드"/>
    <x v="3"/>
    <s v="서비스"/>
    <s v="음식및숙박"/>
    <s v="기타프랜차이즈점"/>
    <s v="라디오"/>
    <s v="라디오"/>
    <s v="CBS-RD"/>
    <s v="-"/>
    <s v="25"/>
    <s v="05"/>
    <s v="25.05"/>
    <s v="25.05"/>
    <n v="10128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5"/>
    <s v="25.05"/>
    <s v="25.05"/>
    <n v="348389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5"/>
    <s v="25.05"/>
    <s v="25.05"/>
    <n v="12374"/>
  </r>
  <r>
    <s v="케이블"/>
    <s v="ADEX"/>
    <s v="멕시카나"/>
    <x v="7"/>
    <s v="서비스"/>
    <s v="음식및숙박"/>
    <s v="기타프랜차이즈점"/>
    <s v="TV"/>
    <s v="케이블"/>
    <s v="Mnet"/>
    <s v="-"/>
    <s v="25"/>
    <s v="04"/>
    <s v="25.04"/>
    <s v="25.04"/>
    <n v="14607"/>
  </r>
  <r>
    <s v="케이블"/>
    <s v="ADEX"/>
    <s v="웰빙푸드"/>
    <x v="3"/>
    <s v="서비스"/>
    <s v="음식및숙박"/>
    <s v="기타프랜차이즈점"/>
    <s v="TV"/>
    <s v="케이블"/>
    <s v="MX"/>
    <s v="-"/>
    <s v="25"/>
    <s v="04"/>
    <s v="25.04"/>
    <s v="25.04"/>
    <n v="6439"/>
  </r>
  <r>
    <s v="케이블"/>
    <s v="ADEX"/>
    <s v="웰빙푸드"/>
    <x v="3"/>
    <s v="서비스"/>
    <s v="음식및숙박"/>
    <s v="기타프랜차이즈점"/>
    <s v="TV"/>
    <s v="케이블"/>
    <s v="채널에버"/>
    <s v="-"/>
    <s v="25"/>
    <s v="04"/>
    <s v="25.04"/>
    <s v="25.04"/>
    <n v="1931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4"/>
    <s v="25.04"/>
    <s v="25.04"/>
    <n v="83178"/>
  </r>
  <r>
    <s v="디지털 영상"/>
    <s v="ADEX"/>
    <s v="노상치킨"/>
    <x v="9"/>
    <s v="서비스"/>
    <s v="음식및숙박"/>
    <s v="기타프랜차이즈점"/>
    <s v="디지털"/>
    <s v="디지털동영상"/>
    <s v="Tving"/>
    <s v="-"/>
    <s v="25"/>
    <s v="04"/>
    <s v="25.04"/>
    <s v="25.04"/>
    <n v="157"/>
  </r>
  <r>
    <s v="디지털 영상"/>
    <s v="ADEX"/>
    <s v="멕시카나"/>
    <x v="7"/>
    <s v="서비스"/>
    <s v="음식및숙박"/>
    <s v="기타프랜차이즈점"/>
    <s v="디지털"/>
    <s v="디지털동영상"/>
    <s v="Tving"/>
    <s v="-"/>
    <s v="25"/>
    <s v="04"/>
    <s v="25.04"/>
    <s v="25.04"/>
    <n v="2807"/>
  </r>
  <r>
    <s v="디지털 영상"/>
    <s v="ADEX"/>
    <s v="코리아델로스"/>
    <x v="4"/>
    <s v="서비스"/>
    <s v="음식및숙박"/>
    <s v="기타프랜차이즈점"/>
    <s v="디지털"/>
    <s v="디지털동영상"/>
    <s v="네이버"/>
    <s v="-"/>
    <s v="25"/>
    <s v="04"/>
    <s v="25.04"/>
    <s v="25.04"/>
    <n v="1994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4"/>
    <s v="25.04"/>
    <s v="25.04"/>
    <n v="1986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4"/>
    <s v="25.04"/>
    <s v="25.04"/>
    <n v="1116"/>
  </r>
  <r>
    <s v="디지털 영상"/>
    <s v="ADEX"/>
    <s v="교촌F&amp;B"/>
    <x v="6"/>
    <s v="서비스"/>
    <s v="음식및숙박"/>
    <s v="기타프랜차이즈점"/>
    <s v="디지털"/>
    <s v="디지털동영상"/>
    <s v="Tving"/>
    <s v="-"/>
    <s v="25"/>
    <s v="04"/>
    <s v="25.04"/>
    <s v="25.04"/>
    <n v="2785"/>
  </r>
  <r>
    <s v="라디오"/>
    <s v="ADEX"/>
    <s v="웰빙푸드"/>
    <x v="3"/>
    <s v="서비스"/>
    <s v="음식및숙박"/>
    <s v="기타프랜차이즈점"/>
    <s v="라디오"/>
    <s v="라디오"/>
    <s v="CBS-RD"/>
    <s v="-"/>
    <s v="25"/>
    <s v="04"/>
    <s v="25.04"/>
    <s v="25.04"/>
    <n v="16834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4"/>
    <s v="25.04"/>
    <s v="25.04"/>
    <n v="84000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04"/>
    <s v="25.04"/>
    <s v="25.04"/>
    <n v="2000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4"/>
    <s v="25.04"/>
    <s v="25.04"/>
    <n v="73579"/>
  </r>
  <r>
    <s v="케이블"/>
    <s v="ADEX"/>
    <s v="멕시카나"/>
    <x v="7"/>
    <s v="서비스"/>
    <s v="음식및숙박"/>
    <s v="기타프랜차이즈점"/>
    <s v="TV"/>
    <s v="케이블"/>
    <s v="OCNMovies"/>
    <s v="-"/>
    <s v="25"/>
    <s v="04"/>
    <s v="25.04"/>
    <s v="25.04"/>
    <n v="41955"/>
  </r>
  <r>
    <s v="케이블"/>
    <s v="ADEX"/>
    <s v="멕시카나"/>
    <x v="7"/>
    <s v="서비스"/>
    <s v="음식및숙박"/>
    <s v="기타프랜차이즈점"/>
    <s v="TV"/>
    <s v="케이블"/>
    <s v="ENADRAMA"/>
    <s v="-"/>
    <s v="25"/>
    <s v="04"/>
    <s v="25.04"/>
    <s v="25.04"/>
    <n v="28000"/>
  </r>
  <r>
    <s v="케이블"/>
    <s v="ADEX"/>
    <s v="멕시카나"/>
    <x v="7"/>
    <s v="서비스"/>
    <s v="음식및숙박"/>
    <s v="기타프랜차이즈점"/>
    <s v="TV"/>
    <s v="케이블"/>
    <s v="ONT"/>
    <s v="-"/>
    <s v="25"/>
    <s v="04"/>
    <s v="25.04"/>
    <s v="25.04"/>
    <n v="4929"/>
  </r>
  <r>
    <s v="케이블"/>
    <s v="ADEX"/>
    <s v="멕시카나"/>
    <x v="7"/>
    <s v="서비스"/>
    <s v="음식및숙박"/>
    <s v="기타프랜차이즈점"/>
    <s v="TV"/>
    <s v="케이블"/>
    <s v="MBCM"/>
    <s v="-"/>
    <s v="25"/>
    <s v="04"/>
    <s v="25.04"/>
    <s v="25.04"/>
    <n v="3580"/>
  </r>
  <r>
    <s v="케이블"/>
    <s v="ADEX"/>
    <s v="멕시카나"/>
    <x v="7"/>
    <s v="서비스"/>
    <s v="음식및숙박"/>
    <s v="기타프랜차이즈점"/>
    <s v="TV"/>
    <s v="케이블"/>
    <s v="SkySports"/>
    <s v="-"/>
    <s v="25"/>
    <s v="04"/>
    <s v="25.04"/>
    <s v="25.04"/>
    <n v="9486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4"/>
    <s v="25.04"/>
    <s v="25.04"/>
    <n v="13500"/>
  </r>
  <r>
    <s v="케이블"/>
    <s v="ADEX"/>
    <s v="웰빙푸드"/>
    <x v="3"/>
    <s v="서비스"/>
    <s v="음식및숙박"/>
    <s v="기타프랜차이즈점"/>
    <s v="TV"/>
    <s v="케이블"/>
    <s v="E채널"/>
    <s v="-"/>
    <s v="25"/>
    <s v="04"/>
    <s v="25.04"/>
    <s v="25.04"/>
    <n v="33878"/>
  </r>
  <r>
    <s v="케이블"/>
    <s v="ADEX"/>
    <s v="웰빙푸드"/>
    <x v="3"/>
    <s v="서비스"/>
    <s v="음식및숙박"/>
    <s v="기타프랜차이즈점"/>
    <s v="TV"/>
    <s v="케이블"/>
    <s v="tvNSHOW"/>
    <s v="-"/>
    <s v="25"/>
    <s v="04"/>
    <s v="25.04"/>
    <s v="25.04"/>
    <n v="32147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04"/>
    <s v="25.04"/>
    <s v="25.04"/>
    <n v="173750"/>
  </r>
  <r>
    <s v="케이블"/>
    <s v="ADEX"/>
    <s v="웰빙푸드"/>
    <x v="3"/>
    <s v="서비스"/>
    <s v="음식및숙박"/>
    <s v="기타프랜차이즈점"/>
    <s v="TV"/>
    <s v="케이블"/>
    <s v="ENA"/>
    <s v="-"/>
    <s v="25"/>
    <s v="04"/>
    <s v="25.04"/>
    <s v="25.04"/>
    <n v="34676"/>
  </r>
  <r>
    <s v="케이블"/>
    <s v="ADEX"/>
    <s v="웰빙푸드"/>
    <x v="3"/>
    <s v="서비스"/>
    <s v="음식및숙박"/>
    <s v="기타프랜차이즈점"/>
    <s v="TV"/>
    <s v="케이블"/>
    <s v="SPOTVPrime2"/>
    <s v="-"/>
    <s v="25"/>
    <s v="04"/>
    <s v="25.04"/>
    <s v="25.04"/>
    <n v="3014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4"/>
    <s v="25.04"/>
    <s v="25.04"/>
    <n v="31008"/>
  </r>
  <r>
    <s v="잡지"/>
    <s v="ADEX"/>
    <s v="제너시스비비큐"/>
    <x v="10"/>
    <s v="서비스"/>
    <s v="음식및숙박"/>
    <s v="기타프랜차이즈점"/>
    <s v="인쇄"/>
    <s v="잡지"/>
    <s v="시사인"/>
    <s v="-"/>
    <s v="25"/>
    <s v="04"/>
    <s v="25.04"/>
    <s v="25.04"/>
    <n v="3500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4"/>
    <s v="25.04"/>
    <s v="25.04"/>
    <n v="37051"/>
  </r>
  <r>
    <s v="디지털 영상"/>
    <s v="ADEX"/>
    <s v="코리아델로스"/>
    <x v="4"/>
    <s v="서비스"/>
    <s v="음식및숙박"/>
    <s v="기타프랜차이즈점"/>
    <s v="디지털"/>
    <s v="디지털동영상"/>
    <s v="YouTube"/>
    <s v="-"/>
    <s v="25"/>
    <s v="04"/>
    <s v="25.04"/>
    <s v="25.04"/>
    <n v="1373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4"/>
    <s v="25.04"/>
    <s v="25.04"/>
    <n v="52039"/>
  </r>
  <r>
    <s v="케이블"/>
    <s v="ADEX"/>
    <s v="멕시카나"/>
    <x v="7"/>
    <s v="서비스"/>
    <s v="음식및숙박"/>
    <s v="기타프랜차이즈점"/>
    <s v="TV"/>
    <s v="케이블"/>
    <s v="OCN"/>
    <s v="-"/>
    <s v="25"/>
    <s v="04"/>
    <s v="25.04"/>
    <s v="25.04"/>
    <n v="55452"/>
  </r>
  <r>
    <s v="케이블"/>
    <s v="ADEX"/>
    <s v="멕시카나"/>
    <x v="7"/>
    <s v="서비스"/>
    <s v="음식및숙박"/>
    <s v="기타프랜차이즈점"/>
    <s v="TV"/>
    <s v="케이블"/>
    <s v="tvN"/>
    <s v="-"/>
    <s v="25"/>
    <s v="04"/>
    <s v="25.04"/>
    <s v="25.04"/>
    <n v="224167"/>
  </r>
  <r>
    <s v="케이블"/>
    <s v="ADEX"/>
    <s v="멕시카나"/>
    <x v="7"/>
    <s v="서비스"/>
    <s v="음식및숙박"/>
    <s v="기타프랜차이즈점"/>
    <s v="TV"/>
    <s v="케이블"/>
    <s v="SBSfunE"/>
    <s v="-"/>
    <s v="25"/>
    <s v="04"/>
    <s v="25.04"/>
    <s v="25.04"/>
    <n v="7895"/>
  </r>
  <r>
    <s v="케이블"/>
    <s v="ADEX"/>
    <s v="멕시카나"/>
    <x v="7"/>
    <s v="서비스"/>
    <s v="음식및숙박"/>
    <s v="기타프랜차이즈점"/>
    <s v="TV"/>
    <s v="케이블"/>
    <s v="OLIFE"/>
    <s v="-"/>
    <s v="25"/>
    <s v="04"/>
    <s v="25.04"/>
    <s v="25.04"/>
    <n v="3182"/>
  </r>
  <r>
    <s v="케이블"/>
    <s v="ADEX"/>
    <s v="멕시카나"/>
    <x v="7"/>
    <s v="서비스"/>
    <s v="음식및숙박"/>
    <s v="기타프랜차이즈점"/>
    <s v="TV"/>
    <s v="케이블"/>
    <s v="CHING"/>
    <s v="-"/>
    <s v="25"/>
    <s v="04"/>
    <s v="25.04"/>
    <s v="25.04"/>
    <n v="5494"/>
  </r>
  <r>
    <s v="케이블"/>
    <s v="ADEX"/>
    <s v="멕시카나"/>
    <x v="7"/>
    <s v="서비스"/>
    <s v="음식및숙박"/>
    <s v="기타프랜차이즈점"/>
    <s v="TV"/>
    <s v="케이블"/>
    <s v="ENA"/>
    <s v="-"/>
    <s v="25"/>
    <s v="04"/>
    <s v="25.04"/>
    <s v="25.04"/>
    <n v="130081"/>
  </r>
  <r>
    <s v="케이블"/>
    <s v="ADEX"/>
    <s v="웰빙푸드"/>
    <x v="3"/>
    <s v="서비스"/>
    <s v="음식및숙박"/>
    <s v="기타프랜차이즈점"/>
    <s v="TV"/>
    <s v="케이블"/>
    <s v="JTBC2"/>
    <s v="-"/>
    <s v="25"/>
    <s v="04"/>
    <s v="25.04"/>
    <s v="25.04"/>
    <n v="6359"/>
  </r>
  <r>
    <s v="케이블"/>
    <s v="ADEX"/>
    <s v="웰빙푸드"/>
    <x v="3"/>
    <s v="서비스"/>
    <s v="음식및숙박"/>
    <s v="기타프랜차이즈점"/>
    <s v="TV"/>
    <s v="케이블"/>
    <s v="채널나우"/>
    <s v="-"/>
    <s v="25"/>
    <s v="04"/>
    <s v="25.04"/>
    <s v="25.04"/>
    <n v="11857"/>
  </r>
  <r>
    <s v="케이블"/>
    <s v="ADEX"/>
    <s v="웰빙푸드"/>
    <x v="3"/>
    <s v="서비스"/>
    <s v="음식및숙박"/>
    <s v="기타프랜차이즈점"/>
    <s v="TV"/>
    <s v="케이블"/>
    <s v="ENADRAMA"/>
    <s v="-"/>
    <s v="25"/>
    <s v="04"/>
    <s v="25.04"/>
    <s v="25.04"/>
    <n v="6288"/>
  </r>
  <r>
    <s v="케이블"/>
    <s v="ADEX"/>
    <s v="웰빙푸드"/>
    <x v="3"/>
    <s v="서비스"/>
    <s v="음식및숙박"/>
    <s v="기타프랜차이즈점"/>
    <s v="TV"/>
    <s v="케이블"/>
    <s v="ELIKE"/>
    <s v="-"/>
    <s v="25"/>
    <s v="04"/>
    <s v="25.04"/>
    <s v="25.04"/>
    <n v="2674"/>
  </r>
  <r>
    <s v="케이블"/>
    <s v="ADEX"/>
    <s v="웰빙푸드"/>
    <x v="3"/>
    <s v="서비스"/>
    <s v="음식및숙박"/>
    <s v="기타프랜차이즈점"/>
    <s v="TV"/>
    <s v="케이블"/>
    <s v="CHview"/>
    <s v="-"/>
    <s v="25"/>
    <s v="04"/>
    <s v="25.04"/>
    <s v="25.04"/>
    <n v="6046"/>
  </r>
  <r>
    <s v="케이블"/>
    <s v="ADEX"/>
    <s v="웰빙푸드"/>
    <x v="3"/>
    <s v="서비스"/>
    <s v="음식및숙박"/>
    <s v="기타프랜차이즈점"/>
    <s v="TV"/>
    <s v="케이블"/>
    <s v="cineF"/>
    <s v="-"/>
    <s v="25"/>
    <s v="04"/>
    <s v="25.04"/>
    <s v="25.04"/>
    <n v="2327"/>
  </r>
  <r>
    <s v="케이블"/>
    <s v="ADEX"/>
    <s v="웰빙푸드"/>
    <x v="3"/>
    <s v="서비스"/>
    <s v="음식및숙박"/>
    <s v="기타프랜차이즈점"/>
    <s v="TV"/>
    <s v="케이블"/>
    <s v="SkySports"/>
    <s v="-"/>
    <s v="25"/>
    <s v="04"/>
    <s v="25.04"/>
    <s v="25.04"/>
    <n v="7550"/>
  </r>
  <r>
    <s v="케이블"/>
    <s v="ADEX"/>
    <s v="웰빙푸드"/>
    <x v="3"/>
    <s v="서비스"/>
    <s v="음식및숙박"/>
    <s v="기타프랜차이즈점"/>
    <s v="TV"/>
    <s v="케이블"/>
    <s v="SPOTVPrime"/>
    <s v="-"/>
    <s v="25"/>
    <s v="04"/>
    <s v="25.04"/>
    <s v="25.04"/>
    <n v="22338"/>
  </r>
  <r>
    <s v="케이블"/>
    <s v="ADEX"/>
    <s v="웰빙푸드"/>
    <x v="3"/>
    <s v="서비스"/>
    <s v="음식및숙박"/>
    <s v="기타프랜차이즈점"/>
    <s v="TV"/>
    <s v="케이블"/>
    <s v="SPOTVPrime+"/>
    <s v="-"/>
    <s v="25"/>
    <s v="04"/>
    <s v="25.04"/>
    <s v="25.04"/>
    <n v="10924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4"/>
    <s v="25.04"/>
    <s v="25.04"/>
    <n v="32582"/>
  </r>
  <r>
    <s v="종편"/>
    <s v="ADEX"/>
    <s v="웰빙푸드"/>
    <x v="3"/>
    <s v="서비스"/>
    <s v="음식및숙박"/>
    <s v="기타프랜차이즈점"/>
    <s v="TV"/>
    <s v="종편"/>
    <s v="TVCHOSUN"/>
    <s v="-"/>
    <s v="25"/>
    <s v="04"/>
    <s v="25.04"/>
    <s v="25.04"/>
    <n v="97476"/>
  </r>
  <r>
    <s v="디지털 영상"/>
    <s v="ADEX"/>
    <s v="멕시카나"/>
    <x v="7"/>
    <s v="서비스"/>
    <s v="음식및숙박"/>
    <s v="기타프랜차이즈점"/>
    <s v="디지털"/>
    <s v="디지털동영상"/>
    <s v="네이버"/>
    <s v="-"/>
    <s v="25"/>
    <s v="04"/>
    <s v="25.04"/>
    <s v="25.04"/>
    <n v="3355"/>
  </r>
  <r>
    <s v="디지털 영상"/>
    <s v="ADEX"/>
    <s v="제너시스비비큐"/>
    <x v="10"/>
    <s v="서비스"/>
    <s v="음식및숙박"/>
    <s v="기타프랜차이즈점"/>
    <s v="디지털"/>
    <s v="디지털동영상"/>
    <s v="네이버"/>
    <s v="-"/>
    <s v="25"/>
    <s v="04"/>
    <s v="25.04"/>
    <s v="25.04"/>
    <n v="344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4"/>
    <s v="25.04"/>
    <s v="25.04"/>
    <n v="2405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4"/>
    <s v="25.04"/>
    <s v="25.04"/>
    <n v="29850"/>
  </r>
  <r>
    <s v="디지털 영상"/>
    <s v="ADEX"/>
    <s v="코리아델로스"/>
    <x v="4"/>
    <s v="서비스"/>
    <s v="음식및숙박"/>
    <s v="기타프랜차이즈점"/>
    <s v="디지털"/>
    <s v="디지털동영상"/>
    <s v="Tving"/>
    <s v="-"/>
    <s v="25"/>
    <s v="04"/>
    <s v="25.04"/>
    <s v="25.04"/>
    <n v="89"/>
  </r>
  <r>
    <s v="디지털 영상"/>
    <s v="ADEX"/>
    <s v="웰빙푸드"/>
    <x v="3"/>
    <s v="서비스"/>
    <s v="음식및숙박"/>
    <s v="기타프랜차이즈점"/>
    <s v="디지털"/>
    <s v="디지털동영상"/>
    <s v="Afreecatv"/>
    <s v="-"/>
    <s v="25"/>
    <s v="04"/>
    <s v="25.04"/>
    <s v="25.04"/>
    <n v="184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4"/>
    <s v="25.04"/>
    <s v="25.04"/>
    <n v="2481"/>
  </r>
  <r>
    <s v="라디오"/>
    <s v="ADEX"/>
    <s v="장스푸드"/>
    <x v="2"/>
    <s v="서비스"/>
    <s v="음식및숙박"/>
    <s v="기타프랜차이즈점"/>
    <s v="라디오"/>
    <s v="라디오"/>
    <s v="BBS-FM"/>
    <s v="-"/>
    <s v="25"/>
    <s v="04"/>
    <s v="25.04"/>
    <s v="25.04"/>
    <n v="31094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4"/>
    <s v="25.04"/>
    <s v="25.04"/>
    <n v="11467"/>
  </r>
  <r>
    <s v="케이블"/>
    <s v="ADEX"/>
    <s v="멕시카나"/>
    <x v="7"/>
    <s v="서비스"/>
    <s v="음식및숙박"/>
    <s v="기타프랜차이즈점"/>
    <s v="TV"/>
    <s v="케이블"/>
    <s v="MBC드라마넷"/>
    <s v="-"/>
    <s v="25"/>
    <s v="04"/>
    <s v="25.04"/>
    <s v="25.04"/>
    <n v="19733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4"/>
    <s v="25.04"/>
    <s v="25.04"/>
    <n v="64819"/>
  </r>
  <r>
    <s v="케이블"/>
    <s v="ADEX"/>
    <s v="웰빙푸드"/>
    <x v="3"/>
    <s v="서비스"/>
    <s v="음식및숙박"/>
    <s v="기타프랜차이즈점"/>
    <s v="TV"/>
    <s v="케이블"/>
    <s v="tvNSPORTS"/>
    <s v="-"/>
    <s v="25"/>
    <s v="04"/>
    <s v="25.04"/>
    <s v="25.04"/>
    <n v="37365"/>
  </r>
  <r>
    <s v="케이블"/>
    <s v="ADEX"/>
    <s v="멕시카나"/>
    <x v="7"/>
    <s v="서비스"/>
    <s v="음식및숙박"/>
    <s v="기타프랜차이즈점"/>
    <s v="TV"/>
    <s v="케이블"/>
    <s v="MBCevery1"/>
    <s v="-"/>
    <s v="25"/>
    <s v="04"/>
    <s v="25.04"/>
    <s v="25.04"/>
    <n v="48071"/>
  </r>
  <r>
    <s v="케이블"/>
    <s v="ADEX"/>
    <s v="멕시카나"/>
    <x v="7"/>
    <s v="서비스"/>
    <s v="음식및숙박"/>
    <s v="기타프랜차이즈점"/>
    <s v="TV"/>
    <s v="케이블"/>
    <s v="ENASTORY"/>
    <s v="-"/>
    <s v="25"/>
    <s v="04"/>
    <s v="25.04"/>
    <s v="25.04"/>
    <n v="12702"/>
  </r>
  <r>
    <s v="케이블"/>
    <s v="ADEX"/>
    <s v="멕시카나"/>
    <x v="7"/>
    <s v="서비스"/>
    <s v="음식및숙박"/>
    <s v="기타프랜차이즈점"/>
    <s v="TV"/>
    <s v="케이블"/>
    <s v="헬스메디TV"/>
    <s v="-"/>
    <s v="25"/>
    <s v="04"/>
    <s v="25.04"/>
    <s v="25.04"/>
    <n v="3056"/>
  </r>
  <r>
    <s v="케이블"/>
    <s v="ADEX"/>
    <s v="멕시카나"/>
    <x v="7"/>
    <s v="서비스"/>
    <s v="음식및숙박"/>
    <s v="기타프랜차이즈점"/>
    <s v="TV"/>
    <s v="케이블"/>
    <s v="SBSLife"/>
    <s v="-"/>
    <s v="25"/>
    <s v="04"/>
    <s v="25.04"/>
    <s v="25.04"/>
    <n v="1065"/>
  </r>
  <r>
    <s v="케이블"/>
    <s v="ADEX"/>
    <s v="웰빙푸드"/>
    <x v="3"/>
    <s v="서비스"/>
    <s v="음식및숙박"/>
    <s v="기타프랜차이즈점"/>
    <s v="TV"/>
    <s v="케이블"/>
    <s v="MTN머니투데이방송"/>
    <s v="-"/>
    <s v="25"/>
    <s v="04"/>
    <s v="25.04"/>
    <s v="25.04"/>
    <n v="215750"/>
  </r>
  <r>
    <s v="케이블"/>
    <s v="ADEX"/>
    <s v="멕시카나"/>
    <x v="7"/>
    <s v="서비스"/>
    <s v="음식및숙박"/>
    <s v="기타프랜차이즈점"/>
    <s v="TV"/>
    <s v="케이블"/>
    <s v="채널S"/>
    <s v="-"/>
    <s v="25"/>
    <s v="04"/>
    <s v="25.04"/>
    <s v="25.04"/>
    <n v="27857"/>
  </r>
  <r>
    <s v="케이블"/>
    <s v="ADEX"/>
    <s v="웰빙푸드"/>
    <x v="3"/>
    <s v="서비스"/>
    <s v="음식및숙박"/>
    <s v="기타프랜차이즈점"/>
    <s v="TV"/>
    <s v="케이블"/>
    <s v="SBSPlus"/>
    <s v="-"/>
    <s v="25"/>
    <s v="04"/>
    <s v="25.04"/>
    <s v="25.04"/>
    <n v="28750"/>
  </r>
  <r>
    <s v="케이블"/>
    <s v="ADEX"/>
    <s v="웰빙푸드"/>
    <x v="3"/>
    <s v="서비스"/>
    <s v="음식및숙박"/>
    <s v="기타프랜차이즈점"/>
    <s v="TV"/>
    <s v="케이블"/>
    <s v="ENAPLAY"/>
    <s v="-"/>
    <s v="25"/>
    <s v="04"/>
    <s v="25.04"/>
    <s v="25.04"/>
    <n v="8000"/>
  </r>
  <r>
    <s v="케이블"/>
    <s v="ADEX"/>
    <s v="웰빙푸드"/>
    <x v="3"/>
    <s v="서비스"/>
    <s v="음식및숙박"/>
    <s v="기타프랜차이즈점"/>
    <s v="TV"/>
    <s v="케이블"/>
    <s v="tvNSTORY"/>
    <s v="-"/>
    <s v="25"/>
    <s v="04"/>
    <s v="25.04"/>
    <s v="25.04"/>
    <n v="24987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4"/>
    <s v="25.04"/>
    <s v="25.04"/>
    <n v="123036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4"/>
    <s v="25.04"/>
    <s v="25.04"/>
    <n v="15215"/>
  </r>
  <r>
    <s v="케이블"/>
    <s v="ADEX"/>
    <s v="멕시카나"/>
    <x v="7"/>
    <s v="서비스"/>
    <s v="음식및숙박"/>
    <s v="기타프랜차이즈점"/>
    <s v="TV"/>
    <s v="케이블"/>
    <s v="ENAPLAY"/>
    <s v="-"/>
    <s v="25"/>
    <s v="04"/>
    <s v="25.04"/>
    <s v="25.04"/>
    <n v="21957"/>
  </r>
  <r>
    <s v="케이블"/>
    <s v="ADEX"/>
    <s v="멕시카나"/>
    <x v="7"/>
    <s v="서비스"/>
    <s v="음식및숙박"/>
    <s v="기타프랜차이즈점"/>
    <s v="TV"/>
    <s v="케이블"/>
    <s v="ONCE"/>
    <s v="-"/>
    <s v="25"/>
    <s v="04"/>
    <s v="25.04"/>
    <s v="25.04"/>
    <n v="1556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4"/>
    <s v="25.04"/>
    <s v="25.04"/>
    <n v="39939"/>
  </r>
  <r>
    <s v="케이블"/>
    <s v="ADEX"/>
    <s v="코리아델로스"/>
    <x v="4"/>
    <s v="서비스"/>
    <s v="음식및숙박"/>
    <s v="기타프랜차이즈점"/>
    <s v="TV"/>
    <s v="케이블"/>
    <s v="JTBC2"/>
    <s v="-"/>
    <s v="25"/>
    <s v="04"/>
    <s v="25.04"/>
    <s v="25.04"/>
    <n v="3828"/>
  </r>
  <r>
    <s v="케이블"/>
    <s v="ADEX"/>
    <s v="코리아델로스"/>
    <x v="4"/>
    <s v="서비스"/>
    <s v="음식및숙박"/>
    <s v="기타프랜차이즈점"/>
    <s v="TV"/>
    <s v="케이블"/>
    <s v="JTBC4"/>
    <s v="-"/>
    <s v="25"/>
    <s v="04"/>
    <s v="25.04"/>
    <s v="25.04"/>
    <n v="10576"/>
  </r>
  <r>
    <s v="종편"/>
    <s v="ADEX"/>
    <s v="코리아델로스"/>
    <x v="4"/>
    <s v="서비스"/>
    <s v="음식및숙박"/>
    <s v="기타프랜차이즈점"/>
    <s v="TV"/>
    <s v="종편"/>
    <s v="TVCHOSUN"/>
    <s v="-"/>
    <s v="25"/>
    <s v="04"/>
    <s v="25.04"/>
    <s v="25.04"/>
    <n v="97643"/>
  </r>
  <r>
    <s v="케이블"/>
    <s v="ADEX"/>
    <s v="웰빙푸드"/>
    <x v="3"/>
    <s v="서비스"/>
    <s v="음식및숙박"/>
    <s v="기타프랜차이즈점"/>
    <s v="TV"/>
    <s v="케이블"/>
    <s v="채널S플러스"/>
    <s v="-"/>
    <s v="25"/>
    <s v="04"/>
    <s v="25.04"/>
    <s v="25.04"/>
    <n v="556"/>
  </r>
  <r>
    <s v="케이블"/>
    <s v="ADEX"/>
    <s v="웰빙푸드"/>
    <x v="3"/>
    <s v="서비스"/>
    <s v="음식및숙박"/>
    <s v="기타프랜차이즈점"/>
    <s v="TV"/>
    <s v="케이블"/>
    <s v="MBCevery1"/>
    <s v="-"/>
    <s v="25"/>
    <s v="04"/>
    <s v="25.04"/>
    <s v="25.04"/>
    <n v="30286"/>
  </r>
  <r>
    <s v="케이블"/>
    <s v="ADEX"/>
    <s v="웰빙푸드"/>
    <x v="3"/>
    <s v="서비스"/>
    <s v="음식및숙박"/>
    <s v="기타프랜차이즈점"/>
    <s v="TV"/>
    <s v="케이블"/>
    <s v="채널S"/>
    <s v="-"/>
    <s v="25"/>
    <s v="04"/>
    <s v="25.04"/>
    <s v="25.04"/>
    <n v="6643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4"/>
    <s v="25.04"/>
    <s v="25.04"/>
    <n v="1881"/>
  </r>
  <r>
    <s v="케이블"/>
    <s v="ADEX"/>
    <s v="웰빙푸드"/>
    <x v="3"/>
    <s v="서비스"/>
    <s v="음식및숙박"/>
    <s v="기타프랜차이즈점"/>
    <s v="TV"/>
    <s v="케이블"/>
    <s v="KBSJOY"/>
    <s v="-"/>
    <s v="25"/>
    <s v="04"/>
    <s v="25.04"/>
    <s v="25.04"/>
    <n v="45442"/>
  </r>
  <r>
    <s v="케이블"/>
    <s v="ADEX"/>
    <s v="웰빙푸드"/>
    <x v="3"/>
    <s v="서비스"/>
    <s v="음식및숙박"/>
    <s v="기타프랜차이즈점"/>
    <s v="TV"/>
    <s v="케이블"/>
    <s v="MBCSPORTS+"/>
    <s v="-"/>
    <s v="25"/>
    <s v="04"/>
    <s v="25.04"/>
    <s v="25.04"/>
    <n v="58261"/>
  </r>
  <r>
    <s v="케이블"/>
    <s v="ADEX"/>
    <s v="멕시카나"/>
    <x v="7"/>
    <s v="서비스"/>
    <s v="음식및숙박"/>
    <s v="기타프랜차이즈점"/>
    <s v="TV"/>
    <s v="케이블"/>
    <s v="SBSPlus"/>
    <s v="-"/>
    <s v="25"/>
    <s v="04"/>
    <s v="25.04"/>
    <s v="25.04"/>
    <n v="77250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4"/>
    <s v="25.04"/>
    <s v="25.04"/>
    <n v="2901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04"/>
    <s v="25.04"/>
    <s v="25.04"/>
    <n v="17710"/>
  </r>
  <r>
    <s v="라디오"/>
    <s v="ADEX"/>
    <s v="장스푸드"/>
    <x v="2"/>
    <s v="서비스"/>
    <s v="음식및숙박"/>
    <s v="기타프랜차이즈점"/>
    <s v="라디오"/>
    <s v="라디오"/>
    <s v="ITV-FM"/>
    <s v="-"/>
    <s v="25"/>
    <s v="04"/>
    <s v="25.04"/>
    <s v="25.04"/>
    <n v="8100"/>
  </r>
  <r>
    <s v="디지털 영상"/>
    <s v="ADEX"/>
    <s v="아이더스에프앤비"/>
    <x v="0"/>
    <s v="서비스"/>
    <s v="음식및숙박"/>
    <s v="기타프랜차이즈점"/>
    <s v="디지털"/>
    <s v="디지털동영상"/>
    <s v="다음"/>
    <s v="-"/>
    <s v="25"/>
    <s v="04"/>
    <s v="25.04"/>
    <s v="25.04"/>
    <n v="70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다음"/>
    <s v="-"/>
    <s v="25"/>
    <s v="04"/>
    <s v="25.04"/>
    <s v="25.04"/>
    <n v="170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4"/>
    <s v="25.04"/>
    <s v="25.04"/>
    <n v="26498"/>
  </r>
  <r>
    <s v="케이블"/>
    <s v="ADEX"/>
    <s v="멕시카나"/>
    <x v="7"/>
    <s v="서비스"/>
    <s v="음식및숙박"/>
    <s v="기타프랜차이즈점"/>
    <s v="TV"/>
    <s v="케이블"/>
    <s v="MBCevery1"/>
    <s v="-"/>
    <s v="25"/>
    <s v="03"/>
    <s v="25.03"/>
    <s v="25.03"/>
    <n v="62714"/>
  </r>
  <r>
    <s v="라디오"/>
    <s v="ADEX"/>
    <s v="장스푸드"/>
    <x v="2"/>
    <s v="서비스"/>
    <s v="음식및숙박"/>
    <s v="기타프랜차이즈점"/>
    <s v="라디오"/>
    <s v="라디오"/>
    <s v="BBS-FM"/>
    <s v="-"/>
    <s v="25"/>
    <s v="03"/>
    <s v="25.03"/>
    <s v="25.03"/>
    <n v="17554"/>
  </r>
  <r>
    <s v="디지털 영상"/>
    <s v="ADEX"/>
    <s v="제너시스비비큐"/>
    <x v="10"/>
    <s v="서비스"/>
    <s v="음식및숙박"/>
    <s v="기타프랜차이즈점"/>
    <s v="디지털"/>
    <s v="디지털동영상"/>
    <s v="네이버"/>
    <s v="-"/>
    <s v="25"/>
    <s v="03"/>
    <s v="25.03"/>
    <s v="25.03"/>
    <n v="2233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3"/>
    <s v="25.03"/>
    <s v="25.03"/>
    <n v="1367"/>
  </r>
  <r>
    <s v="디지털 영상"/>
    <s v="ADEX"/>
    <s v="아이더스에프앤비"/>
    <x v="0"/>
    <s v="서비스"/>
    <s v="음식및숙박"/>
    <s v="기타프랜차이즈점"/>
    <s v="디지털"/>
    <s v="디지털동영상"/>
    <s v="Tving"/>
    <s v="-"/>
    <s v="25"/>
    <s v="03"/>
    <s v="25.03"/>
    <s v="25.03"/>
    <n v="1601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3"/>
    <s v="25.03"/>
    <s v="25.03"/>
    <n v="139920"/>
  </r>
  <r>
    <s v="케이블"/>
    <s v="ADEX"/>
    <s v="멕시카나"/>
    <x v="7"/>
    <s v="서비스"/>
    <s v="음식및숙박"/>
    <s v="기타프랜차이즈점"/>
    <s v="TV"/>
    <s v="케이블"/>
    <s v="Mnet"/>
    <s v="-"/>
    <s v="25"/>
    <s v="03"/>
    <s v="25.03"/>
    <s v="25.03"/>
    <n v="9768"/>
  </r>
  <r>
    <s v="케이블"/>
    <s v="ADEX"/>
    <s v="멕시카나"/>
    <x v="7"/>
    <s v="서비스"/>
    <s v="음식및숙박"/>
    <s v="기타프랜차이즈점"/>
    <s v="TV"/>
    <s v="케이블"/>
    <s v="MBC드라마넷"/>
    <s v="-"/>
    <s v="25"/>
    <s v="03"/>
    <s v="25.03"/>
    <s v="25.03"/>
    <n v="16533"/>
  </r>
  <r>
    <s v="케이블"/>
    <s v="ADEX"/>
    <s v="멕시카나"/>
    <x v="7"/>
    <s v="서비스"/>
    <s v="음식및숙박"/>
    <s v="기타프랜차이즈점"/>
    <s v="TV"/>
    <s v="케이블"/>
    <s v="MBCSPORTS+"/>
    <s v="-"/>
    <s v="25"/>
    <s v="03"/>
    <s v="25.03"/>
    <s v="25.03"/>
    <n v="26014"/>
  </r>
  <r>
    <s v="케이블"/>
    <s v="ADEX"/>
    <s v="아이더스에프앤비"/>
    <x v="0"/>
    <s v="서비스"/>
    <s v="음식및숙박"/>
    <s v="기타프랜차이즈점"/>
    <s v="TV"/>
    <s v="케이블"/>
    <s v="E채널"/>
    <s v="-"/>
    <s v="25"/>
    <s v="03"/>
    <s v="25.03"/>
    <s v="25.03"/>
    <n v="44122"/>
  </r>
  <r>
    <s v="케이블"/>
    <s v="ADEX"/>
    <s v="아이더스에프앤비"/>
    <x v="0"/>
    <s v="서비스"/>
    <s v="음식및숙박"/>
    <s v="기타프랜차이즈점"/>
    <s v="TV"/>
    <s v="케이블"/>
    <s v="tvNSHOW"/>
    <s v="-"/>
    <s v="25"/>
    <s v="03"/>
    <s v="25.03"/>
    <s v="25.03"/>
    <n v="94525"/>
  </r>
  <r>
    <s v="케이블"/>
    <s v="ADEX"/>
    <s v="아이더스에프앤비"/>
    <x v="0"/>
    <s v="서비스"/>
    <s v="음식및숙박"/>
    <s v="기타프랜차이즈점"/>
    <s v="TV"/>
    <s v="케이블"/>
    <s v="tvN"/>
    <s v="-"/>
    <s v="25"/>
    <s v="03"/>
    <s v="25.03"/>
    <s v="25.03"/>
    <n v="253472"/>
  </r>
  <r>
    <s v="케이블"/>
    <s v="ADEX"/>
    <s v="아이더스에프앤비"/>
    <x v="0"/>
    <s v="서비스"/>
    <s v="음식및숙박"/>
    <s v="기타프랜차이즈점"/>
    <s v="TV"/>
    <s v="케이블"/>
    <s v="채널에버"/>
    <s v="-"/>
    <s v="25"/>
    <s v="03"/>
    <s v="25.03"/>
    <s v="25.03"/>
    <n v="3554"/>
  </r>
  <r>
    <s v="케이블"/>
    <s v="ADEX"/>
    <s v="아이더스에프앤비"/>
    <x v="0"/>
    <s v="서비스"/>
    <s v="음식및숙박"/>
    <s v="기타프랜차이즈점"/>
    <s v="TV"/>
    <s v="케이블"/>
    <s v="SBSfunE"/>
    <s v="-"/>
    <s v="25"/>
    <s v="03"/>
    <s v="25.03"/>
    <s v="25.03"/>
    <n v="28544"/>
  </r>
  <r>
    <s v="케이블"/>
    <s v="ADEX"/>
    <s v="멕시카나"/>
    <x v="7"/>
    <s v="서비스"/>
    <s v="음식및숙박"/>
    <s v="기타프랜차이즈점"/>
    <s v="TV"/>
    <s v="케이블"/>
    <s v="SCREEN"/>
    <s v="-"/>
    <s v="25"/>
    <s v="03"/>
    <s v="25.03"/>
    <s v="25.03"/>
    <n v="2431"/>
  </r>
  <r>
    <s v="케이블"/>
    <s v="ADEX"/>
    <s v="멕시카나"/>
    <x v="7"/>
    <s v="서비스"/>
    <s v="음식및숙박"/>
    <s v="기타프랜차이즈점"/>
    <s v="TV"/>
    <s v="케이블"/>
    <s v="ENASTORY"/>
    <s v="-"/>
    <s v="25"/>
    <s v="03"/>
    <s v="25.03"/>
    <s v="25.03"/>
    <n v="2202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03"/>
    <s v="25.03"/>
    <s v="25.03"/>
    <n v="27596"/>
  </r>
  <r>
    <s v="케이블"/>
    <s v="ADEX"/>
    <s v="멕시카나"/>
    <x v="7"/>
    <s v="서비스"/>
    <s v="음식및숙박"/>
    <s v="기타프랜차이즈점"/>
    <s v="TV"/>
    <s v="케이블"/>
    <s v="헬스메디TV"/>
    <s v="-"/>
    <s v="25"/>
    <s v="03"/>
    <s v="25.03"/>
    <s v="25.03"/>
    <n v="653"/>
  </r>
  <r>
    <s v="케이블"/>
    <s v="ADEX"/>
    <s v="멕시카나"/>
    <x v="7"/>
    <s v="서비스"/>
    <s v="음식및숙박"/>
    <s v="기타프랜차이즈점"/>
    <s v="TV"/>
    <s v="케이블"/>
    <s v="SBSLife"/>
    <s v="-"/>
    <s v="25"/>
    <s v="03"/>
    <s v="25.03"/>
    <s v="25.03"/>
    <n v="3315"/>
  </r>
  <r>
    <s v="케이블"/>
    <s v="ADEX"/>
    <s v="멕시카나"/>
    <x v="7"/>
    <s v="서비스"/>
    <s v="음식및숙박"/>
    <s v="기타프랜차이즈점"/>
    <s v="TV"/>
    <s v="케이블"/>
    <s v="채널S"/>
    <s v="-"/>
    <s v="25"/>
    <s v="03"/>
    <s v="25.03"/>
    <s v="25.03"/>
    <n v="20588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3"/>
    <s v="25.03"/>
    <s v="25.03"/>
    <n v="2564"/>
  </r>
  <r>
    <s v="신문"/>
    <s v="ADEX"/>
    <s v="제너시스비비큐"/>
    <x v="10"/>
    <s v="서비스"/>
    <s v="음식및숙박"/>
    <s v="기타프랜차이즈점"/>
    <s v="인쇄"/>
    <s v="신문"/>
    <s v="매일경제"/>
    <s v="-"/>
    <s v="25"/>
    <s v="03"/>
    <s v="25.03"/>
    <s v="25.03"/>
    <n v="3122"/>
  </r>
  <r>
    <s v="지상파"/>
    <s v="ADEX"/>
    <s v="청정유통*"/>
    <x v="17"/>
    <s v="서비스"/>
    <s v="음식및숙박"/>
    <s v="기타프랜차이즈점"/>
    <s v="TV"/>
    <s v="지상파"/>
    <s v="MBC"/>
    <s v="-"/>
    <s v="25"/>
    <s v="03"/>
    <s v="25.03"/>
    <s v="25.03"/>
    <n v="9771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03"/>
    <s v="25.03"/>
    <s v="25.03"/>
    <n v="2000"/>
  </r>
  <r>
    <s v="디지털 영상"/>
    <s v="ADEX"/>
    <s v="제너시스비비큐"/>
    <x v="10"/>
    <s v="서비스"/>
    <s v="음식및숙박"/>
    <s v="기타프랜차이즈점"/>
    <s v="디지털"/>
    <s v="디지털동영상"/>
    <s v="다음"/>
    <s v="-"/>
    <s v="25"/>
    <s v="03"/>
    <s v="25.03"/>
    <s v="25.03"/>
    <n v="206"/>
  </r>
  <r>
    <s v="신문"/>
    <s v="ADEX"/>
    <s v="아이더스에프앤비"/>
    <x v="0"/>
    <s v="서비스"/>
    <s v="음식및숙박"/>
    <s v="기타프랜차이즈점"/>
    <s v="인쇄"/>
    <s v="신문"/>
    <s v="매일경제"/>
    <s v="-"/>
    <s v="25"/>
    <s v="03"/>
    <s v="25.03"/>
    <s v="25.03"/>
    <n v="3122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3"/>
    <s v="25.03"/>
    <s v="25.03"/>
    <n v="136600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3"/>
    <s v="25.03"/>
    <s v="25.03"/>
    <n v="56599"/>
  </r>
  <r>
    <s v="케이블"/>
    <s v="ADEX"/>
    <s v="아이더스에프앤비"/>
    <x v="0"/>
    <s v="서비스"/>
    <s v="음식및숙박"/>
    <s v="기타프랜차이즈점"/>
    <s v="TV"/>
    <s v="케이블"/>
    <s v="MBCevery1"/>
    <s v="-"/>
    <s v="25"/>
    <s v="03"/>
    <s v="25.03"/>
    <s v="25.03"/>
    <n v="79786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3"/>
    <s v="25.03"/>
    <s v="25.03"/>
    <n v="184634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3"/>
    <s v="25.03"/>
    <s v="25.03"/>
    <n v="2261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3"/>
    <s v="25.03"/>
    <s v="25.03"/>
    <n v="68842"/>
  </r>
  <r>
    <s v="케이블"/>
    <s v="ADEX"/>
    <s v="멕시카나"/>
    <x v="7"/>
    <s v="서비스"/>
    <s v="음식및숙박"/>
    <s v="기타프랜차이즈점"/>
    <s v="TV"/>
    <s v="케이블"/>
    <s v="MBCM"/>
    <s v="-"/>
    <s v="25"/>
    <s v="03"/>
    <s v="25.03"/>
    <s v="25.03"/>
    <n v="2250"/>
  </r>
  <r>
    <s v="케이블"/>
    <s v="ADEX"/>
    <s v="아이더스에프앤비"/>
    <x v="0"/>
    <s v="서비스"/>
    <s v="음식및숙박"/>
    <s v="기타프랜차이즈점"/>
    <s v="TV"/>
    <s v="케이블"/>
    <s v="ENASTORY"/>
    <s v="-"/>
    <s v="25"/>
    <s v="03"/>
    <s v="25.03"/>
    <s v="25.03"/>
    <n v="71"/>
  </r>
  <r>
    <s v="케이블"/>
    <s v="ADEX"/>
    <s v="아이더스에프앤비"/>
    <x v="0"/>
    <s v="서비스"/>
    <s v="음식및숙박"/>
    <s v="기타프랜차이즈점"/>
    <s v="TV"/>
    <s v="케이블"/>
    <s v="tvNDRAMA"/>
    <s v="-"/>
    <s v="25"/>
    <s v="03"/>
    <s v="25.03"/>
    <s v="25.03"/>
    <n v="57434"/>
  </r>
  <r>
    <s v="케이블"/>
    <s v="ADEX"/>
    <s v="멕시카나"/>
    <x v="7"/>
    <s v="서비스"/>
    <s v="음식및숙박"/>
    <s v="기타프랜차이즈점"/>
    <s v="TV"/>
    <s v="케이블"/>
    <s v="CHview"/>
    <s v="-"/>
    <s v="25"/>
    <s v="03"/>
    <s v="25.03"/>
    <s v="25.03"/>
    <n v="583"/>
  </r>
  <r>
    <s v="케이블"/>
    <s v="ADEX"/>
    <s v="아이더스에프앤비"/>
    <x v="0"/>
    <s v="서비스"/>
    <s v="음식및숙박"/>
    <s v="기타프랜차이즈점"/>
    <s v="TV"/>
    <s v="케이블"/>
    <s v="KBSJOY"/>
    <s v="-"/>
    <s v="25"/>
    <s v="03"/>
    <s v="25.03"/>
    <s v="25.03"/>
    <n v="94589"/>
  </r>
  <r>
    <s v="케이블"/>
    <s v="ADEX"/>
    <s v="멕시카나"/>
    <x v="7"/>
    <s v="서비스"/>
    <s v="음식및숙박"/>
    <s v="기타프랜차이즈점"/>
    <s v="TV"/>
    <s v="케이블"/>
    <s v="ELIKE"/>
    <s v="-"/>
    <s v="25"/>
    <s v="03"/>
    <s v="25.03"/>
    <s v="25.03"/>
    <n v="688"/>
  </r>
  <r>
    <s v="케이블"/>
    <s v="ADEX"/>
    <s v="멕시카나"/>
    <x v="7"/>
    <s v="서비스"/>
    <s v="음식및숙박"/>
    <s v="기타프랜차이즈점"/>
    <s v="TV"/>
    <s v="케이블"/>
    <s v="ENADRAMA"/>
    <s v="-"/>
    <s v="25"/>
    <s v="03"/>
    <s v="25.03"/>
    <s v="25.03"/>
    <n v="5596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3"/>
    <s v="25.03"/>
    <s v="25.03"/>
    <n v="1288926"/>
  </r>
  <r>
    <s v="케이블"/>
    <s v="ADEX"/>
    <s v="멕시카나"/>
    <x v="7"/>
    <s v="서비스"/>
    <s v="음식및숙박"/>
    <s v="기타프랜차이즈점"/>
    <s v="TV"/>
    <s v="케이블"/>
    <s v="SBSPlus"/>
    <s v="-"/>
    <s v="25"/>
    <s v="03"/>
    <s v="25.03"/>
    <s v="25.03"/>
    <n v="96250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3"/>
    <s v="25.03"/>
    <s v="25.03"/>
    <n v="45043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3"/>
    <s v="25.03"/>
    <s v="25.03"/>
    <n v="63603"/>
  </r>
  <r>
    <s v="케이블"/>
    <s v="ADEX"/>
    <s v="아이더스에프앤비"/>
    <x v="0"/>
    <s v="서비스"/>
    <s v="음식및숙박"/>
    <s v="기타프랜차이즈점"/>
    <s v="TV"/>
    <s v="케이블"/>
    <s v="채널나우"/>
    <s v="-"/>
    <s v="25"/>
    <s v="03"/>
    <s v="25.03"/>
    <s v="25.03"/>
    <n v="26224"/>
  </r>
  <r>
    <s v="케이블"/>
    <s v="ADEX"/>
    <s v="아이더스에프앤비"/>
    <x v="0"/>
    <s v="서비스"/>
    <s v="음식및숙박"/>
    <s v="기타프랜차이즈점"/>
    <s v="TV"/>
    <s v="케이블"/>
    <s v="JTBC2"/>
    <s v="-"/>
    <s v="25"/>
    <s v="03"/>
    <s v="25.03"/>
    <s v="25.03"/>
    <n v="39469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3"/>
    <s v="25.03"/>
    <s v="25.03"/>
    <n v="15032"/>
  </r>
  <r>
    <s v="디지털 영상"/>
    <s v="ADEX"/>
    <s v="제너시스비비큐"/>
    <x v="10"/>
    <s v="서비스"/>
    <s v="음식및숙박"/>
    <s v="기타프랜차이즈점"/>
    <s v="디지털"/>
    <s v="디지털동영상"/>
    <s v="Tving"/>
    <s v="-"/>
    <s v="25"/>
    <s v="03"/>
    <s v="25.03"/>
    <s v="25.03"/>
    <n v="4"/>
  </r>
  <r>
    <s v="케이블"/>
    <s v="ADEX"/>
    <s v="아이더스에프앤비"/>
    <x v="0"/>
    <s v="서비스"/>
    <s v="음식및숙박"/>
    <s v="기타프랜차이즈점"/>
    <s v="TV"/>
    <s v="케이블"/>
    <s v="ENADRAMA"/>
    <s v="-"/>
    <s v="25"/>
    <s v="03"/>
    <s v="25.03"/>
    <s v="25.03"/>
    <n v="2038"/>
  </r>
  <r>
    <s v="케이블"/>
    <s v="ADEX"/>
    <s v="아이더스에프앤비"/>
    <x v="0"/>
    <s v="서비스"/>
    <s v="음식및숙박"/>
    <s v="기타프랜차이즈점"/>
    <s v="TV"/>
    <s v="케이블"/>
    <s v="KBSN스포츠"/>
    <s v="-"/>
    <s v="25"/>
    <s v="03"/>
    <s v="25.03"/>
    <s v="25.03"/>
    <n v="54243"/>
  </r>
  <r>
    <s v="케이블"/>
    <s v="ADEX"/>
    <s v="아이더스에프앤비"/>
    <x v="0"/>
    <s v="서비스"/>
    <s v="음식및숙박"/>
    <s v="기타프랜차이즈점"/>
    <s v="TV"/>
    <s v="케이블"/>
    <s v="ELIKE"/>
    <s v="-"/>
    <s v="25"/>
    <s v="03"/>
    <s v="25.03"/>
    <s v="25.03"/>
    <n v="8449"/>
  </r>
  <r>
    <s v="케이블"/>
    <s v="ADEX"/>
    <s v="아이더스에프앤비"/>
    <x v="0"/>
    <s v="서비스"/>
    <s v="음식및숙박"/>
    <s v="기타프랜차이즈점"/>
    <s v="TV"/>
    <s v="케이블"/>
    <s v="CHview"/>
    <s v="-"/>
    <s v="25"/>
    <s v="03"/>
    <s v="25.03"/>
    <s v="25.03"/>
    <n v="8029"/>
  </r>
  <r>
    <s v="케이블"/>
    <s v="ADEX"/>
    <s v="아이더스에프앤비"/>
    <x v="0"/>
    <s v="서비스"/>
    <s v="음식및숙박"/>
    <s v="기타프랜차이즈점"/>
    <s v="TV"/>
    <s v="케이블"/>
    <s v="cineF"/>
    <s v="-"/>
    <s v="25"/>
    <s v="03"/>
    <s v="25.03"/>
    <s v="25.03"/>
    <n v="4055"/>
  </r>
  <r>
    <s v="케이블"/>
    <s v="ADEX"/>
    <s v="아이더스에프앤비"/>
    <x v="0"/>
    <s v="서비스"/>
    <s v="음식및숙박"/>
    <s v="기타프랜차이즈점"/>
    <s v="TV"/>
    <s v="케이블"/>
    <s v="MBCM"/>
    <s v="-"/>
    <s v="25"/>
    <s v="03"/>
    <s v="25.03"/>
    <s v="25.03"/>
    <n v="9852"/>
  </r>
  <r>
    <s v="케이블"/>
    <s v="ADEX"/>
    <s v="아이더스에프앤비"/>
    <x v="0"/>
    <s v="서비스"/>
    <s v="음식및숙박"/>
    <s v="기타프랜차이즈점"/>
    <s v="TV"/>
    <s v="케이블"/>
    <s v="SkySports"/>
    <s v="-"/>
    <s v="25"/>
    <s v="03"/>
    <s v="25.03"/>
    <s v="25.03"/>
    <n v="364"/>
  </r>
  <r>
    <s v="케이블"/>
    <s v="ADEX"/>
    <s v="아이더스에프앤비"/>
    <x v="0"/>
    <s v="서비스"/>
    <s v="음식및숙박"/>
    <s v="기타프랜차이즈점"/>
    <s v="TV"/>
    <s v="케이블"/>
    <s v="OCNMovies2"/>
    <s v="-"/>
    <s v="25"/>
    <s v="03"/>
    <s v="25.03"/>
    <s v="25.03"/>
    <n v="22696"/>
  </r>
  <r>
    <s v="케이블"/>
    <s v="ADEX"/>
    <s v="웰빙푸드"/>
    <x v="3"/>
    <s v="서비스"/>
    <s v="음식및숙박"/>
    <s v="기타프랜차이즈점"/>
    <s v="TV"/>
    <s v="케이블"/>
    <s v="SPOTV2"/>
    <s v="-"/>
    <s v="25"/>
    <s v="03"/>
    <s v="25.03"/>
    <s v="25.03"/>
    <n v="2456"/>
  </r>
  <r>
    <s v="케이블"/>
    <s v="ADEX"/>
    <s v="멕시카나"/>
    <x v="7"/>
    <s v="서비스"/>
    <s v="음식및숙박"/>
    <s v="기타프랜차이즈점"/>
    <s v="TV"/>
    <s v="케이블"/>
    <s v="ENAPLAY"/>
    <s v="-"/>
    <s v="25"/>
    <s v="03"/>
    <s v="25.03"/>
    <s v="25.03"/>
    <n v="7000"/>
  </r>
  <r>
    <s v="케이블"/>
    <s v="ADEX"/>
    <s v="멕시카나"/>
    <x v="7"/>
    <s v="서비스"/>
    <s v="음식및숙박"/>
    <s v="기타프랜차이즈점"/>
    <s v="TV"/>
    <s v="케이블"/>
    <s v="ONCE"/>
    <s v="-"/>
    <s v="25"/>
    <s v="03"/>
    <s v="25.03"/>
    <s v="25.03"/>
    <n v="651"/>
  </r>
  <r>
    <s v="케이블"/>
    <s v="ADEX"/>
    <s v="아이더스에프앤비"/>
    <x v="0"/>
    <s v="서비스"/>
    <s v="음식및숙박"/>
    <s v="기타프랜차이즈점"/>
    <s v="TV"/>
    <s v="케이블"/>
    <s v="JTBC4"/>
    <s v="-"/>
    <s v="25"/>
    <s v="03"/>
    <s v="25.03"/>
    <s v="25.03"/>
    <n v="13320"/>
  </r>
  <r>
    <s v="케이블"/>
    <s v="ADEX"/>
    <s v="멕시카나"/>
    <x v="7"/>
    <s v="서비스"/>
    <s v="음식및숙박"/>
    <s v="기타프랜차이즈점"/>
    <s v="TV"/>
    <s v="케이블"/>
    <s v="cineF"/>
    <s v="-"/>
    <s v="25"/>
    <s v="03"/>
    <s v="25.03"/>
    <s v="25.03"/>
    <n v="371"/>
  </r>
  <r>
    <s v="케이블"/>
    <s v="ADEX"/>
    <s v="장스푸드"/>
    <x v="2"/>
    <s v="서비스"/>
    <s v="음식및숙박"/>
    <s v="기타프랜차이즈점"/>
    <s v="TV"/>
    <s v="케이블"/>
    <s v="ENA"/>
    <s v="-"/>
    <s v="25"/>
    <s v="03"/>
    <s v="25.03"/>
    <s v="25.03"/>
    <n v="98757"/>
  </r>
  <r>
    <s v="케이블"/>
    <s v="ADEX"/>
    <s v="아이더스에프앤비"/>
    <x v="0"/>
    <s v="서비스"/>
    <s v="음식및숙박"/>
    <s v="기타프랜차이즈점"/>
    <s v="TV"/>
    <s v="케이블"/>
    <s v="채널S"/>
    <s v="-"/>
    <s v="25"/>
    <s v="03"/>
    <s v="25.03"/>
    <s v="25.03"/>
    <n v="12275"/>
  </r>
  <r>
    <s v="라디오"/>
    <s v="ADEX"/>
    <s v="장스푸드"/>
    <x v="2"/>
    <s v="서비스"/>
    <s v="음식및숙박"/>
    <s v="기타프랜차이즈점"/>
    <s v="라디오"/>
    <s v="라디오"/>
    <s v="ITV-FM"/>
    <s v="-"/>
    <s v="25"/>
    <s v="03"/>
    <s v="25.03"/>
    <s v="25.03"/>
    <n v="9052"/>
  </r>
  <r>
    <s v="신문"/>
    <s v="ADEX"/>
    <s v="교촌F&amp;B"/>
    <x v="6"/>
    <s v="서비스"/>
    <s v="음식및숙박"/>
    <s v="기타프랜차이즈점"/>
    <s v="인쇄"/>
    <s v="신문"/>
    <s v="매일경제"/>
    <s v="-"/>
    <s v="25"/>
    <s v="03"/>
    <s v="25.03"/>
    <s v="25.03"/>
    <n v="3122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3"/>
    <s v="25.03"/>
    <s v="25.03"/>
    <n v="13950"/>
  </r>
  <r>
    <s v="디지털 영상"/>
    <s v="ADEX"/>
    <s v="장스푸드"/>
    <x v="2"/>
    <s v="서비스"/>
    <s v="음식및숙박"/>
    <s v="기타프랜차이즈점"/>
    <s v="디지털"/>
    <s v="디지털동영상"/>
    <s v="네이버"/>
    <s v="-"/>
    <s v="25"/>
    <s v="03"/>
    <s v="25.03"/>
    <s v="25.03"/>
    <n v="3959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3"/>
    <s v="25.03"/>
    <s v="25.03"/>
    <n v="57190"/>
  </r>
  <r>
    <s v="케이블"/>
    <s v="ADEX"/>
    <s v="멕시카나"/>
    <x v="7"/>
    <s v="서비스"/>
    <s v="음식및숙박"/>
    <s v="기타프랜차이즈점"/>
    <s v="TV"/>
    <s v="케이블"/>
    <s v="OCN"/>
    <s v="-"/>
    <s v="25"/>
    <s v="03"/>
    <s v="25.03"/>
    <s v="25.03"/>
    <n v="34286"/>
  </r>
  <r>
    <s v="케이블"/>
    <s v="ADEX"/>
    <s v="아이더스에프앤비"/>
    <x v="0"/>
    <s v="서비스"/>
    <s v="음식및숙박"/>
    <s v="기타프랜차이즈점"/>
    <s v="TV"/>
    <s v="케이블"/>
    <s v="SBSM"/>
    <s v="-"/>
    <s v="25"/>
    <s v="03"/>
    <s v="25.03"/>
    <s v="25.03"/>
    <n v="37"/>
  </r>
  <r>
    <s v="케이블"/>
    <s v="ADEX"/>
    <s v="아이더스에프앤비"/>
    <x v="0"/>
    <s v="서비스"/>
    <s v="음식및숙박"/>
    <s v="기타프랜차이즈점"/>
    <s v="TV"/>
    <s v="케이블"/>
    <s v="KBS드라마"/>
    <s v="-"/>
    <s v="25"/>
    <s v="03"/>
    <s v="25.03"/>
    <s v="25.03"/>
    <n v="125937"/>
  </r>
  <r>
    <s v="케이블"/>
    <s v="ADEX"/>
    <s v="아이더스에프앤비"/>
    <x v="0"/>
    <s v="서비스"/>
    <s v="음식및숙박"/>
    <s v="기타프랜차이즈점"/>
    <s v="TV"/>
    <s v="케이블"/>
    <s v="SBSPlus"/>
    <s v="-"/>
    <s v="25"/>
    <s v="03"/>
    <s v="25.03"/>
    <s v="25.03"/>
    <n v="27687"/>
  </r>
  <r>
    <s v="케이블"/>
    <s v="ADEX"/>
    <s v="멕시카나"/>
    <x v="7"/>
    <s v="서비스"/>
    <s v="음식및숙박"/>
    <s v="기타프랜차이즈점"/>
    <s v="TV"/>
    <s v="케이블"/>
    <s v="E채널"/>
    <s v="-"/>
    <s v="25"/>
    <s v="03"/>
    <s v="25.03"/>
    <s v="25.03"/>
    <n v="18141"/>
  </r>
  <r>
    <s v="케이블"/>
    <s v="ADEX"/>
    <s v="멕시카나"/>
    <x v="7"/>
    <s v="서비스"/>
    <s v="음식및숙박"/>
    <s v="기타프랜차이즈점"/>
    <s v="TV"/>
    <s v="케이블"/>
    <s v="tvN"/>
    <s v="-"/>
    <s v="25"/>
    <s v="03"/>
    <s v="25.03"/>
    <s v="25.03"/>
    <n v="86111"/>
  </r>
  <r>
    <s v="케이블"/>
    <s v="ADEX"/>
    <s v="멕시카나"/>
    <x v="7"/>
    <s v="서비스"/>
    <s v="음식및숙박"/>
    <s v="기타프랜차이즈점"/>
    <s v="TV"/>
    <s v="케이블"/>
    <s v="MX"/>
    <s v="-"/>
    <s v="25"/>
    <s v="03"/>
    <s v="25.03"/>
    <s v="25.03"/>
    <n v="667"/>
  </r>
  <r>
    <s v="케이블"/>
    <s v="ADEX"/>
    <s v="멕시카나"/>
    <x v="7"/>
    <s v="서비스"/>
    <s v="음식및숙박"/>
    <s v="기타프랜차이즈점"/>
    <s v="TV"/>
    <s v="케이블"/>
    <s v="채널에버"/>
    <s v="-"/>
    <s v="25"/>
    <s v="03"/>
    <s v="25.03"/>
    <s v="25.03"/>
    <n v="531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03"/>
    <s v="25.03"/>
    <s v="25.03"/>
    <n v="12385"/>
  </r>
  <r>
    <s v="케이블"/>
    <s v="ADEX"/>
    <s v="멕시카나"/>
    <x v="7"/>
    <s v="서비스"/>
    <s v="음식및숙박"/>
    <s v="기타프랜차이즈점"/>
    <s v="TV"/>
    <s v="케이블"/>
    <s v="CHING"/>
    <s v="-"/>
    <s v="25"/>
    <s v="03"/>
    <s v="25.03"/>
    <s v="25.03"/>
    <n v="1456"/>
  </r>
  <r>
    <s v="케이블"/>
    <s v="ADEX"/>
    <s v="멕시카나"/>
    <x v="7"/>
    <s v="서비스"/>
    <s v="음식및숙박"/>
    <s v="기타프랜차이즈점"/>
    <s v="TV"/>
    <s v="케이블"/>
    <s v="OLIFE"/>
    <s v="-"/>
    <s v="25"/>
    <s v="03"/>
    <s v="25.03"/>
    <s v="25.03"/>
    <n v="1138"/>
  </r>
  <r>
    <s v="케이블"/>
    <s v="ADEX"/>
    <s v="멕시카나"/>
    <x v="7"/>
    <s v="서비스"/>
    <s v="음식및숙박"/>
    <s v="기타프랜차이즈점"/>
    <s v="TV"/>
    <s v="케이블"/>
    <s v="DRAMAcube"/>
    <s v="-"/>
    <s v="25"/>
    <s v="03"/>
    <s v="25.03"/>
    <s v="25.03"/>
    <n v="1777"/>
  </r>
  <r>
    <s v="케이블"/>
    <s v="ADEX"/>
    <s v="아이더스에프앤비"/>
    <x v="0"/>
    <s v="서비스"/>
    <s v="음식및숙박"/>
    <s v="기타프랜차이즈점"/>
    <s v="TV"/>
    <s v="케이블"/>
    <s v="ENA"/>
    <s v="-"/>
    <s v="25"/>
    <s v="03"/>
    <s v="25.03"/>
    <s v="25.03"/>
    <n v="22270"/>
  </r>
  <r>
    <s v="케이블"/>
    <s v="ADEX"/>
    <s v="웰빙푸드"/>
    <x v="3"/>
    <s v="서비스"/>
    <s v="음식및숙박"/>
    <s v="기타프랜차이즈점"/>
    <s v="TV"/>
    <s v="케이블"/>
    <s v="SPOTV"/>
    <s v="-"/>
    <s v="25"/>
    <s v="03"/>
    <s v="25.03"/>
    <s v="25.03"/>
    <n v="2909"/>
  </r>
  <r>
    <s v="케이블"/>
    <s v="ADEX"/>
    <s v="멕시카나"/>
    <x v="7"/>
    <s v="서비스"/>
    <s v="음식및숙박"/>
    <s v="기타프랜차이즈점"/>
    <s v="TV"/>
    <s v="케이블"/>
    <s v="ENA"/>
    <s v="-"/>
    <s v="25"/>
    <s v="03"/>
    <s v="25.03"/>
    <s v="25.03"/>
    <n v="58865"/>
  </r>
  <r>
    <s v="케이블"/>
    <s v="ADEX"/>
    <s v="아이더스에프앤비"/>
    <x v="0"/>
    <s v="서비스"/>
    <s v="음식및숙박"/>
    <s v="기타프랜차이즈점"/>
    <s v="TV"/>
    <s v="케이블"/>
    <s v="ENAPLAY"/>
    <s v="-"/>
    <s v="25"/>
    <s v="03"/>
    <s v="25.03"/>
    <s v="25.03"/>
    <n v="4000"/>
  </r>
  <r>
    <s v="케이블"/>
    <s v="ADEX"/>
    <s v="아이더스에프앤비"/>
    <x v="0"/>
    <s v="서비스"/>
    <s v="음식및숙박"/>
    <s v="기타프랜차이즈점"/>
    <s v="TV"/>
    <s v="케이블"/>
    <s v="MX"/>
    <s v="-"/>
    <s v="25"/>
    <s v="03"/>
    <s v="25.03"/>
    <s v="25.03"/>
    <n v="6667"/>
  </r>
  <r>
    <s v="케이블"/>
    <s v="ADEX"/>
    <s v="아이더스에프앤비"/>
    <x v="0"/>
    <s v="서비스"/>
    <s v="음식및숙박"/>
    <s v="기타프랜차이즈점"/>
    <s v="TV"/>
    <s v="케이블"/>
    <s v="tvNSTORY"/>
    <s v="-"/>
    <s v="25"/>
    <s v="03"/>
    <s v="25.03"/>
    <s v="25.03"/>
    <n v="87785"/>
  </r>
  <r>
    <s v="종편"/>
    <s v="ADEX"/>
    <s v="아이더스에프앤비"/>
    <x v="0"/>
    <s v="서비스"/>
    <s v="음식및숙박"/>
    <s v="기타프랜차이즈점"/>
    <s v="TV"/>
    <s v="종편"/>
    <s v="JTBC"/>
    <s v="-"/>
    <s v="25"/>
    <s v="03"/>
    <s v="25.03"/>
    <s v="25.03"/>
    <n v="276884"/>
  </r>
  <r>
    <s v="케이블"/>
    <s v="ADEX"/>
    <s v="아이더스에프앤비"/>
    <x v="0"/>
    <s v="서비스"/>
    <s v="음식및숙박"/>
    <s v="기타프랜차이즈점"/>
    <s v="TV"/>
    <s v="케이블"/>
    <s v="OCN"/>
    <s v="-"/>
    <s v="25"/>
    <s v="03"/>
    <s v="25.03"/>
    <s v="25.03"/>
    <n v="46679"/>
  </r>
  <r>
    <s v="케이블"/>
    <s v="ADEX"/>
    <s v="아이더스에프앤비"/>
    <x v="0"/>
    <s v="서비스"/>
    <s v="음식및숙박"/>
    <s v="기타프랜차이즈점"/>
    <s v="TV"/>
    <s v="케이블"/>
    <s v="MBC드라마넷"/>
    <s v="-"/>
    <s v="25"/>
    <s v="03"/>
    <s v="25.03"/>
    <s v="25.03"/>
    <n v="44000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3"/>
    <s v="25.03"/>
    <s v="25.03"/>
    <n v="4497"/>
  </r>
  <r>
    <s v="디지털 영상"/>
    <s v="ADEX"/>
    <s v="교촌F&amp;B"/>
    <x v="6"/>
    <s v="서비스"/>
    <s v="음식및숙박"/>
    <s v="기타프랜차이즈점"/>
    <s v="디지털"/>
    <s v="디지털동영상"/>
    <s v="Afreecatv"/>
    <s v="-"/>
    <s v="25"/>
    <s v="03"/>
    <s v="25.03"/>
    <s v="25.03"/>
    <n v="424"/>
  </r>
  <r>
    <s v="디지털 영상"/>
    <s v="ADEX"/>
    <s v="장스푸드"/>
    <x v="2"/>
    <s v="서비스"/>
    <s v="음식및숙박"/>
    <s v="기타프랜차이즈점"/>
    <s v="디지털"/>
    <s v="디지털동영상"/>
    <s v="Tving"/>
    <s v="-"/>
    <s v="25"/>
    <s v="03"/>
    <s v="25.03"/>
    <s v="25.03"/>
    <n v="185"/>
  </r>
  <r>
    <s v="디지털 영상"/>
    <s v="ADEX"/>
    <s v="교촌F&amp;B"/>
    <x v="6"/>
    <s v="서비스"/>
    <s v="음식및숙박"/>
    <s v="기타프랜차이즈점"/>
    <s v="디지털"/>
    <s v="디지털동영상"/>
    <s v="Tving"/>
    <s v="-"/>
    <s v="25"/>
    <s v="03"/>
    <s v="25.03"/>
    <s v="25.03"/>
    <n v="7604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3"/>
    <s v="25.03"/>
    <s v="25.03"/>
    <n v="96220"/>
  </r>
  <r>
    <s v="디지털 영상"/>
    <s v="ADEX"/>
    <s v="멕시카나"/>
    <x v="7"/>
    <s v="서비스"/>
    <s v="음식및숙박"/>
    <s v="기타프랜차이즈점"/>
    <s v="디지털"/>
    <s v="디지털동영상"/>
    <s v="YouTube"/>
    <s v="-"/>
    <s v="25"/>
    <s v="03"/>
    <s v="25.03"/>
    <s v="25.03"/>
    <n v="821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03"/>
    <s v="25.03"/>
    <s v="25.03"/>
    <n v="17155"/>
  </r>
  <r>
    <s v="지상파"/>
    <s v="ADEX"/>
    <s v="교촌F&amp;B"/>
    <x v="6"/>
    <s v="서비스"/>
    <s v="음식및숙박"/>
    <s v="기타프랜차이즈점"/>
    <s v="TV"/>
    <s v="지상파"/>
    <s v="SBS"/>
    <s v="-"/>
    <s v="25"/>
    <s v="03"/>
    <s v="25.03"/>
    <s v="25.03"/>
    <n v="60000"/>
  </r>
  <r>
    <s v="지상파"/>
    <s v="ADEX"/>
    <s v="장스푸드"/>
    <x v="2"/>
    <s v="서비스"/>
    <s v="음식및숙박"/>
    <s v="기타프랜차이즈점"/>
    <s v="TV"/>
    <s v="지상파"/>
    <s v="OBS"/>
    <s v="-"/>
    <s v="25"/>
    <s v="03"/>
    <s v="25.03"/>
    <s v="25.03"/>
    <n v="14106"/>
  </r>
  <r>
    <s v="케이블"/>
    <s v="ADEX"/>
    <s v="아이더스에프앤비"/>
    <x v="0"/>
    <s v="서비스"/>
    <s v="음식및숙박"/>
    <s v="기타프랜차이즈점"/>
    <s v="TV"/>
    <s v="케이블"/>
    <s v="Mnet"/>
    <s v="-"/>
    <s v="25"/>
    <s v="03"/>
    <s v="25.03"/>
    <s v="25.03"/>
    <n v="26446"/>
  </r>
  <r>
    <s v="케이블"/>
    <s v="ADEX"/>
    <s v="멕시카나"/>
    <x v="7"/>
    <s v="서비스"/>
    <s v="음식및숙박"/>
    <s v="기타프랜차이즈점"/>
    <s v="TV"/>
    <s v="케이블"/>
    <s v="채널나우"/>
    <s v="-"/>
    <s v="25"/>
    <s v="03"/>
    <s v="25.03"/>
    <s v="25.03"/>
    <n v="2439"/>
  </r>
  <r>
    <s v="케이블"/>
    <s v="ADEX"/>
    <s v="멕시카나"/>
    <x v="7"/>
    <s v="서비스"/>
    <s v="음식및숙박"/>
    <s v="기타프랜차이즈점"/>
    <s v="TV"/>
    <s v="케이블"/>
    <s v="ONT"/>
    <s v="-"/>
    <s v="25"/>
    <s v="03"/>
    <s v="25.03"/>
    <s v="25.03"/>
    <n v="812"/>
  </r>
  <r>
    <s v="케이블"/>
    <s v="ADEX"/>
    <s v="멕시카나"/>
    <x v="7"/>
    <s v="서비스"/>
    <s v="음식및숙박"/>
    <s v="기타프랜차이즈점"/>
    <s v="TV"/>
    <s v="케이블"/>
    <s v="SkySports"/>
    <s v="-"/>
    <s v="25"/>
    <s v="03"/>
    <s v="25.03"/>
    <s v="25.03"/>
    <n v="1286"/>
  </r>
  <r>
    <s v="케이블"/>
    <s v="ADEX"/>
    <s v="아이더스에프앤비"/>
    <x v="0"/>
    <s v="서비스"/>
    <s v="음식및숙박"/>
    <s v="기타프랜차이즈점"/>
    <s v="TV"/>
    <s v="케이블"/>
    <s v="OCNMovies"/>
    <s v="-"/>
    <s v="25"/>
    <s v="03"/>
    <s v="25.03"/>
    <s v="25.03"/>
    <n v="27295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2"/>
    <s v="25.02"/>
    <s v="25.02"/>
    <n v="58626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YouTube"/>
    <s v="-"/>
    <s v="25"/>
    <s v="02"/>
    <s v="25.02"/>
    <s v="25.02"/>
    <n v="15642"/>
  </r>
  <r>
    <s v="디지털 영상"/>
    <s v="ADEX"/>
    <s v="지엔푸드"/>
    <x v="13"/>
    <s v="서비스"/>
    <s v="음식및숙박"/>
    <s v="기타프랜차이즈점"/>
    <s v="디지털"/>
    <s v="디지털동영상"/>
    <s v="YouTube"/>
    <s v="-"/>
    <s v="25"/>
    <s v="02"/>
    <s v="25.02"/>
    <s v="25.02"/>
    <n v="9512"/>
  </r>
  <r>
    <s v="케이블"/>
    <s v="ADEX"/>
    <s v="아이더스에프앤비"/>
    <x v="0"/>
    <s v="서비스"/>
    <s v="음식및숙박"/>
    <s v="기타프랜차이즈점"/>
    <s v="TV"/>
    <s v="케이블"/>
    <s v="tvNSTORY"/>
    <s v="-"/>
    <s v="25"/>
    <s v="02"/>
    <s v="25.02"/>
    <s v="25.02"/>
    <n v="99867"/>
  </r>
  <r>
    <s v="케이블"/>
    <s v="ADEX"/>
    <s v="웰빙푸드"/>
    <x v="3"/>
    <s v="서비스"/>
    <s v="음식및숙박"/>
    <s v="기타프랜차이즈점"/>
    <s v="TV"/>
    <s v="케이블"/>
    <s v="ELIKE"/>
    <s v="-"/>
    <s v="25"/>
    <s v="02"/>
    <s v="25.02"/>
    <s v="25.02"/>
    <n v="3138"/>
  </r>
  <r>
    <s v="케이블"/>
    <s v="ADEX"/>
    <s v="멕시카나"/>
    <x v="7"/>
    <s v="서비스"/>
    <s v="음식및숙박"/>
    <s v="기타프랜차이즈점"/>
    <s v="TV"/>
    <s v="케이블"/>
    <s v="DRAMAcube"/>
    <s v="-"/>
    <s v="25"/>
    <s v="02"/>
    <s v="25.02"/>
    <s v="25.02"/>
    <n v="4308"/>
  </r>
  <r>
    <s v="케이블"/>
    <s v="ADEX"/>
    <s v="멕시카나"/>
    <x v="7"/>
    <s v="서비스"/>
    <s v="음식및숙박"/>
    <s v="기타프랜차이즈점"/>
    <s v="TV"/>
    <s v="케이블"/>
    <s v="CHING"/>
    <s v="-"/>
    <s v="25"/>
    <s v="02"/>
    <s v="25.02"/>
    <s v="25.02"/>
    <n v="684"/>
  </r>
  <r>
    <s v="케이블"/>
    <s v="ADEX"/>
    <s v="멕시카나"/>
    <x v="7"/>
    <s v="서비스"/>
    <s v="음식및숙박"/>
    <s v="기타프랜차이즈점"/>
    <s v="TV"/>
    <s v="케이블"/>
    <s v="E채널"/>
    <s v="-"/>
    <s v="25"/>
    <s v="02"/>
    <s v="25.02"/>
    <s v="25.02"/>
    <n v="10797"/>
  </r>
  <r>
    <s v="케이블"/>
    <s v="ADEX"/>
    <s v="멕시카나"/>
    <x v="7"/>
    <s v="서비스"/>
    <s v="음식및숙박"/>
    <s v="기타프랜차이즈점"/>
    <s v="TV"/>
    <s v="케이블"/>
    <s v="ENA"/>
    <s v="-"/>
    <s v="25"/>
    <s v="02"/>
    <s v="25.02"/>
    <s v="25.02"/>
    <n v="36649"/>
  </r>
  <r>
    <s v="잡지"/>
    <s v="ADEX"/>
    <s v="제너시스비비큐"/>
    <x v="10"/>
    <s v="서비스"/>
    <s v="음식및숙박"/>
    <s v="기타프랜차이즈점"/>
    <s v="인쇄"/>
    <s v="잡지"/>
    <s v="시사인"/>
    <s v="-"/>
    <s v="25"/>
    <s v="02"/>
    <s v="25.02"/>
    <s v="25.02"/>
    <n v="7000"/>
  </r>
  <r>
    <s v="종편"/>
    <s v="ADEX"/>
    <s v="아이더스에프앤비"/>
    <x v="0"/>
    <s v="서비스"/>
    <s v="음식및숙박"/>
    <s v="기타프랜차이즈점"/>
    <s v="TV"/>
    <s v="종편"/>
    <s v="JTBC"/>
    <s v="-"/>
    <s v="25"/>
    <s v="02"/>
    <s v="25.02"/>
    <s v="25.02"/>
    <n v="986286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2"/>
    <s v="25.02"/>
    <s v="25.02"/>
    <n v="12600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2"/>
    <s v="25.02"/>
    <s v="25.02"/>
    <n v="82111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2"/>
    <s v="25.02"/>
    <s v="25.02"/>
    <n v="1218"/>
  </r>
  <r>
    <s v="디지털 영상"/>
    <s v="ADEX"/>
    <s v="장스푸드"/>
    <x v="2"/>
    <s v="서비스"/>
    <s v="음식및숙박"/>
    <s v="기타프랜차이즈점"/>
    <s v="디지털"/>
    <s v="디지털동영상"/>
    <s v="네이버"/>
    <s v="-"/>
    <s v="25"/>
    <s v="02"/>
    <s v="25.02"/>
    <s v="25.02"/>
    <n v="1501"/>
  </r>
  <r>
    <s v="케이블"/>
    <s v="ADEX"/>
    <s v="아이더스에프앤비"/>
    <x v="0"/>
    <s v="서비스"/>
    <s v="음식및숙박"/>
    <s v="기타프랜차이즈점"/>
    <s v="TV"/>
    <s v="케이블"/>
    <s v="SCREEN"/>
    <s v="-"/>
    <s v="25"/>
    <s v="02"/>
    <s v="25.02"/>
    <s v="25.02"/>
    <n v="33225"/>
  </r>
  <r>
    <s v="케이블"/>
    <s v="ADEX"/>
    <s v="아이더스에프앤비"/>
    <x v="0"/>
    <s v="서비스"/>
    <s v="음식및숙박"/>
    <s v="기타프랜차이즈점"/>
    <s v="TV"/>
    <s v="케이블"/>
    <s v="SBSfunE"/>
    <s v="-"/>
    <s v="25"/>
    <s v="02"/>
    <s v="25.02"/>
    <s v="25.02"/>
    <n v="41394"/>
  </r>
  <r>
    <s v="케이블"/>
    <s v="ADEX"/>
    <s v="아이더스에프앤비"/>
    <x v="0"/>
    <s v="서비스"/>
    <s v="음식및숙박"/>
    <s v="기타프랜차이즈점"/>
    <s v="TV"/>
    <s v="케이블"/>
    <s v="채널S플러스"/>
    <s v="-"/>
    <s v="25"/>
    <s v="02"/>
    <s v="25.02"/>
    <s v="25.02"/>
    <n v="2192"/>
  </r>
  <r>
    <s v="케이블"/>
    <s v="ADEX"/>
    <s v="아이더스에프앤비"/>
    <x v="0"/>
    <s v="서비스"/>
    <s v="음식및숙박"/>
    <s v="기타프랜차이즈점"/>
    <s v="TV"/>
    <s v="케이블"/>
    <s v="tvNSHOW"/>
    <s v="-"/>
    <s v="25"/>
    <s v="02"/>
    <s v="25.02"/>
    <s v="25.02"/>
    <n v="78117"/>
  </r>
  <r>
    <s v="케이블"/>
    <s v="ADEX"/>
    <s v="아이더스에프앤비"/>
    <x v="0"/>
    <s v="서비스"/>
    <s v="음식및숙박"/>
    <s v="기타프랜차이즈점"/>
    <s v="TV"/>
    <s v="케이블"/>
    <s v="tvNDRAMA"/>
    <s v="-"/>
    <s v="25"/>
    <s v="02"/>
    <s v="25.02"/>
    <s v="25.02"/>
    <n v="36684"/>
  </r>
  <r>
    <s v="케이블"/>
    <s v="ADEX"/>
    <s v="멕시카나"/>
    <x v="7"/>
    <s v="서비스"/>
    <s v="음식및숙박"/>
    <s v="기타프랜차이즈점"/>
    <s v="TV"/>
    <s v="케이블"/>
    <s v="ENAPLAY"/>
    <s v="-"/>
    <s v="25"/>
    <s v="02"/>
    <s v="25.02"/>
    <s v="25.02"/>
    <n v="2404"/>
  </r>
  <r>
    <s v="케이블"/>
    <s v="ADEX"/>
    <s v="멕시카나"/>
    <x v="7"/>
    <s v="서비스"/>
    <s v="음식및숙박"/>
    <s v="기타프랜차이즈점"/>
    <s v="TV"/>
    <s v="케이블"/>
    <s v="SBSPlus"/>
    <s v="-"/>
    <s v="25"/>
    <s v="02"/>
    <s v="25.02"/>
    <s v="25.02"/>
    <n v="15750"/>
  </r>
  <r>
    <s v="케이블"/>
    <s v="ADEX"/>
    <s v="아이더스에프앤비"/>
    <x v="0"/>
    <s v="서비스"/>
    <s v="음식및숙박"/>
    <s v="기타프랜차이즈점"/>
    <s v="TV"/>
    <s v="케이블"/>
    <s v="채널나우"/>
    <s v="-"/>
    <s v="25"/>
    <s v="02"/>
    <s v="25.02"/>
    <s v="25.02"/>
    <n v="14724"/>
  </r>
  <r>
    <s v="케이블"/>
    <s v="ADEX"/>
    <s v="아이더스에프앤비"/>
    <x v="0"/>
    <s v="서비스"/>
    <s v="음식및숙박"/>
    <s v="기타프랜차이즈점"/>
    <s v="TV"/>
    <s v="케이블"/>
    <s v="OCNMovies"/>
    <s v="-"/>
    <s v="25"/>
    <s v="02"/>
    <s v="25.02"/>
    <s v="25.02"/>
    <n v="35893"/>
  </r>
  <r>
    <s v="케이블"/>
    <s v="ADEX"/>
    <s v="아이더스에프앤비"/>
    <x v="0"/>
    <s v="서비스"/>
    <s v="음식및숙박"/>
    <s v="기타프랜차이즈점"/>
    <s v="TV"/>
    <s v="케이블"/>
    <s v="MBCM"/>
    <s v="-"/>
    <s v="25"/>
    <s v="02"/>
    <s v="25.02"/>
    <s v="25.02"/>
    <n v="4193"/>
  </r>
  <r>
    <s v="케이블"/>
    <s v="ADEX"/>
    <s v="아이더스에프앤비"/>
    <x v="0"/>
    <s v="서비스"/>
    <s v="음식및숙박"/>
    <s v="기타프랜차이즈점"/>
    <s v="TV"/>
    <s v="케이블"/>
    <s v="ELIKE"/>
    <s v="-"/>
    <s v="25"/>
    <s v="02"/>
    <s v="25.02"/>
    <s v="25.02"/>
    <n v="4848"/>
  </r>
  <r>
    <s v="케이블"/>
    <s v="ADEX"/>
    <s v="아이더스에프앤비"/>
    <x v="0"/>
    <s v="서비스"/>
    <s v="음식및숙박"/>
    <s v="기타프랜차이즈점"/>
    <s v="TV"/>
    <s v="케이블"/>
    <s v="CHview"/>
    <s v="-"/>
    <s v="25"/>
    <s v="02"/>
    <s v="25.02"/>
    <s v="25.02"/>
    <n v="5137"/>
  </r>
  <r>
    <s v="케이블"/>
    <s v="ADEX"/>
    <s v="아이더스에프앤비"/>
    <x v="0"/>
    <s v="서비스"/>
    <s v="음식및숙박"/>
    <s v="기타프랜차이즈점"/>
    <s v="TV"/>
    <s v="케이블"/>
    <s v="cineF"/>
    <s v="-"/>
    <s v="25"/>
    <s v="02"/>
    <s v="25.02"/>
    <s v="25.02"/>
    <n v="4116"/>
  </r>
  <r>
    <s v="케이블"/>
    <s v="ADEX"/>
    <s v="아이더스에프앤비"/>
    <x v="0"/>
    <s v="서비스"/>
    <s v="음식및숙박"/>
    <s v="기타프랜차이즈점"/>
    <s v="TV"/>
    <s v="케이블"/>
    <s v="JTBC2"/>
    <s v="-"/>
    <s v="25"/>
    <s v="02"/>
    <s v="25.02"/>
    <s v="25.02"/>
    <n v="36125"/>
  </r>
  <r>
    <s v="케이블"/>
    <s v="ADEX"/>
    <s v="아이더스에프앤비"/>
    <x v="0"/>
    <s v="서비스"/>
    <s v="음식및숙박"/>
    <s v="기타프랜차이즈점"/>
    <s v="TV"/>
    <s v="케이블"/>
    <s v="SkySports"/>
    <s v="-"/>
    <s v="25"/>
    <s v="02"/>
    <s v="25.02"/>
    <s v="25.02"/>
    <n v="1746"/>
  </r>
  <r>
    <s v="케이블"/>
    <s v="ADEX"/>
    <s v="아이더스에프앤비"/>
    <x v="0"/>
    <s v="서비스"/>
    <s v="음식및숙박"/>
    <s v="기타프랜차이즈점"/>
    <s v="TV"/>
    <s v="케이블"/>
    <s v="ENADRAMA"/>
    <s v="-"/>
    <s v="25"/>
    <s v="02"/>
    <s v="25.02"/>
    <s v="25.02"/>
    <n v="4000"/>
  </r>
  <r>
    <s v="케이블"/>
    <s v="ADEX"/>
    <s v="웰빙푸드"/>
    <x v="3"/>
    <s v="서비스"/>
    <s v="음식및숙박"/>
    <s v="기타프랜차이즈점"/>
    <s v="TV"/>
    <s v="케이블"/>
    <s v="ChannelJ"/>
    <s v="-"/>
    <s v="25"/>
    <s v="02"/>
    <s v="25.02"/>
    <s v="25.02"/>
    <n v="10785"/>
  </r>
  <r>
    <s v="케이블"/>
    <s v="ADEX"/>
    <s v="웰빙푸드"/>
    <x v="3"/>
    <s v="서비스"/>
    <s v="음식및숙박"/>
    <s v="기타프랜차이즈점"/>
    <s v="TV"/>
    <s v="케이블"/>
    <s v="KBSJOY"/>
    <s v="-"/>
    <s v="25"/>
    <s v="02"/>
    <s v="25.02"/>
    <s v="25.02"/>
    <n v="72184"/>
  </r>
  <r>
    <s v="케이블"/>
    <s v="ADEX"/>
    <s v="웰빙푸드"/>
    <x v="3"/>
    <s v="서비스"/>
    <s v="음식및숙박"/>
    <s v="기타프랜차이즈점"/>
    <s v="TV"/>
    <s v="케이블"/>
    <s v="ENASTORY"/>
    <s v="-"/>
    <s v="25"/>
    <s v="02"/>
    <s v="25.02"/>
    <s v="25.02"/>
    <n v="2512"/>
  </r>
  <r>
    <s v="케이블"/>
    <s v="ADEX"/>
    <s v="웰빙푸드"/>
    <x v="3"/>
    <s v="서비스"/>
    <s v="음식및숙박"/>
    <s v="기타프랜차이즈점"/>
    <s v="TV"/>
    <s v="케이블"/>
    <s v="MBCevery1"/>
    <s v="-"/>
    <s v="25"/>
    <s v="02"/>
    <s v="25.02"/>
    <s v="25.02"/>
    <n v="57786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2"/>
    <s v="25.02"/>
    <s v="25.02"/>
    <n v="1318"/>
  </r>
  <r>
    <s v="디지털 영상"/>
    <s v="ADEX"/>
    <s v="아이더스에프앤비"/>
    <x v="0"/>
    <s v="서비스"/>
    <s v="음식및숙박"/>
    <s v="기타프랜차이즈점"/>
    <s v="디지털"/>
    <s v="디지털동영상"/>
    <s v="다음"/>
    <s v="-"/>
    <s v="25"/>
    <s v="02"/>
    <s v="25.02"/>
    <s v="25.02"/>
    <n v="310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2"/>
    <s v="25.02"/>
    <s v="25.02"/>
    <n v="4470"/>
  </r>
  <r>
    <s v="디지털 영상"/>
    <s v="ADEX"/>
    <s v="외식전문기업제이케이"/>
    <x v="16"/>
    <s v="서비스"/>
    <s v="음식및숙박"/>
    <s v="기타프랜차이즈점"/>
    <s v="디지털"/>
    <s v="디지털동영상"/>
    <s v="다음"/>
    <s v="-"/>
    <s v="25"/>
    <s v="02"/>
    <s v="25.02"/>
    <s v="25.02"/>
    <n v="102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2"/>
    <s v="25.02"/>
    <s v="25.02"/>
    <n v="106692"/>
  </r>
  <r>
    <s v="지상파"/>
    <s v="ADEX"/>
    <s v="아이더스에프앤비"/>
    <x v="0"/>
    <s v="서비스"/>
    <s v="음식및숙박"/>
    <s v="기타프랜차이즈점"/>
    <s v="TV"/>
    <s v="지상파"/>
    <s v="OBS"/>
    <s v="-"/>
    <s v="25"/>
    <s v="02"/>
    <s v="25.02"/>
    <s v="25.02"/>
    <n v="5194"/>
  </r>
  <r>
    <s v="디지털 영상"/>
    <s v="ADEX"/>
    <s v="아이더스에프앤비"/>
    <x v="0"/>
    <s v="서비스"/>
    <s v="음식및숙박"/>
    <s v="기타프랜차이즈점"/>
    <s v="디지털"/>
    <s v="디지털동영상"/>
    <s v="네이버"/>
    <s v="-"/>
    <s v="25"/>
    <s v="02"/>
    <s v="25.02"/>
    <s v="25.02"/>
    <n v="24318"/>
  </r>
  <r>
    <s v="디지털 영상"/>
    <s v="ADEX"/>
    <s v="지엔푸드"/>
    <x v="13"/>
    <s v="서비스"/>
    <s v="음식및숙박"/>
    <s v="기타프랜차이즈점"/>
    <s v="디지털"/>
    <s v="디지털동영상"/>
    <s v="네이버"/>
    <s v="-"/>
    <s v="25"/>
    <s v="02"/>
    <s v="25.02"/>
    <s v="25.02"/>
    <n v="457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2"/>
    <s v="25.02"/>
    <s v="25.02"/>
    <n v="1918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2"/>
    <s v="25.02"/>
    <s v="25.02"/>
    <n v="11574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2"/>
    <s v="25.02"/>
    <s v="25.02"/>
    <n v="51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2"/>
    <s v="25.02"/>
    <s v="25.02"/>
    <n v="2316"/>
  </r>
  <r>
    <s v="케이블"/>
    <s v="ADEX"/>
    <s v="웰빙푸드"/>
    <x v="3"/>
    <s v="서비스"/>
    <s v="음식및숙박"/>
    <s v="기타프랜차이즈점"/>
    <s v="TV"/>
    <s v="케이블"/>
    <s v="JTBC2"/>
    <s v="-"/>
    <s v="25"/>
    <s v="02"/>
    <s v="25.02"/>
    <s v="25.02"/>
    <n v="19000"/>
  </r>
  <r>
    <s v="종편"/>
    <s v="ADEX"/>
    <s v="웰빙푸드"/>
    <x v="3"/>
    <s v="서비스"/>
    <s v="음식및숙박"/>
    <s v="기타프랜차이즈점"/>
    <s v="TV"/>
    <s v="종편"/>
    <s v="JTBC"/>
    <s v="-"/>
    <s v="25"/>
    <s v="02"/>
    <s v="25.02"/>
    <s v="25.02"/>
    <n v="119905"/>
  </r>
  <r>
    <s v="지상파"/>
    <s v="ADEX"/>
    <s v="청정유통*"/>
    <x v="17"/>
    <s v="서비스"/>
    <s v="음식및숙박"/>
    <s v="기타프랜차이즈점"/>
    <s v="TV"/>
    <s v="지상파"/>
    <s v="MBC"/>
    <s v="-"/>
    <s v="25"/>
    <s v="02"/>
    <s v="25.02"/>
    <s v="25.02"/>
    <n v="14062"/>
  </r>
  <r>
    <s v="케이블"/>
    <s v="ADEX"/>
    <s v="멕시카나"/>
    <x v="7"/>
    <s v="서비스"/>
    <s v="음식및숙박"/>
    <s v="기타프랜차이즈점"/>
    <s v="TV"/>
    <s v="케이블"/>
    <s v="MBCevery1"/>
    <s v="-"/>
    <s v="25"/>
    <s v="02"/>
    <s v="25.02"/>
    <s v="25.02"/>
    <n v="10571"/>
  </r>
  <r>
    <s v="케이블"/>
    <s v="ADEX"/>
    <s v="멕시카나"/>
    <x v="7"/>
    <s v="서비스"/>
    <s v="음식및숙박"/>
    <s v="기타프랜차이즈점"/>
    <s v="TV"/>
    <s v="케이블"/>
    <s v="SCREEN"/>
    <s v="-"/>
    <s v="25"/>
    <s v="02"/>
    <s v="25.02"/>
    <s v="25.02"/>
    <n v="4167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2"/>
    <s v="25.02"/>
    <s v="25.02"/>
    <n v="38658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2"/>
    <s v="25.02"/>
    <s v="25.02"/>
    <n v="4209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2"/>
    <s v="25.02"/>
    <s v="25.02"/>
    <n v="124600"/>
  </r>
  <r>
    <s v="케이블"/>
    <s v="ADEX"/>
    <s v="멕시카나"/>
    <x v="7"/>
    <s v="서비스"/>
    <s v="음식및숙박"/>
    <s v="기타프랜차이즈점"/>
    <s v="TV"/>
    <s v="케이블"/>
    <s v="SBSLife"/>
    <s v="-"/>
    <s v="25"/>
    <s v="02"/>
    <s v="25.02"/>
    <s v="25.02"/>
    <n v="1562"/>
  </r>
  <r>
    <s v="디지털 영상"/>
    <s v="ADEX"/>
    <s v="아이더스에프앤비"/>
    <x v="0"/>
    <s v="서비스"/>
    <s v="음식및숙박"/>
    <s v="기타프랜차이즈점"/>
    <s v="디지털"/>
    <s v="디지털동영상"/>
    <s v="Tving"/>
    <s v="-"/>
    <s v="25"/>
    <s v="02"/>
    <s v="25.02"/>
    <s v="25.02"/>
    <n v="2996"/>
  </r>
  <r>
    <s v="잡지"/>
    <s v="ADEX"/>
    <s v="제너시스비비큐"/>
    <x v="10"/>
    <s v="서비스"/>
    <s v="음식및숙박"/>
    <s v="기타프랜차이즈점"/>
    <s v="인쇄"/>
    <s v="잡지"/>
    <s v="매경이코노미"/>
    <s v="-"/>
    <s v="25"/>
    <s v="02"/>
    <s v="25.02"/>
    <s v="25.02"/>
    <n v="4000"/>
  </r>
  <r>
    <s v="케이블"/>
    <s v="ADEX"/>
    <s v="멕시카나"/>
    <x v="7"/>
    <s v="서비스"/>
    <s v="음식및숙박"/>
    <s v="기타프랜차이즈점"/>
    <s v="TV"/>
    <s v="케이블"/>
    <s v="MBC드라마넷"/>
    <s v="-"/>
    <s v="25"/>
    <s v="02"/>
    <s v="25.02"/>
    <s v="25.02"/>
    <n v="3733"/>
  </r>
  <r>
    <s v="케이블"/>
    <s v="ADEX"/>
    <s v="멕시카나"/>
    <x v="7"/>
    <s v="서비스"/>
    <s v="음식및숙박"/>
    <s v="기타프랜차이즈점"/>
    <s v="TV"/>
    <s v="케이블"/>
    <s v="ENASTORY"/>
    <s v="-"/>
    <s v="25"/>
    <s v="02"/>
    <s v="25.02"/>
    <s v="25.02"/>
    <n v="202"/>
  </r>
  <r>
    <s v="케이블"/>
    <s v="ADEX"/>
    <s v="멕시카나"/>
    <x v="7"/>
    <s v="서비스"/>
    <s v="음식및숙박"/>
    <s v="기타프랜차이즈점"/>
    <s v="TV"/>
    <s v="케이블"/>
    <s v="헬스메디TV"/>
    <s v="-"/>
    <s v="25"/>
    <s v="02"/>
    <s v="25.02"/>
    <s v="25.02"/>
    <n v="514"/>
  </r>
  <r>
    <s v="지상파"/>
    <s v="ADEX"/>
    <s v="신미식품"/>
    <x v="18"/>
    <s v="서비스"/>
    <s v="음식및숙박"/>
    <s v="기타프랜차이즈점"/>
    <s v="TV"/>
    <s v="지상파"/>
    <s v="MBC"/>
    <s v="-"/>
    <s v="25"/>
    <s v="02"/>
    <s v="25.02"/>
    <s v="25.02"/>
    <n v="3204"/>
  </r>
  <r>
    <s v="지상파"/>
    <s v="ADEX"/>
    <s v="장스푸드"/>
    <x v="2"/>
    <s v="서비스"/>
    <s v="음식및숙박"/>
    <s v="기타프랜차이즈점"/>
    <s v="TV"/>
    <s v="지상파"/>
    <s v="OBS"/>
    <s v="-"/>
    <s v="25"/>
    <s v="02"/>
    <s v="25.02"/>
    <s v="25.02"/>
    <n v="6533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2"/>
    <s v="25.02"/>
    <s v="25.02"/>
    <n v="892072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2"/>
    <s v="25.02"/>
    <s v="25.02"/>
    <n v="72105"/>
  </r>
  <r>
    <s v="케이블"/>
    <s v="ADEX"/>
    <s v="멕시카나"/>
    <x v="7"/>
    <s v="서비스"/>
    <s v="음식및숙박"/>
    <s v="기타프랜차이즈점"/>
    <s v="TV"/>
    <s v="케이블"/>
    <s v="SkySports"/>
    <s v="-"/>
    <s v="25"/>
    <s v="02"/>
    <s v="25.02"/>
    <s v="25.02"/>
    <n v="1125"/>
  </r>
  <r>
    <s v="케이블"/>
    <s v="ADEX"/>
    <s v="멕시카나"/>
    <x v="7"/>
    <s v="서비스"/>
    <s v="음식및숙박"/>
    <s v="기타프랜차이즈점"/>
    <s v="TV"/>
    <s v="케이블"/>
    <s v="ONT"/>
    <s v="-"/>
    <s v="25"/>
    <s v="02"/>
    <s v="25.02"/>
    <s v="25.02"/>
    <n v="268"/>
  </r>
  <r>
    <s v="케이블"/>
    <s v="ADEX"/>
    <s v="멕시카나"/>
    <x v="7"/>
    <s v="서비스"/>
    <s v="음식및숙박"/>
    <s v="기타프랜차이즈점"/>
    <s v="TV"/>
    <s v="케이블"/>
    <s v="ENADRAMA"/>
    <s v="-"/>
    <s v="25"/>
    <s v="02"/>
    <s v="25.02"/>
    <s v="25.02"/>
    <n v="3058"/>
  </r>
  <r>
    <s v="케이블"/>
    <s v="ADEX"/>
    <s v="장스푸드"/>
    <x v="2"/>
    <s v="서비스"/>
    <s v="음식및숙박"/>
    <s v="기타프랜차이즈점"/>
    <s v="TV"/>
    <s v="케이블"/>
    <s v="KBSJOY"/>
    <s v="-"/>
    <s v="25"/>
    <s v="02"/>
    <s v="25.02"/>
    <s v="25.02"/>
    <n v="66726"/>
  </r>
  <r>
    <s v="케이블"/>
    <s v="ADEX"/>
    <s v="웰빙푸드"/>
    <x v="3"/>
    <s v="서비스"/>
    <s v="음식및숙박"/>
    <s v="기타프랜차이즈점"/>
    <s v="TV"/>
    <s v="케이블"/>
    <s v="SCREEN"/>
    <s v="-"/>
    <s v="25"/>
    <s v="02"/>
    <s v="25.02"/>
    <s v="25.02"/>
    <n v="13097"/>
  </r>
  <r>
    <s v="케이블"/>
    <s v="ADEX"/>
    <s v="멕시카나"/>
    <x v="7"/>
    <s v="서비스"/>
    <s v="음식및숙박"/>
    <s v="기타프랜차이즈점"/>
    <s v="TV"/>
    <s v="케이블"/>
    <s v="채널나우"/>
    <s v="-"/>
    <s v="25"/>
    <s v="02"/>
    <s v="25.02"/>
    <s v="25.02"/>
    <n v="4612"/>
  </r>
  <r>
    <s v="케이블"/>
    <s v="ADEX"/>
    <s v="멕시카나"/>
    <x v="7"/>
    <s v="서비스"/>
    <s v="음식및숙박"/>
    <s v="기타프랜차이즈점"/>
    <s v="TV"/>
    <s v="케이블"/>
    <s v="ELIKE"/>
    <s v="-"/>
    <s v="25"/>
    <s v="02"/>
    <s v="25.02"/>
    <s v="25.02"/>
    <n v="1536"/>
  </r>
  <r>
    <s v="케이블"/>
    <s v="ADEX"/>
    <s v="아이더스에프앤비"/>
    <x v="0"/>
    <s v="서비스"/>
    <s v="음식및숙박"/>
    <s v="기타프랜차이즈점"/>
    <s v="TV"/>
    <s v="케이블"/>
    <s v="ENA"/>
    <s v="-"/>
    <s v="25"/>
    <s v="02"/>
    <s v="25.02"/>
    <s v="25.02"/>
    <n v="36027"/>
  </r>
  <r>
    <s v="케이블"/>
    <s v="ADEX"/>
    <s v="멕시카나"/>
    <x v="7"/>
    <s v="서비스"/>
    <s v="음식및숙박"/>
    <s v="기타프랜차이즈점"/>
    <s v="TV"/>
    <s v="케이블"/>
    <s v="CHview"/>
    <s v="-"/>
    <s v="25"/>
    <s v="02"/>
    <s v="25.02"/>
    <s v="25.02"/>
    <n v="1427"/>
  </r>
  <r>
    <s v="케이블"/>
    <s v="ADEX"/>
    <s v="아이더스에프앤비"/>
    <x v="0"/>
    <s v="서비스"/>
    <s v="음식및숙박"/>
    <s v="기타프랜차이즈점"/>
    <s v="TV"/>
    <s v="케이블"/>
    <s v="JTBC4"/>
    <s v="-"/>
    <s v="25"/>
    <s v="02"/>
    <s v="25.02"/>
    <s v="25.02"/>
    <n v="16584"/>
  </r>
  <r>
    <s v="케이블"/>
    <s v="ADEX"/>
    <s v="멕시카나"/>
    <x v="7"/>
    <s v="서비스"/>
    <s v="음식및숙박"/>
    <s v="기타프랜차이즈점"/>
    <s v="TV"/>
    <s v="케이블"/>
    <s v="MBCM"/>
    <s v="-"/>
    <s v="25"/>
    <s v="02"/>
    <s v="25.02"/>
    <s v="25.02"/>
    <n v="477"/>
  </r>
  <r>
    <s v="케이블"/>
    <s v="ADEX"/>
    <s v="멕시카나"/>
    <x v="7"/>
    <s v="서비스"/>
    <s v="음식및숙박"/>
    <s v="기타프랜차이즈점"/>
    <s v="TV"/>
    <s v="케이블"/>
    <s v="cineF"/>
    <s v="-"/>
    <s v="25"/>
    <s v="02"/>
    <s v="25.02"/>
    <s v="25.02"/>
    <n v="659"/>
  </r>
  <r>
    <s v="케이블"/>
    <s v="ADEX"/>
    <s v="아이더스에프앤비"/>
    <x v="0"/>
    <s v="서비스"/>
    <s v="음식및숙박"/>
    <s v="기타프랜차이즈점"/>
    <s v="TV"/>
    <s v="케이블"/>
    <s v="E채널"/>
    <s v="-"/>
    <s v="25"/>
    <s v="02"/>
    <s v="25.02"/>
    <s v="25.02"/>
    <n v="32044"/>
  </r>
  <r>
    <s v="케이블"/>
    <s v="ADEX"/>
    <s v="멕시카나"/>
    <x v="7"/>
    <s v="서비스"/>
    <s v="음식및숙박"/>
    <s v="기타프랜차이즈점"/>
    <s v="TV"/>
    <s v="케이블"/>
    <s v="ONCE"/>
    <s v="-"/>
    <s v="25"/>
    <s v="02"/>
    <s v="25.02"/>
    <s v="25.02"/>
    <n v="381"/>
  </r>
  <r>
    <s v="케이블"/>
    <s v="ADEX"/>
    <s v="아이더스에프앤비"/>
    <x v="0"/>
    <s v="서비스"/>
    <s v="음식및숙박"/>
    <s v="기타프랜차이즈점"/>
    <s v="TV"/>
    <s v="케이블"/>
    <s v="MBC드라마넷"/>
    <s v="-"/>
    <s v="25"/>
    <s v="02"/>
    <s v="25.02"/>
    <s v="25.02"/>
    <n v="56267"/>
  </r>
  <r>
    <s v="케이블"/>
    <s v="ADEX"/>
    <s v="아이더스에프앤비"/>
    <x v="0"/>
    <s v="서비스"/>
    <s v="음식및숙박"/>
    <s v="기타프랜차이즈점"/>
    <s v="TV"/>
    <s v="케이블"/>
    <s v="ENASTORY"/>
    <s v="-"/>
    <s v="25"/>
    <s v="02"/>
    <s v="25.02"/>
    <s v="25.02"/>
    <n v="810"/>
  </r>
  <r>
    <s v="케이블"/>
    <s v="ADEX"/>
    <s v="아이더스에프앤비"/>
    <x v="0"/>
    <s v="서비스"/>
    <s v="음식및숙박"/>
    <s v="기타프랜차이즈점"/>
    <s v="TV"/>
    <s v="케이블"/>
    <s v="MX"/>
    <s v="-"/>
    <s v="25"/>
    <s v="02"/>
    <s v="25.02"/>
    <s v="25.02"/>
    <n v="4904"/>
  </r>
  <r>
    <s v="케이블"/>
    <s v="ADEX"/>
    <s v="아이더스에프앤비"/>
    <x v="0"/>
    <s v="서비스"/>
    <s v="음식및숙박"/>
    <s v="기타프랜차이즈점"/>
    <s v="TV"/>
    <s v="케이블"/>
    <s v="OCN"/>
    <s v="-"/>
    <s v="25"/>
    <s v="02"/>
    <s v="25.02"/>
    <s v="25.02"/>
    <n v="43738"/>
  </r>
  <r>
    <s v="케이블"/>
    <s v="ADEX"/>
    <s v="아이더스에프앤비"/>
    <x v="0"/>
    <s v="서비스"/>
    <s v="음식및숙박"/>
    <s v="기타프랜차이즈점"/>
    <s v="TV"/>
    <s v="케이블"/>
    <s v="채널S"/>
    <s v="-"/>
    <s v="25"/>
    <s v="02"/>
    <s v="25.02"/>
    <s v="25.02"/>
    <n v="17544"/>
  </r>
  <r>
    <s v="케이블"/>
    <s v="ADEX"/>
    <s v="아이더스에프앤비"/>
    <x v="0"/>
    <s v="서비스"/>
    <s v="음식및숙박"/>
    <s v="기타프랜차이즈점"/>
    <s v="TV"/>
    <s v="케이블"/>
    <s v="채널에버"/>
    <s v="-"/>
    <s v="25"/>
    <s v="02"/>
    <s v="25.02"/>
    <s v="25.02"/>
    <n v="4869"/>
  </r>
  <r>
    <s v="케이블"/>
    <s v="ADEX"/>
    <s v="아이더스에프앤비"/>
    <x v="0"/>
    <s v="서비스"/>
    <s v="음식및숙박"/>
    <s v="기타프랜차이즈점"/>
    <s v="TV"/>
    <s v="케이블"/>
    <s v="MBCSPORTS+"/>
    <s v="-"/>
    <s v="25"/>
    <s v="02"/>
    <s v="25.02"/>
    <s v="25.02"/>
    <n v="5652"/>
  </r>
  <r>
    <s v="케이블"/>
    <s v="ADEX"/>
    <s v="아이더스에프앤비"/>
    <x v="0"/>
    <s v="서비스"/>
    <s v="음식및숙박"/>
    <s v="기타프랜차이즈점"/>
    <s v="TV"/>
    <s v="케이블"/>
    <s v="OCNMovies2"/>
    <s v="-"/>
    <s v="25"/>
    <s v="02"/>
    <s v="25.02"/>
    <s v="25.02"/>
    <n v="38689"/>
  </r>
  <r>
    <s v="케이블"/>
    <s v="ADEX"/>
    <s v="아이더스에프앤비"/>
    <x v="0"/>
    <s v="서비스"/>
    <s v="음식및숙박"/>
    <s v="기타프랜차이즈점"/>
    <s v="TV"/>
    <s v="케이블"/>
    <s v="MBCevery1"/>
    <s v="-"/>
    <s v="25"/>
    <s v="02"/>
    <s v="25.02"/>
    <s v="25.02"/>
    <n v="87643"/>
  </r>
  <r>
    <s v="케이블"/>
    <s v="ADEX"/>
    <s v="아이더스에프앤비"/>
    <x v="0"/>
    <s v="서비스"/>
    <s v="음식및숙박"/>
    <s v="기타프랜차이즈점"/>
    <s v="TV"/>
    <s v="케이블"/>
    <s v="tvN"/>
    <s v="-"/>
    <s v="25"/>
    <s v="02"/>
    <s v="25.02"/>
    <s v="25.02"/>
    <n v="191944"/>
  </r>
  <r>
    <s v="케이블"/>
    <s v="ADEX"/>
    <s v="아이더스에프앤비"/>
    <x v="0"/>
    <s v="서비스"/>
    <s v="음식및숙박"/>
    <s v="기타프랜차이즈점"/>
    <s v="TV"/>
    <s v="케이블"/>
    <s v="Mnet"/>
    <s v="-"/>
    <s v="25"/>
    <s v="02"/>
    <s v="25.02"/>
    <s v="25.02"/>
    <n v="24259"/>
  </r>
  <r>
    <s v="케이블"/>
    <s v="ADEX"/>
    <s v="아이더스에프앤비"/>
    <x v="0"/>
    <s v="서비스"/>
    <s v="음식및숙박"/>
    <s v="기타프랜차이즈점"/>
    <s v="TV"/>
    <s v="케이블"/>
    <s v="KBSJOY"/>
    <s v="-"/>
    <s v="25"/>
    <s v="02"/>
    <s v="25.02"/>
    <s v="25.02"/>
    <n v="81626"/>
  </r>
  <r>
    <s v="케이블"/>
    <s v="ADEX"/>
    <s v="웰빙푸드"/>
    <x v="3"/>
    <s v="서비스"/>
    <s v="음식및숙박"/>
    <s v="기타프랜차이즈점"/>
    <s v="TV"/>
    <s v="케이블"/>
    <s v="E채널"/>
    <s v="-"/>
    <s v="25"/>
    <s v="02"/>
    <s v="25.02"/>
    <s v="25.02"/>
    <n v="31547"/>
  </r>
  <r>
    <s v="케이블"/>
    <s v="ADEX"/>
    <s v="웰빙푸드"/>
    <x v="3"/>
    <s v="서비스"/>
    <s v="음식및숙박"/>
    <s v="기타프랜차이즈점"/>
    <s v="TV"/>
    <s v="케이블"/>
    <s v="MTN머니투데이방송"/>
    <s v="-"/>
    <s v="25"/>
    <s v="02"/>
    <s v="25.02"/>
    <s v="25.02"/>
    <n v="445000"/>
  </r>
  <r>
    <s v="케이블"/>
    <s v="ADEX"/>
    <s v="웰빙푸드"/>
    <x v="3"/>
    <s v="서비스"/>
    <s v="음식및숙박"/>
    <s v="기타프랜차이즈점"/>
    <s v="TV"/>
    <s v="케이블"/>
    <s v="SBSPlus"/>
    <s v="-"/>
    <s v="25"/>
    <s v="02"/>
    <s v="25.02"/>
    <s v="25.02"/>
    <n v="69344"/>
  </r>
  <r>
    <s v="케이블"/>
    <s v="ADEX"/>
    <s v="웰빙푸드"/>
    <x v="3"/>
    <s v="서비스"/>
    <s v="음식및숙박"/>
    <s v="기타프랜차이즈점"/>
    <s v="TV"/>
    <s v="케이블"/>
    <s v="채널에버"/>
    <s v="-"/>
    <s v="25"/>
    <s v="02"/>
    <s v="25.02"/>
    <s v="25.02"/>
    <n v="1634"/>
  </r>
  <r>
    <s v="케이블"/>
    <s v="ADEX"/>
    <s v="웰빙푸드"/>
    <x v="3"/>
    <s v="서비스"/>
    <s v="음식및숙박"/>
    <s v="기타프랜차이즈점"/>
    <s v="TV"/>
    <s v="케이블"/>
    <s v="ENA"/>
    <s v="-"/>
    <s v="25"/>
    <s v="02"/>
    <s v="25.02"/>
    <s v="25.02"/>
    <n v="31568"/>
  </r>
  <r>
    <s v="케이블"/>
    <s v="ADEX"/>
    <s v="웰빙푸드"/>
    <x v="3"/>
    <s v="서비스"/>
    <s v="음식및숙박"/>
    <s v="기타프랜차이즈점"/>
    <s v="TV"/>
    <s v="케이블"/>
    <s v="tvNSHOW"/>
    <s v="-"/>
    <s v="25"/>
    <s v="02"/>
    <s v="25.02"/>
    <s v="25.02"/>
    <n v="27010"/>
  </r>
  <r>
    <s v="종편"/>
    <s v="ADEX"/>
    <s v="장스푸드"/>
    <x v="2"/>
    <s v="서비스"/>
    <s v="음식및숙박"/>
    <s v="기타프랜차이즈점"/>
    <s v="TV"/>
    <s v="종편"/>
    <s v="TVCHOSUN"/>
    <s v="-"/>
    <s v="25"/>
    <s v="02"/>
    <s v="25.02"/>
    <s v="25.02"/>
    <n v="8108"/>
  </r>
  <r>
    <s v="케이블"/>
    <s v="ADEX"/>
    <s v="웰빙푸드"/>
    <x v="3"/>
    <s v="서비스"/>
    <s v="음식및숙박"/>
    <s v="기타프랜차이즈점"/>
    <s v="TV"/>
    <s v="케이블"/>
    <s v="MX"/>
    <s v="-"/>
    <s v="25"/>
    <s v="02"/>
    <s v="25.02"/>
    <s v="25.02"/>
    <n v="3263"/>
  </r>
  <r>
    <s v="케이블"/>
    <s v="ADEX"/>
    <s v="웰빙푸드"/>
    <x v="3"/>
    <s v="서비스"/>
    <s v="음식및숙박"/>
    <s v="기타프랜차이즈점"/>
    <s v="TV"/>
    <s v="케이블"/>
    <s v="Anibox"/>
    <s v="-"/>
    <s v="25"/>
    <s v="02"/>
    <s v="25.02"/>
    <s v="25.02"/>
    <n v="8151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02"/>
    <s v="25.02"/>
    <s v="25.02"/>
    <n v="148056"/>
  </r>
  <r>
    <s v="케이블"/>
    <s v="ADEX"/>
    <s v="멕시카나"/>
    <x v="7"/>
    <s v="서비스"/>
    <s v="음식및숙박"/>
    <s v="기타프랜차이즈점"/>
    <s v="TV"/>
    <s v="케이블"/>
    <s v="OLIFE"/>
    <s v="-"/>
    <s v="25"/>
    <s v="02"/>
    <s v="25.02"/>
    <s v="25.02"/>
    <n v="631"/>
  </r>
  <r>
    <s v="케이블"/>
    <s v="ADEX"/>
    <s v="장스푸드"/>
    <x v="2"/>
    <s v="서비스"/>
    <s v="음식및숙박"/>
    <s v="기타프랜차이즈점"/>
    <s v="TV"/>
    <s v="케이블"/>
    <s v="ENA"/>
    <s v="-"/>
    <s v="25"/>
    <s v="02"/>
    <s v="25.02"/>
    <s v="25.02"/>
    <n v="63811"/>
  </r>
  <r>
    <s v="케이블"/>
    <s v="ADEX"/>
    <s v="웰빙푸드"/>
    <x v="3"/>
    <s v="서비스"/>
    <s v="음식및숙박"/>
    <s v="기타프랜차이즈점"/>
    <s v="TV"/>
    <s v="케이블"/>
    <s v="애니원"/>
    <s v="-"/>
    <s v="25"/>
    <s v="02"/>
    <s v="25.02"/>
    <s v="25.02"/>
    <n v="12432"/>
  </r>
  <r>
    <s v="케이블"/>
    <s v="ADEX"/>
    <s v="웰빙푸드"/>
    <x v="3"/>
    <s v="서비스"/>
    <s v="음식및숙박"/>
    <s v="기타프랜차이즈점"/>
    <s v="TV"/>
    <s v="케이블"/>
    <s v="ENAPLAY"/>
    <s v="-"/>
    <s v="25"/>
    <s v="02"/>
    <s v="25.02"/>
    <s v="25.02"/>
    <n v="6447"/>
  </r>
  <r>
    <s v="케이블"/>
    <s v="ADEX"/>
    <s v="웰빙푸드"/>
    <x v="3"/>
    <s v="서비스"/>
    <s v="음식및숙박"/>
    <s v="기타프랜차이즈점"/>
    <s v="TV"/>
    <s v="케이블"/>
    <s v="tvNSTORY"/>
    <s v="-"/>
    <s v="25"/>
    <s v="02"/>
    <s v="25.02"/>
    <s v="25.02"/>
    <n v="35202"/>
  </r>
  <r>
    <s v="케이블"/>
    <s v="ADEX"/>
    <s v="장스푸드"/>
    <x v="2"/>
    <s v="서비스"/>
    <s v="음식및숙박"/>
    <s v="기타프랜차이즈점"/>
    <s v="TV"/>
    <s v="케이블"/>
    <s v="KBS드라마"/>
    <s v="-"/>
    <s v="25"/>
    <s v="02"/>
    <s v="25.02"/>
    <s v="25.02"/>
    <n v="12812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02"/>
    <s v="25.02"/>
    <s v="25.02"/>
    <n v="12085"/>
  </r>
  <r>
    <s v="케이블"/>
    <s v="ADEX"/>
    <s v="멕시카나"/>
    <x v="7"/>
    <s v="서비스"/>
    <s v="음식및숙박"/>
    <s v="기타프랜차이즈점"/>
    <s v="TV"/>
    <s v="케이블"/>
    <s v="채널에버"/>
    <s v="-"/>
    <s v="25"/>
    <s v="02"/>
    <s v="25.02"/>
    <s v="25.02"/>
    <n v="1027"/>
  </r>
  <r>
    <s v="케이블"/>
    <s v="ADEX"/>
    <s v="멕시카나"/>
    <x v="7"/>
    <s v="서비스"/>
    <s v="음식및숙박"/>
    <s v="기타프랜차이즈점"/>
    <s v="TV"/>
    <s v="케이블"/>
    <s v="MX"/>
    <s v="-"/>
    <s v="25"/>
    <s v="02"/>
    <s v="25.02"/>
    <s v="25.02"/>
    <n v="2035"/>
  </r>
  <r>
    <s v="케이블"/>
    <s v="ADEX"/>
    <s v="아이더스에프앤비"/>
    <x v="0"/>
    <s v="서비스"/>
    <s v="음식및숙박"/>
    <s v="기타프랜차이즈점"/>
    <s v="TV"/>
    <s v="케이블"/>
    <s v="KBS드라마"/>
    <s v="-"/>
    <s v="25"/>
    <s v="02"/>
    <s v="25.02"/>
    <s v="25.02"/>
    <n v="71687"/>
  </r>
  <r>
    <s v="케이블"/>
    <s v="ADEX"/>
    <s v="아이더스에프앤비"/>
    <x v="0"/>
    <s v="서비스"/>
    <s v="음식및숙박"/>
    <s v="기타프랜차이즈점"/>
    <s v="TV"/>
    <s v="케이블"/>
    <s v="SBSPlus"/>
    <s v="-"/>
    <s v="25"/>
    <s v="02"/>
    <s v="25.02"/>
    <s v="25.02"/>
    <n v="88969"/>
  </r>
  <r>
    <s v="케이블"/>
    <s v="ADEX"/>
    <s v="아이더스에프앤비"/>
    <x v="0"/>
    <s v="서비스"/>
    <s v="음식및숙박"/>
    <s v="기타프랜차이즈점"/>
    <s v="TV"/>
    <s v="케이블"/>
    <s v="ENAPLAY"/>
    <s v="-"/>
    <s v="25"/>
    <s v="02"/>
    <s v="25.02"/>
    <s v="25.02"/>
    <n v="6936"/>
  </r>
  <r>
    <s v="케이블"/>
    <s v="ADEX"/>
    <s v="에이치푸드빌"/>
    <x v="19"/>
    <s v="서비스"/>
    <s v="음식및숙박"/>
    <s v="기타프랜차이즈점"/>
    <s v="TV"/>
    <s v="케이블"/>
    <s v="MBCM"/>
    <s v="-"/>
    <s v="25"/>
    <s v="02"/>
    <s v="25.02"/>
    <s v="25.02"/>
    <n v="886"/>
  </r>
  <r>
    <s v="케이블"/>
    <s v="ADEX"/>
    <s v="웰빙푸드"/>
    <x v="3"/>
    <s v="서비스"/>
    <s v="음식및숙박"/>
    <s v="기타프랜차이즈점"/>
    <s v="TV"/>
    <s v="케이블"/>
    <s v="CHview"/>
    <s v="-"/>
    <s v="25"/>
    <s v="02"/>
    <s v="25.02"/>
    <s v="25.02"/>
    <n v="4302"/>
  </r>
  <r>
    <s v="케이블"/>
    <s v="ADEX"/>
    <s v="웰빙푸드"/>
    <x v="3"/>
    <s v="서비스"/>
    <s v="음식및숙박"/>
    <s v="기타프랜차이즈점"/>
    <s v="TV"/>
    <s v="케이블"/>
    <s v="cineF"/>
    <s v="-"/>
    <s v="25"/>
    <s v="02"/>
    <s v="25.02"/>
    <s v="25.02"/>
    <n v="1357"/>
  </r>
  <r>
    <s v="케이블"/>
    <s v="ADEX"/>
    <s v="웰빙푸드"/>
    <x v="3"/>
    <s v="서비스"/>
    <s v="음식및숙박"/>
    <s v="기타프랜차이즈점"/>
    <s v="TV"/>
    <s v="케이블"/>
    <s v="ENADRAMA"/>
    <s v="-"/>
    <s v="25"/>
    <s v="02"/>
    <s v="25.02"/>
    <s v="25.02"/>
    <n v="4865"/>
  </r>
  <r>
    <s v="케이블"/>
    <s v="ADEX"/>
    <s v="웰빙푸드"/>
    <x v="3"/>
    <s v="서비스"/>
    <s v="음식및숙박"/>
    <s v="기타프랜차이즈점"/>
    <s v="TV"/>
    <s v="케이블"/>
    <s v="MBCM"/>
    <s v="-"/>
    <s v="25"/>
    <s v="02"/>
    <s v="25.02"/>
    <s v="25.02"/>
    <n v="102"/>
  </r>
  <r>
    <s v="케이블"/>
    <s v="ADEX"/>
    <s v="웰빙푸드"/>
    <x v="3"/>
    <s v="서비스"/>
    <s v="음식및숙박"/>
    <s v="기타프랜차이즈점"/>
    <s v="TV"/>
    <s v="케이블"/>
    <s v="SkySports"/>
    <s v="-"/>
    <s v="25"/>
    <s v="02"/>
    <s v="25.02"/>
    <s v="25.02"/>
    <n v="2093"/>
  </r>
  <r>
    <s v="케이블"/>
    <s v="ADEX"/>
    <s v="웰빙푸드"/>
    <x v="3"/>
    <s v="서비스"/>
    <s v="음식및숙박"/>
    <s v="기타프랜차이즈점"/>
    <s v="TV"/>
    <s v="케이블"/>
    <s v="채널나우"/>
    <s v="-"/>
    <s v="25"/>
    <s v="02"/>
    <s v="25.02"/>
    <s v="25.02"/>
    <n v="8276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02"/>
    <s v="25.02"/>
    <s v="25.02"/>
    <n v="5942"/>
  </r>
  <r>
    <s v="케이블"/>
    <s v="ADEX"/>
    <s v="교촌F&amp;B"/>
    <x v="6"/>
    <s v="서비스"/>
    <s v="음식및숙박"/>
    <s v="기타프랜차이즈점"/>
    <s v="TV"/>
    <s v="케이블"/>
    <s v="ENADRAMA"/>
    <s v="-"/>
    <s v="25"/>
    <s v="01"/>
    <s v="25.01"/>
    <s v="25.01"/>
    <n v="19"/>
  </r>
  <r>
    <s v="케이블"/>
    <s v="ADEX"/>
    <s v="교촌F&amp;B"/>
    <x v="6"/>
    <s v="서비스"/>
    <s v="음식및숙박"/>
    <s v="기타프랜차이즈점"/>
    <s v="TV"/>
    <s v="케이블"/>
    <s v="SkySports"/>
    <s v="-"/>
    <s v="25"/>
    <s v="01"/>
    <s v="25.01"/>
    <s v="25.01"/>
    <n v="107"/>
  </r>
  <r>
    <s v="케이블"/>
    <s v="ADEX"/>
    <s v="노상치킨"/>
    <x v="9"/>
    <s v="서비스"/>
    <s v="음식및숙박"/>
    <s v="기타프랜차이즈점"/>
    <s v="TV"/>
    <s v="케이블"/>
    <s v="YTN"/>
    <s v="-"/>
    <s v="25"/>
    <s v="01"/>
    <s v="25.01"/>
    <s v="25.01"/>
    <n v="2143"/>
  </r>
  <r>
    <s v="케이블"/>
    <s v="ADEX"/>
    <s v="에이치푸드빌"/>
    <x v="19"/>
    <s v="서비스"/>
    <s v="음식및숙박"/>
    <s v="기타프랜차이즈점"/>
    <s v="TV"/>
    <s v="케이블"/>
    <s v="MBCM"/>
    <s v="-"/>
    <s v="25"/>
    <s v="01"/>
    <s v="25.01"/>
    <s v="25.01"/>
    <n v="16330"/>
  </r>
  <r>
    <s v="케이블"/>
    <s v="ADEX"/>
    <s v="웰빙푸드"/>
    <x v="3"/>
    <s v="서비스"/>
    <s v="음식및숙박"/>
    <s v="기타프랜차이즈점"/>
    <s v="TV"/>
    <s v="케이블"/>
    <s v="OCNMovies"/>
    <s v="-"/>
    <s v="25"/>
    <s v="01"/>
    <s v="25.01"/>
    <s v="25.01"/>
    <n v="5241"/>
  </r>
  <r>
    <s v="케이블"/>
    <s v="ADEX"/>
    <s v="웰빙푸드"/>
    <x v="3"/>
    <s v="서비스"/>
    <s v="음식및숙박"/>
    <s v="기타프랜차이즈점"/>
    <s v="TV"/>
    <s v="케이블"/>
    <s v="채널나우"/>
    <s v="-"/>
    <s v="25"/>
    <s v="01"/>
    <s v="25.01"/>
    <s v="25.01"/>
    <n v="10031"/>
  </r>
  <r>
    <s v="케이블"/>
    <s v="ADEX"/>
    <s v="웰빙푸드"/>
    <x v="3"/>
    <s v="서비스"/>
    <s v="음식및숙박"/>
    <s v="기타프랜차이즈점"/>
    <s v="TV"/>
    <s v="케이블"/>
    <s v="ENADRAMA"/>
    <s v="-"/>
    <s v="25"/>
    <s v="01"/>
    <s v="25.01"/>
    <s v="25.01"/>
    <n v="7769"/>
  </r>
  <r>
    <s v="케이블"/>
    <s v="ADEX"/>
    <s v="웰빙푸드"/>
    <x v="3"/>
    <s v="서비스"/>
    <s v="음식및숙박"/>
    <s v="기타프랜차이즈점"/>
    <s v="TV"/>
    <s v="케이블"/>
    <s v="ELIKE"/>
    <s v="-"/>
    <s v="25"/>
    <s v="01"/>
    <s v="25.01"/>
    <s v="25.01"/>
    <n v="2912"/>
  </r>
  <r>
    <s v="케이블"/>
    <s v="ADEX"/>
    <s v="웰빙푸드"/>
    <x v="3"/>
    <s v="서비스"/>
    <s v="음식및숙박"/>
    <s v="기타프랜차이즈점"/>
    <s v="TV"/>
    <s v="케이블"/>
    <s v="CHview"/>
    <s v="-"/>
    <s v="25"/>
    <s v="01"/>
    <s v="25.01"/>
    <s v="25.01"/>
    <n v="3458"/>
  </r>
  <r>
    <s v="케이블"/>
    <s v="ADEX"/>
    <s v="웰빙푸드"/>
    <x v="3"/>
    <s v="서비스"/>
    <s v="음식및숙박"/>
    <s v="기타프랜차이즈점"/>
    <s v="TV"/>
    <s v="케이블"/>
    <s v="cineF"/>
    <s v="-"/>
    <s v="25"/>
    <s v="01"/>
    <s v="25.01"/>
    <s v="25.01"/>
    <n v="1969"/>
  </r>
  <r>
    <s v="케이블"/>
    <s v="ADEX"/>
    <s v="웰빙푸드"/>
    <x v="3"/>
    <s v="서비스"/>
    <s v="음식및숙박"/>
    <s v="기타프랜차이즈점"/>
    <s v="TV"/>
    <s v="케이블"/>
    <s v="ONT"/>
    <s v="-"/>
    <s v="25"/>
    <s v="01"/>
    <s v="25.01"/>
    <s v="25.01"/>
    <n v="2679"/>
  </r>
  <r>
    <s v="케이블"/>
    <s v="ADEX"/>
    <s v="웰빙푸드"/>
    <x v="3"/>
    <s v="서비스"/>
    <s v="음식및숙박"/>
    <s v="기타프랜차이즈점"/>
    <s v="TV"/>
    <s v="케이블"/>
    <s v="SkySports"/>
    <s v="-"/>
    <s v="25"/>
    <s v="01"/>
    <s v="25.01"/>
    <s v="25.01"/>
    <n v="5882"/>
  </r>
  <r>
    <s v="케이블"/>
    <s v="ADEX"/>
    <s v="장스푸드"/>
    <x v="2"/>
    <s v="서비스"/>
    <s v="음식및숙박"/>
    <s v="기타프랜차이즈점"/>
    <s v="TV"/>
    <s v="케이블"/>
    <s v="ENADRAMA"/>
    <s v="-"/>
    <s v="25"/>
    <s v="01"/>
    <s v="25.01"/>
    <s v="25.01"/>
    <n v="5769"/>
  </r>
  <r>
    <s v="라디오"/>
    <s v="ADEX"/>
    <s v="웰빙푸드"/>
    <x v="3"/>
    <s v="서비스"/>
    <s v="음식및숙박"/>
    <s v="기타프랜차이즈점"/>
    <s v="라디오"/>
    <s v="라디오"/>
    <s v="SBS-RD"/>
    <s v="-"/>
    <s v="25"/>
    <s v="01"/>
    <s v="25.01"/>
    <s v="25.01"/>
    <n v="13950"/>
  </r>
  <r>
    <s v="디지털 영상"/>
    <s v="ADEX"/>
    <s v="교촌F&amp;B"/>
    <x v="6"/>
    <s v="서비스"/>
    <s v="음식및숙박"/>
    <s v="기타프랜차이즈점"/>
    <s v="디지털"/>
    <s v="디지털동영상"/>
    <s v="YouTube"/>
    <s v="-"/>
    <s v="25"/>
    <s v="01"/>
    <s v="25.01"/>
    <s v="25.01"/>
    <n v="23438"/>
  </r>
  <r>
    <s v="디지털 영상"/>
    <s v="ADEX"/>
    <s v="웰빙푸드"/>
    <x v="3"/>
    <s v="서비스"/>
    <s v="음식및숙박"/>
    <s v="기타프랜차이즈점"/>
    <s v="디지털"/>
    <s v="디지털동영상"/>
    <s v="YouTube"/>
    <s v="-"/>
    <s v="25"/>
    <s v="01"/>
    <s v="25.01"/>
    <s v="25.01"/>
    <n v="39281"/>
  </r>
  <r>
    <s v="디지털 영상"/>
    <s v="ADEX"/>
    <s v="장스푸드"/>
    <x v="2"/>
    <s v="서비스"/>
    <s v="음식및숙박"/>
    <s v="기타프랜차이즈점"/>
    <s v="디지털"/>
    <s v="디지털동영상"/>
    <s v="YouTube"/>
    <s v="-"/>
    <s v="25"/>
    <s v="01"/>
    <s v="25.01"/>
    <s v="25.01"/>
    <n v="14622"/>
  </r>
  <r>
    <s v="디지털 영상"/>
    <s v="ADEX"/>
    <s v="장스푸드"/>
    <x v="2"/>
    <s v="서비스"/>
    <s v="음식및숙박"/>
    <s v="기타프랜차이즈점"/>
    <s v="디지털"/>
    <s v="디지털동영상"/>
    <s v="GOMTV"/>
    <s v="-"/>
    <s v="25"/>
    <s v="01"/>
    <s v="25.01"/>
    <s v="25.01"/>
    <n v="223"/>
  </r>
  <r>
    <s v="케이블"/>
    <s v="ADEX"/>
    <s v="교촌F&amp;B"/>
    <x v="6"/>
    <s v="서비스"/>
    <s v="음식및숙박"/>
    <s v="기타프랜차이즈점"/>
    <s v="TV"/>
    <s v="케이블"/>
    <s v="YTN"/>
    <s v="-"/>
    <s v="25"/>
    <s v="01"/>
    <s v="25.01"/>
    <s v="25.01"/>
    <n v="1286"/>
  </r>
  <r>
    <s v="케이블"/>
    <s v="ADEX"/>
    <s v="교촌F&amp;B"/>
    <x v="6"/>
    <s v="서비스"/>
    <s v="음식및숙박"/>
    <s v="기타프랜차이즈점"/>
    <s v="TV"/>
    <s v="케이블"/>
    <s v="ENA"/>
    <s v="-"/>
    <s v="25"/>
    <s v="01"/>
    <s v="25.01"/>
    <s v="25.01"/>
    <n v="108"/>
  </r>
  <r>
    <s v="케이블"/>
    <s v="ADEX"/>
    <s v="노상치킨"/>
    <x v="9"/>
    <s v="서비스"/>
    <s v="음식및숙박"/>
    <s v="기타프랜차이즈점"/>
    <s v="TV"/>
    <s v="케이블"/>
    <s v="연합뉴스TV"/>
    <s v="-"/>
    <s v="25"/>
    <s v="01"/>
    <s v="25.01"/>
    <s v="25.01"/>
    <n v="70316"/>
  </r>
  <r>
    <s v="케이블"/>
    <s v="ADEX"/>
    <s v="웰빙푸드"/>
    <x v="3"/>
    <s v="서비스"/>
    <s v="음식및숙박"/>
    <s v="기타프랜차이즈점"/>
    <s v="TV"/>
    <s v="케이블"/>
    <s v="OCN"/>
    <s v="-"/>
    <s v="25"/>
    <s v="01"/>
    <s v="25.01"/>
    <s v="25.01"/>
    <n v="4733"/>
  </r>
  <r>
    <s v="케이블"/>
    <s v="ADEX"/>
    <s v="웰빙푸드"/>
    <x v="3"/>
    <s v="서비스"/>
    <s v="음식및숙박"/>
    <s v="기타프랜차이즈점"/>
    <s v="TV"/>
    <s v="케이블"/>
    <s v="E채널"/>
    <s v="-"/>
    <s v="25"/>
    <s v="01"/>
    <s v="25.01"/>
    <s v="25.01"/>
    <n v="28509"/>
  </r>
  <r>
    <s v="케이블"/>
    <s v="ADEX"/>
    <s v="웰빙푸드"/>
    <x v="3"/>
    <s v="서비스"/>
    <s v="음식및숙박"/>
    <s v="기타프랜차이즈점"/>
    <s v="TV"/>
    <s v="케이블"/>
    <s v="tvNSHOW"/>
    <s v="-"/>
    <s v="25"/>
    <s v="01"/>
    <s v="25.01"/>
    <s v="25.01"/>
    <n v="26742"/>
  </r>
  <r>
    <s v="케이블"/>
    <s v="ADEX"/>
    <s v="웰빙푸드"/>
    <x v="3"/>
    <s v="서비스"/>
    <s v="음식및숙박"/>
    <s v="기타프랜차이즈점"/>
    <s v="TV"/>
    <s v="케이블"/>
    <s v="tvN"/>
    <s v="-"/>
    <s v="25"/>
    <s v="01"/>
    <s v="25.01"/>
    <s v="25.01"/>
    <n v="222222"/>
  </r>
  <r>
    <s v="케이블"/>
    <s v="ADEX"/>
    <s v="웰빙푸드"/>
    <x v="3"/>
    <s v="서비스"/>
    <s v="음식및숙박"/>
    <s v="기타프랜차이즈점"/>
    <s v="TV"/>
    <s v="케이블"/>
    <s v="MX"/>
    <s v="-"/>
    <s v="25"/>
    <s v="01"/>
    <s v="25.01"/>
    <s v="25.01"/>
    <n v="2807"/>
  </r>
  <r>
    <s v="케이블"/>
    <s v="ADEX"/>
    <s v="웰빙푸드"/>
    <x v="3"/>
    <s v="서비스"/>
    <s v="음식및숙박"/>
    <s v="기타프랜차이즈점"/>
    <s v="TV"/>
    <s v="케이블"/>
    <s v="채널에버"/>
    <s v="-"/>
    <s v="25"/>
    <s v="01"/>
    <s v="25.01"/>
    <s v="25.01"/>
    <n v="1869"/>
  </r>
  <r>
    <s v="케이블"/>
    <s v="ADEX"/>
    <s v="웰빙푸드"/>
    <x v="3"/>
    <s v="서비스"/>
    <s v="음식및숙박"/>
    <s v="기타프랜차이즈점"/>
    <s v="TV"/>
    <s v="케이블"/>
    <s v="CHING"/>
    <s v="-"/>
    <s v="25"/>
    <s v="01"/>
    <s v="25.01"/>
    <s v="25.01"/>
    <n v="1253"/>
  </r>
  <r>
    <s v="케이블"/>
    <s v="ADEX"/>
    <s v="웰빙푸드"/>
    <x v="3"/>
    <s v="서비스"/>
    <s v="음식및숙박"/>
    <s v="기타프랜차이즈점"/>
    <s v="TV"/>
    <s v="케이블"/>
    <s v="OLIFE"/>
    <s v="-"/>
    <s v="25"/>
    <s v="01"/>
    <s v="25.01"/>
    <s v="25.01"/>
    <n v="720"/>
  </r>
  <r>
    <s v="케이블"/>
    <s v="ADEX"/>
    <s v="웰빙푸드"/>
    <x v="3"/>
    <s v="서비스"/>
    <s v="음식및숙박"/>
    <s v="기타프랜차이즈점"/>
    <s v="TV"/>
    <s v="케이블"/>
    <s v="ENA"/>
    <s v="-"/>
    <s v="25"/>
    <s v="01"/>
    <s v="25.01"/>
    <s v="25.01"/>
    <n v="33135"/>
  </r>
  <r>
    <s v="케이블"/>
    <s v="ADEX"/>
    <s v="장스푸드"/>
    <x v="2"/>
    <s v="서비스"/>
    <s v="음식및숙박"/>
    <s v="기타프랜차이즈점"/>
    <s v="TV"/>
    <s v="케이블"/>
    <s v="ENA"/>
    <s v="-"/>
    <s v="25"/>
    <s v="01"/>
    <s v="25.01"/>
    <s v="25.01"/>
    <n v="65108"/>
  </r>
  <r>
    <s v="지상파"/>
    <s v="ADEX"/>
    <s v="장스푸드"/>
    <x v="2"/>
    <s v="서비스"/>
    <s v="음식및숙박"/>
    <s v="기타프랜차이즈점"/>
    <s v="TV"/>
    <s v="지상파"/>
    <s v="KBS"/>
    <s v="-"/>
    <s v="25"/>
    <s v="01"/>
    <s v="25.01"/>
    <s v="25.01"/>
    <n v="474336"/>
  </r>
  <r>
    <s v="지상파"/>
    <s v="ADEX"/>
    <s v="장스푸드"/>
    <x v="2"/>
    <s v="서비스"/>
    <s v="음식및숙박"/>
    <s v="기타프랜차이즈점"/>
    <s v="TV"/>
    <s v="지상파"/>
    <s v="MBC"/>
    <s v="-"/>
    <s v="25"/>
    <s v="01"/>
    <s v="25.01"/>
    <s v="25.01"/>
    <n v="674621"/>
  </r>
  <r>
    <s v="라디오"/>
    <s v="ADEX"/>
    <s v="웰빙푸드"/>
    <x v="3"/>
    <s v="서비스"/>
    <s v="음식및숙박"/>
    <s v="기타프랜차이즈점"/>
    <s v="라디오"/>
    <s v="라디오"/>
    <s v="CPBC-FM"/>
    <s v="-"/>
    <s v="25"/>
    <s v="01"/>
    <s v="25.01"/>
    <s v="25.01"/>
    <n v="19020"/>
  </r>
  <r>
    <s v="케이블"/>
    <s v="ADEX"/>
    <s v="교촌F&amp;B"/>
    <x v="6"/>
    <s v="서비스"/>
    <s v="음식및숙박"/>
    <s v="기타프랜차이즈점"/>
    <s v="TV"/>
    <s v="케이블"/>
    <s v="KBSJOY"/>
    <s v="-"/>
    <s v="25"/>
    <s v="01"/>
    <s v="25.01"/>
    <s v="25.01"/>
    <n v="79"/>
  </r>
  <r>
    <s v="케이블"/>
    <s v="ADEX"/>
    <s v="교촌F&amp;B"/>
    <x v="6"/>
    <s v="서비스"/>
    <s v="음식및숙박"/>
    <s v="기타프랜차이즈점"/>
    <s v="TV"/>
    <s v="케이블"/>
    <s v="ENASTORY"/>
    <s v="-"/>
    <s v="25"/>
    <s v="01"/>
    <s v="25.01"/>
    <s v="25.01"/>
    <n v="24"/>
  </r>
  <r>
    <s v="케이블"/>
    <s v="ADEX"/>
    <s v="교촌F&amp;B"/>
    <x v="6"/>
    <s v="서비스"/>
    <s v="음식및숙박"/>
    <s v="기타프랜차이즈점"/>
    <s v="TV"/>
    <s v="케이블"/>
    <s v="헬스메디TV"/>
    <s v="-"/>
    <s v="25"/>
    <s v="01"/>
    <s v="25.01"/>
    <s v="25.01"/>
    <n v="23"/>
  </r>
  <r>
    <s v="케이블"/>
    <s v="ADEX"/>
    <s v="아이더스에프앤비"/>
    <x v="0"/>
    <s v="서비스"/>
    <s v="음식및숙박"/>
    <s v="기타프랜차이즈점"/>
    <s v="TV"/>
    <s v="케이블"/>
    <s v="JTBC2"/>
    <s v="-"/>
    <s v="25"/>
    <s v="01"/>
    <s v="25.01"/>
    <s v="25.01"/>
    <n v="78"/>
  </r>
  <r>
    <s v="케이블"/>
    <s v="ADEX"/>
    <s v="교촌F&amp;B"/>
    <x v="6"/>
    <s v="서비스"/>
    <s v="음식및숙박"/>
    <s v="기타프랜차이즈점"/>
    <s v="TV"/>
    <s v="케이블"/>
    <s v="SBSLife"/>
    <s v="-"/>
    <s v="25"/>
    <s v="01"/>
    <s v="25.01"/>
    <s v="25.01"/>
    <n v="17"/>
  </r>
  <r>
    <s v="케이블"/>
    <s v="ADEX"/>
    <s v="에이치푸드빌"/>
    <x v="19"/>
    <s v="서비스"/>
    <s v="음식및숙박"/>
    <s v="기타프랜차이즈점"/>
    <s v="TV"/>
    <s v="케이블"/>
    <s v="MBC드라마넷"/>
    <s v="-"/>
    <s v="25"/>
    <s v="01"/>
    <s v="25.01"/>
    <s v="25.01"/>
    <n v="63000"/>
  </r>
  <r>
    <s v="케이블"/>
    <s v="ADEX"/>
    <s v="에이치푸드빌"/>
    <x v="19"/>
    <s v="서비스"/>
    <s v="음식및숙박"/>
    <s v="기타프랜차이즈점"/>
    <s v="TV"/>
    <s v="케이블"/>
    <s v="MBCevery1"/>
    <s v="-"/>
    <s v="25"/>
    <s v="01"/>
    <s v="25.01"/>
    <s v="25.01"/>
    <n v="30071"/>
  </r>
  <r>
    <s v="케이블"/>
    <s v="ADEX"/>
    <s v="웰빙푸드"/>
    <x v="3"/>
    <s v="서비스"/>
    <s v="음식및숙박"/>
    <s v="기타프랜차이즈점"/>
    <s v="TV"/>
    <s v="케이블"/>
    <s v="OCNMovies2"/>
    <s v="-"/>
    <s v="25"/>
    <s v="01"/>
    <s v="25.01"/>
    <s v="25.01"/>
    <n v="1664"/>
  </r>
  <r>
    <s v="케이블"/>
    <s v="ADEX"/>
    <s v="웰빙푸드"/>
    <x v="3"/>
    <s v="서비스"/>
    <s v="음식및숙박"/>
    <s v="기타프랜차이즈점"/>
    <s v="TV"/>
    <s v="케이블"/>
    <s v="MBCevery1"/>
    <s v="-"/>
    <s v="25"/>
    <s v="01"/>
    <s v="25.01"/>
    <s v="25.01"/>
    <n v="70286"/>
  </r>
  <r>
    <s v="케이블"/>
    <s v="ADEX"/>
    <s v="웰빙푸드"/>
    <x v="3"/>
    <s v="서비스"/>
    <s v="음식및숙박"/>
    <s v="기타프랜차이즈점"/>
    <s v="TV"/>
    <s v="케이블"/>
    <s v="tvNDRAMA"/>
    <s v="-"/>
    <s v="25"/>
    <s v="01"/>
    <s v="25.01"/>
    <s v="25.01"/>
    <n v="25934"/>
  </r>
  <r>
    <s v="케이블"/>
    <s v="ADEX"/>
    <s v="웰빙푸드"/>
    <x v="3"/>
    <s v="서비스"/>
    <s v="음식및숙박"/>
    <s v="기타프랜차이즈점"/>
    <s v="TV"/>
    <s v="케이블"/>
    <s v="KBSJOY"/>
    <s v="-"/>
    <s v="25"/>
    <s v="01"/>
    <s v="25.01"/>
    <s v="25.01"/>
    <n v="77453"/>
  </r>
  <r>
    <s v="케이블"/>
    <s v="ADEX"/>
    <s v="웰빙푸드"/>
    <x v="3"/>
    <s v="서비스"/>
    <s v="음식및숙박"/>
    <s v="기타프랜차이즈점"/>
    <s v="TV"/>
    <s v="케이블"/>
    <s v="ChannelJ"/>
    <s v="-"/>
    <s v="25"/>
    <s v="01"/>
    <s v="25.01"/>
    <s v="25.01"/>
    <n v="8044"/>
  </r>
  <r>
    <s v="케이블"/>
    <s v="ADEX"/>
    <s v="웰빙푸드"/>
    <x v="3"/>
    <s v="서비스"/>
    <s v="음식및숙박"/>
    <s v="기타프랜차이즈점"/>
    <s v="TV"/>
    <s v="케이블"/>
    <s v="ENASTORY"/>
    <s v="-"/>
    <s v="25"/>
    <s v="01"/>
    <s v="25.01"/>
    <s v="25.01"/>
    <n v="3095"/>
  </r>
  <r>
    <s v="라디오"/>
    <s v="ADEX"/>
    <s v="웰빙푸드"/>
    <x v="3"/>
    <s v="서비스"/>
    <s v="음식및숙박"/>
    <s v="기타프랜차이즈점"/>
    <s v="라디오"/>
    <s v="라디오"/>
    <s v="SBS-FM"/>
    <s v="-"/>
    <s v="25"/>
    <s v="01"/>
    <s v="25.01"/>
    <s v="25.01"/>
    <n v="134200"/>
  </r>
  <r>
    <s v="케이블"/>
    <s v="ADEX"/>
    <s v="웰빙푸드"/>
    <x v="3"/>
    <s v="서비스"/>
    <s v="음식및숙박"/>
    <s v="기타프랜차이즈점"/>
    <s v="TV"/>
    <s v="케이블"/>
    <s v="헬스메디TV"/>
    <s v="-"/>
    <s v="25"/>
    <s v="01"/>
    <s v="25.01"/>
    <s v="25.01"/>
    <n v="1528"/>
  </r>
  <r>
    <s v="케이블"/>
    <s v="ADEX"/>
    <s v="장스푸드"/>
    <x v="2"/>
    <s v="서비스"/>
    <s v="음식및숙박"/>
    <s v="기타프랜차이즈점"/>
    <s v="TV"/>
    <s v="케이블"/>
    <s v="KBSJOY"/>
    <s v="-"/>
    <s v="25"/>
    <s v="01"/>
    <s v="25.01"/>
    <s v="25.01"/>
    <n v="24989"/>
  </r>
  <r>
    <s v="라디오"/>
    <s v="ADEX"/>
    <s v="제이케이글로벌"/>
    <x v="8"/>
    <s v="서비스"/>
    <s v="음식및숙박"/>
    <s v="기타프랜차이즈점"/>
    <s v="라디오"/>
    <s v="라디오"/>
    <s v="KBS-2FM"/>
    <s v="-"/>
    <s v="25"/>
    <s v="01"/>
    <s v="25.01"/>
    <s v="25.01"/>
    <n v="2564"/>
  </r>
  <r>
    <s v="지상파"/>
    <s v="ADEX"/>
    <s v="장스푸드"/>
    <x v="2"/>
    <s v="서비스"/>
    <s v="음식및숙박"/>
    <s v="기타프랜차이즈점"/>
    <s v="TV"/>
    <s v="지상파"/>
    <s v="SBS"/>
    <s v="-"/>
    <s v="25"/>
    <s v="01"/>
    <s v="25.01"/>
    <s v="25.01"/>
    <n v="52394"/>
  </r>
  <r>
    <s v="지상파"/>
    <s v="ADEX"/>
    <s v="웰빙푸드"/>
    <x v="3"/>
    <s v="서비스"/>
    <s v="음식및숙박"/>
    <s v="기타프랜차이즈점"/>
    <s v="TV"/>
    <s v="지상파"/>
    <s v="MBC"/>
    <s v="-"/>
    <s v="25"/>
    <s v="01"/>
    <s v="25.01"/>
    <s v="25.01"/>
    <n v="1526213"/>
  </r>
  <r>
    <s v="케이블"/>
    <s v="ADEX"/>
    <s v="웰빙푸드"/>
    <x v="3"/>
    <s v="서비스"/>
    <s v="음식및숙박"/>
    <s v="기타프랜차이즈점"/>
    <s v="TV"/>
    <s v="케이블"/>
    <s v="MTN머니투데이방송"/>
    <s v="-"/>
    <s v="25"/>
    <s v="01"/>
    <s v="25.01"/>
    <s v="25.01"/>
    <n v="579250"/>
  </r>
  <r>
    <s v="케이블"/>
    <s v="ADEX"/>
    <s v="장스푸드"/>
    <x v="2"/>
    <s v="서비스"/>
    <s v="음식및숙박"/>
    <s v="기타프랜차이즈점"/>
    <s v="TV"/>
    <s v="케이블"/>
    <s v="ENAPLAY"/>
    <s v="-"/>
    <s v="25"/>
    <s v="01"/>
    <s v="25.01"/>
    <s v="25.01"/>
    <n v="14170"/>
  </r>
  <r>
    <s v="라디오"/>
    <s v="ADEX"/>
    <s v="웰빙푸드"/>
    <x v="3"/>
    <s v="서비스"/>
    <s v="음식및숙박"/>
    <s v="기타프랜차이즈점"/>
    <s v="라디오"/>
    <s v="라디오"/>
    <s v="WBS-FM"/>
    <s v="-"/>
    <s v="25"/>
    <s v="01"/>
    <s v="25.01"/>
    <s v="25.01"/>
    <n v="23426"/>
  </r>
  <r>
    <s v="케이블"/>
    <s v="ADEX"/>
    <s v="웰빙푸드"/>
    <x v="3"/>
    <s v="서비스"/>
    <s v="음식및숙박"/>
    <s v="기타프랜차이즈점"/>
    <s v="TV"/>
    <s v="케이블"/>
    <s v="ONCE"/>
    <s v="-"/>
    <s v="25"/>
    <s v="01"/>
    <s v="25.01"/>
    <s v="25.01"/>
    <n v="2744"/>
  </r>
  <r>
    <s v="케이블"/>
    <s v="ADEX"/>
    <s v="웰빙푸드"/>
    <x v="3"/>
    <s v="서비스"/>
    <s v="음식및숙박"/>
    <s v="기타프랜차이즈점"/>
    <s v="TV"/>
    <s v="케이블"/>
    <s v="SBSPlus"/>
    <s v="-"/>
    <s v="25"/>
    <s v="01"/>
    <s v="25.01"/>
    <s v="25.01"/>
    <n v="55800"/>
  </r>
  <r>
    <s v="디지털 영상"/>
    <s v="ADEX"/>
    <s v="제너시스비비큐"/>
    <x v="10"/>
    <s v="서비스"/>
    <s v="음식및숙박"/>
    <s v="기타프랜차이즈점"/>
    <s v="디지털"/>
    <s v="디지털동영상"/>
    <s v="YouTube"/>
    <s v="-"/>
    <s v="25"/>
    <s v="01"/>
    <s v="25.01"/>
    <s v="25.01"/>
    <n v="19339"/>
  </r>
  <r>
    <s v="지상파"/>
    <s v="ADEX"/>
    <s v="에이치푸드빌"/>
    <x v="19"/>
    <s v="서비스"/>
    <s v="음식및숙박"/>
    <s v="기타프랜차이즈점"/>
    <s v="TV"/>
    <s v="지상파"/>
    <s v="SBS"/>
    <s v="-"/>
    <s v="25"/>
    <s v="01"/>
    <s v="25.01"/>
    <s v="25.01"/>
    <n v="303541"/>
  </r>
  <r>
    <s v="디지털 영상"/>
    <s v="ADEX"/>
    <s v="노상치킨"/>
    <x v="9"/>
    <s v="서비스"/>
    <s v="음식및숙박"/>
    <s v="기타프랜차이즈점"/>
    <s v="디지털"/>
    <s v="디지털동영상"/>
    <s v="YouTube"/>
    <s v="-"/>
    <s v="25"/>
    <s v="01"/>
    <s v="25.01"/>
    <s v="25.01"/>
    <n v="3091"/>
  </r>
  <r>
    <s v="지상파"/>
    <s v="ADEX"/>
    <s v="아이더스에프앤비"/>
    <x v="0"/>
    <s v="서비스"/>
    <s v="음식및숙박"/>
    <s v="기타프랜차이즈점"/>
    <s v="TV"/>
    <s v="지상파"/>
    <s v="MBC"/>
    <s v="-"/>
    <s v="25"/>
    <s v="01"/>
    <s v="25.01"/>
    <s v="25.01"/>
    <n v="42000"/>
  </r>
  <r>
    <s v="디지털 영상"/>
    <s v="ADEX"/>
    <s v="웰빙푸드"/>
    <x v="3"/>
    <s v="서비스"/>
    <s v="음식및숙박"/>
    <s v="기타프랜차이즈점"/>
    <s v="디지털"/>
    <s v="디지털동영상"/>
    <s v="Tving"/>
    <s v="-"/>
    <s v="25"/>
    <s v="01"/>
    <s v="25.01"/>
    <s v="25.01"/>
    <n v="237"/>
  </r>
  <r>
    <s v="디지털 영상"/>
    <s v="ADEX"/>
    <s v="지엔푸드"/>
    <x v="13"/>
    <s v="서비스"/>
    <s v="음식및숙박"/>
    <s v="기타프랜차이즈점"/>
    <s v="디지털"/>
    <s v="디지털동영상"/>
    <s v="네이버"/>
    <s v="-"/>
    <s v="25"/>
    <s v="01"/>
    <s v="25.01"/>
    <s v="25.01"/>
    <n v="2818"/>
  </r>
  <r>
    <s v="케이블"/>
    <s v="ADEX"/>
    <s v="교촌F&amp;B"/>
    <x v="6"/>
    <s v="서비스"/>
    <s v="음식및숙박"/>
    <s v="기타프랜차이즈점"/>
    <s v="TV"/>
    <s v="케이블"/>
    <s v="ENAPLAY"/>
    <s v="-"/>
    <s v="25"/>
    <s v="01"/>
    <s v="25.01"/>
    <s v="25.01"/>
    <n v="149"/>
  </r>
  <r>
    <s v="케이블"/>
    <s v="ADEX"/>
    <s v="웰빙푸드"/>
    <x v="3"/>
    <s v="서비스"/>
    <s v="음식및숙박"/>
    <s v="기타프랜차이즈점"/>
    <s v="TV"/>
    <s v="케이블"/>
    <s v="SBSM"/>
    <s v="-"/>
    <s v="25"/>
    <s v="01"/>
    <s v="25.01"/>
    <s v="25.01"/>
    <n v="14"/>
  </r>
  <r>
    <s v="케이블"/>
    <s v="ADEX"/>
    <s v="웰빙푸드"/>
    <x v="3"/>
    <s v="서비스"/>
    <s v="음식및숙박"/>
    <s v="기타프랜차이즈점"/>
    <s v="TV"/>
    <s v="케이블"/>
    <s v="애니원"/>
    <s v="-"/>
    <s v="25"/>
    <s v="01"/>
    <s v="25.01"/>
    <s v="25.01"/>
    <n v="4773"/>
  </r>
  <r>
    <s v="케이블"/>
    <s v="ADEX"/>
    <s v="웰빙푸드"/>
    <x v="3"/>
    <s v="서비스"/>
    <s v="음식및숙박"/>
    <s v="기타프랜차이즈점"/>
    <s v="TV"/>
    <s v="케이블"/>
    <s v="Anibox"/>
    <s v="-"/>
    <s v="25"/>
    <s v="01"/>
    <s v="25.01"/>
    <s v="25.01"/>
    <n v="3472"/>
  </r>
  <r>
    <s v="종편"/>
    <s v="ADEX"/>
    <s v="장스푸드"/>
    <x v="2"/>
    <s v="서비스"/>
    <s v="음식및숙박"/>
    <s v="기타프랜차이즈점"/>
    <s v="TV"/>
    <s v="종편"/>
    <s v="TVCHOSUN"/>
    <s v="-"/>
    <s v="25"/>
    <s v="01"/>
    <s v="25.01"/>
    <s v="25.01"/>
    <n v="324099"/>
  </r>
  <r>
    <s v="케이블"/>
    <s v="ADEX"/>
    <s v="웰빙푸드"/>
    <x v="3"/>
    <s v="서비스"/>
    <s v="음식및숙박"/>
    <s v="기타프랜차이즈점"/>
    <s v="TV"/>
    <s v="케이블"/>
    <s v="ENAPLAY"/>
    <s v="-"/>
    <s v="25"/>
    <s v="01"/>
    <s v="25.01"/>
    <s v="25.01"/>
    <n v="9872"/>
  </r>
  <r>
    <s v="케이블"/>
    <s v="ADEX"/>
    <s v="웰빙푸드"/>
    <x v="3"/>
    <s v="서비스"/>
    <s v="음식및숙박"/>
    <s v="기타프랜차이즈점"/>
    <s v="TV"/>
    <s v="케이블"/>
    <s v="tvNSTORY"/>
    <s v="-"/>
    <s v="25"/>
    <s v="01"/>
    <s v="25.01"/>
    <s v="25.01"/>
    <n v="41668"/>
  </r>
  <r>
    <s v="종편"/>
    <s v="ADEX"/>
    <s v="웰빙푸드"/>
    <x v="3"/>
    <s v="서비스"/>
    <s v="음식및숙박"/>
    <s v="기타프랜차이즈점"/>
    <s v="TV"/>
    <s v="종편"/>
    <s v="JTBC"/>
    <s v="-"/>
    <s v="25"/>
    <s v="01"/>
    <s v="25.01"/>
    <s v="25.01"/>
    <n v="84667"/>
  </r>
  <r>
    <s v="케이블"/>
    <s v="ADEX"/>
    <s v="장스푸드"/>
    <x v="2"/>
    <s v="서비스"/>
    <s v="음식및숙박"/>
    <s v="기타프랜차이즈점"/>
    <s v="TV"/>
    <s v="케이블"/>
    <s v="KBS드라마"/>
    <s v="-"/>
    <s v="25"/>
    <s v="01"/>
    <s v="25.01"/>
    <s v="25.01"/>
    <n v="13781"/>
  </r>
  <r>
    <s v="케이블"/>
    <s v="ADEX"/>
    <s v="웰빙푸드"/>
    <x v="3"/>
    <s v="서비스"/>
    <s v="음식및숙박"/>
    <s v="기타프랜차이즈점"/>
    <s v="TV"/>
    <s v="케이블"/>
    <s v="JTBC2"/>
    <s v="-"/>
    <s v="25"/>
    <s v="01"/>
    <s v="25.01"/>
    <s v="25.01"/>
    <n v="40063"/>
  </r>
  <r>
    <s v="디지털 영상"/>
    <s v="ADEX"/>
    <s v="교촌F&amp;B"/>
    <x v="6"/>
    <s v="서비스"/>
    <s v="음식및숙박"/>
    <s v="기타프랜차이즈점"/>
    <s v="디지털"/>
    <s v="디지털동영상"/>
    <s v="네이버"/>
    <s v="-"/>
    <s v="25"/>
    <s v="01"/>
    <s v="25.01"/>
    <s v="25.01"/>
    <n v="301818"/>
  </r>
  <r>
    <s v="지상파"/>
    <s v="ADEX"/>
    <s v="장스푸드"/>
    <x v="2"/>
    <s v="서비스"/>
    <s v="음식및숙박"/>
    <s v="기타프랜차이즈점"/>
    <s v="TV"/>
    <s v="지상파"/>
    <s v="EBS"/>
    <s v="-"/>
    <s v="25"/>
    <s v="01"/>
    <s v="25.01"/>
    <s v="25.01"/>
    <n v="125217"/>
  </r>
  <r>
    <s v="종편"/>
    <s v="ADEX"/>
    <s v="아이더스에프앤비"/>
    <x v="0"/>
    <s v="서비스"/>
    <s v="음식및숙박"/>
    <s v="기타프랜차이즈점"/>
    <s v="TV"/>
    <s v="종편"/>
    <s v="JTBC"/>
    <s v="-"/>
    <s v="25"/>
    <s v="01"/>
    <s v="25.01"/>
    <s v="25.01"/>
    <n v="2286"/>
  </r>
  <r>
    <s v="지상파"/>
    <s v="ADEX"/>
    <s v="청정유통*"/>
    <x v="17"/>
    <s v="서비스"/>
    <s v="음식및숙박"/>
    <s v="기타프랜차이즈점"/>
    <s v="TV"/>
    <s v="지상파"/>
    <s v="MBC"/>
    <s v="-"/>
    <s v="25"/>
    <s v="01"/>
    <s v="25.01"/>
    <s v="25.01"/>
    <n v="5835"/>
  </r>
  <r>
    <s v="케이블"/>
    <s v="ADEX"/>
    <s v="교촌F&amp;B"/>
    <x v="6"/>
    <s v="서비스"/>
    <s v="음식및숙박"/>
    <s v="기타프랜차이즈점"/>
    <s v="TV"/>
    <s v="케이블"/>
    <s v="ONT"/>
    <s v="-"/>
    <s v="25"/>
    <s v="01"/>
    <s v="25.01"/>
    <s v="25.01"/>
    <n v="67"/>
  </r>
  <r>
    <s v="디지털 영상"/>
    <s v="ADEX"/>
    <s v="아이더스에프앤비"/>
    <x v="0"/>
    <s v="서비스"/>
    <s v="음식및숙박"/>
    <s v="기타프랜차이즈점"/>
    <s v="디지털"/>
    <s v="디지털동영상"/>
    <s v="YouTube"/>
    <s v="-"/>
    <s v="25"/>
    <s v="01"/>
    <s v="25.01"/>
    <s v="25.01"/>
    <n v="1664"/>
  </r>
  <r>
    <s v="신문"/>
    <s v="ADEX"/>
    <s v="제너시스비비큐"/>
    <x v="10"/>
    <s v="서비스"/>
    <s v="음식및숙박"/>
    <s v="기타프랜차이즈점"/>
    <s v="인쇄"/>
    <s v="신문"/>
    <s v="전라일보"/>
    <s v="-"/>
    <s v="25"/>
    <s v="01"/>
    <s v="25.01"/>
    <s v="25.01"/>
    <n v="800"/>
  </r>
  <r>
    <s v="디지털 영상"/>
    <s v="ADEX"/>
    <s v="웰빙푸드"/>
    <x v="3"/>
    <s v="서비스"/>
    <s v="음식및숙박"/>
    <s v="기타프랜차이즈점"/>
    <s v="디지털"/>
    <s v="디지털동영상"/>
    <s v="네이버"/>
    <s v="-"/>
    <s v="25"/>
    <s v="01"/>
    <s v="25.01"/>
    <s v="25.01"/>
    <n v="2107"/>
  </r>
  <r>
    <s v="디지털 영상"/>
    <s v="ADEX"/>
    <s v="장스푸드"/>
    <x v="2"/>
    <s v="서비스"/>
    <s v="음식및숙박"/>
    <s v="기타프랜차이즈점"/>
    <s v="디지털"/>
    <s v="디지털동영상"/>
    <s v="네이버"/>
    <s v="-"/>
    <s v="25"/>
    <s v="01"/>
    <s v="25.01"/>
    <s v="25.01"/>
    <n v="495"/>
  </r>
  <r>
    <s v="디지털 영상"/>
    <s v="ADEX"/>
    <s v="지엔푸드"/>
    <x v="13"/>
    <s v="서비스"/>
    <s v="음식및숙박"/>
    <s v="기타프랜차이즈점"/>
    <s v="디지털"/>
    <s v="디지털동영상"/>
    <s v="YouTube"/>
    <s v="-"/>
    <s v="25"/>
    <s v="01"/>
    <s v="25.01"/>
    <s v="25.01"/>
    <n v="24446"/>
  </r>
  <r>
    <s v="디지털 영상"/>
    <s v="ADEX"/>
    <s v="제너시스비비큐"/>
    <x v="10"/>
    <s v="서비스"/>
    <s v="음식및숙박"/>
    <s v="기타프랜차이즈점"/>
    <s v="디지털"/>
    <s v="디지털동영상"/>
    <s v="네이버"/>
    <s v="-"/>
    <s v="25"/>
    <s v="01"/>
    <s v="25.01"/>
    <s v="25.01"/>
    <n v="408"/>
  </r>
  <r>
    <s v="디지털 영상"/>
    <s v="ADEX"/>
    <s v="웰빙푸드"/>
    <x v="3"/>
    <s v="서비스"/>
    <s v="음식및숙박"/>
    <s v="기타프랜차이즈점"/>
    <s v="디지털"/>
    <s v="디지털동영상"/>
    <s v="다음"/>
    <s v="-"/>
    <s v="25"/>
    <s v="01"/>
    <s v="25.01"/>
    <s v="25.01"/>
    <n v="2085"/>
  </r>
  <r>
    <s v="디지털 영상"/>
    <s v="ADEX"/>
    <s v="지엔푸드"/>
    <x v="13"/>
    <s v="서비스"/>
    <s v="음식및숙박"/>
    <s v="기타프랜차이즈점"/>
    <s v="디지털"/>
    <s v="디지털동영상"/>
    <s v="Tving"/>
    <s v="-"/>
    <s v="25"/>
    <s v="01"/>
    <s v="25.01"/>
    <s v="25.01"/>
    <n v="1624"/>
  </r>
  <r>
    <s v="케이블"/>
    <s v="ADEX"/>
    <s v="웰빙푸드"/>
    <x v="3"/>
    <s v="서비스"/>
    <s v="음식및숙박"/>
    <s v="기타프랜차이즈점"/>
    <s v="TV"/>
    <s v="케이블"/>
    <s v="SBSLife"/>
    <s v="-"/>
    <s v="25"/>
    <s v="01"/>
    <s v="25.01"/>
    <s v="25.01"/>
    <n v="34"/>
  </r>
  <r>
    <s v="지상파"/>
    <s v="ADEX"/>
    <s v="다이닝브랜즈그룹"/>
    <x v="20"/>
    <s v="서비스"/>
    <s v="음식및숙박"/>
    <s v="기타프랜차이즈점"/>
    <s v="TV"/>
    <s v="지상파"/>
    <s v="MBC"/>
    <s v="-"/>
    <s v="25"/>
    <s v="12"/>
    <s v="25.12"/>
    <s v="25.12"/>
    <n v="1153705"/>
  </r>
  <r>
    <s v="지상파"/>
    <s v="ADEX"/>
    <s v="다이닝브랜즈그룹"/>
    <x v="20"/>
    <s v="서비스"/>
    <s v="음식및숙박"/>
    <s v="기타프랜차이즈점"/>
    <s v="TV"/>
    <s v="지상파"/>
    <s v="MBC"/>
    <s v="-"/>
    <s v="25"/>
    <s v="11"/>
    <s v="25.11"/>
    <s v="25.11"/>
    <n v="174424"/>
  </r>
  <r>
    <s v="지상파"/>
    <s v="ADEX"/>
    <s v="다이닝브랜즈그룹"/>
    <x v="20"/>
    <s v="서비스"/>
    <s v="음식및숙박"/>
    <s v="기타프랜차이즈점"/>
    <s v="TV"/>
    <s v="지상파"/>
    <s v="SBS"/>
    <s v="-"/>
    <s v="25"/>
    <s v="12"/>
    <s v="25.12"/>
    <s v="25.12"/>
    <n v="1244956"/>
  </r>
  <r>
    <s v="지상파"/>
    <s v="ADEX"/>
    <s v="다이닝브랜즈그룹"/>
    <x v="20"/>
    <s v="서비스"/>
    <s v="음식및숙박"/>
    <s v="기타프랜차이즈점"/>
    <s v="TV"/>
    <s v="지상파"/>
    <s v="SBS"/>
    <s v="-"/>
    <s v="25"/>
    <s v="11"/>
    <s v="25.11"/>
    <s v="25.11"/>
    <n v="244706"/>
  </r>
  <r>
    <s v="지상파"/>
    <s v="ADEX"/>
    <s v="다이닝브랜즈그룹"/>
    <x v="20"/>
    <s v="서비스"/>
    <s v="음식및숙박"/>
    <s v="기타프랜차이즈점"/>
    <s v="TV"/>
    <s v="지상파"/>
    <s v="MBC"/>
    <s v="-"/>
    <s v="25"/>
    <s v="08"/>
    <s v="25.08"/>
    <s v="25.08"/>
    <n v="894695"/>
  </r>
  <r>
    <s v="지상파"/>
    <s v="ADEX"/>
    <s v="다이닝브랜즈그룹"/>
    <x v="20"/>
    <s v="서비스"/>
    <s v="음식및숙박"/>
    <s v="기타프랜차이즈점"/>
    <s v="TV"/>
    <s v="지상파"/>
    <s v="MBC"/>
    <s v="-"/>
    <s v="25"/>
    <s v="07"/>
    <s v="25.07"/>
    <s v="25.07"/>
    <n v="601042"/>
  </r>
  <r>
    <s v="지상파"/>
    <s v="ADEX"/>
    <s v="다이닝브랜즈그룹"/>
    <x v="20"/>
    <s v="서비스"/>
    <s v="음식및숙박"/>
    <s v="기타프랜차이즈점"/>
    <s v="TV"/>
    <s v="지상파"/>
    <s v="MBC"/>
    <s v="-"/>
    <s v="25"/>
    <s v="04"/>
    <s v="25.04"/>
    <s v="25.04"/>
    <n v="849667"/>
  </r>
  <r>
    <s v="지상파"/>
    <s v="ADEX"/>
    <s v="다이닝브랜즈그룹"/>
    <x v="20"/>
    <s v="서비스"/>
    <s v="음식및숙박"/>
    <s v="기타프랜차이즈점"/>
    <s v="TV"/>
    <s v="지상파"/>
    <s v="MBC"/>
    <s v="-"/>
    <s v="25"/>
    <s v="03"/>
    <s v="25.03"/>
    <s v="25.03"/>
    <n v="319159"/>
  </r>
  <r>
    <s v="케이블"/>
    <s v="ADEX"/>
    <s v="다이닝브랜즈그룹"/>
    <x v="20"/>
    <s v="서비스"/>
    <s v="음식및숙박"/>
    <s v="기타프랜차이즈점"/>
    <s v="TV"/>
    <s v="케이블"/>
    <s v="ONT"/>
    <s v="-"/>
    <s v="25"/>
    <s v="12"/>
    <s v="25.12"/>
    <s v="25.12"/>
    <n v="3541"/>
  </r>
  <r>
    <s v="케이블"/>
    <s v="ADEX"/>
    <s v="다이닝브랜즈그룹"/>
    <x v="20"/>
    <s v="서비스"/>
    <s v="음식및숙박"/>
    <s v="기타프랜차이즈점"/>
    <s v="TV"/>
    <s v="케이블"/>
    <s v="KBSJOY"/>
    <s v="-"/>
    <s v="25"/>
    <s v="12"/>
    <s v="25.12"/>
    <s v="25.12"/>
    <n v="61230"/>
  </r>
  <r>
    <s v="케이블"/>
    <s v="ADEX"/>
    <s v="다이닝브랜즈그룹"/>
    <x v="20"/>
    <s v="서비스"/>
    <s v="음식및숙박"/>
    <s v="기타프랜차이즈점"/>
    <s v="TV"/>
    <s v="케이블"/>
    <s v="tvNSTORY"/>
    <s v="-"/>
    <s v="25"/>
    <s v="12"/>
    <s v="25.12"/>
    <s v="25.12"/>
    <n v="99073"/>
  </r>
  <r>
    <s v="케이블"/>
    <s v="ADEX"/>
    <s v="다이닝브랜즈그룹"/>
    <x v="20"/>
    <s v="서비스"/>
    <s v="음식및숙박"/>
    <s v="기타프랜차이즈점"/>
    <s v="TV"/>
    <s v="케이블"/>
    <s v="JTBC2"/>
    <s v="-"/>
    <s v="25"/>
    <s v="12"/>
    <s v="25.12"/>
    <s v="25.12"/>
    <n v="3987"/>
  </r>
  <r>
    <s v="케이블"/>
    <s v="ADEX"/>
    <s v="다이닝브랜즈그룹"/>
    <x v="20"/>
    <s v="서비스"/>
    <s v="음식및숙박"/>
    <s v="기타프랜차이즈점"/>
    <s v="TV"/>
    <s v="케이블"/>
    <s v="ONCE"/>
    <s v="-"/>
    <s v="25"/>
    <s v="12"/>
    <s v="25.12"/>
    <s v="25.12"/>
    <n v="3197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12"/>
    <s v="25.12"/>
    <s v="25.12"/>
    <n v="276711"/>
  </r>
  <r>
    <s v="케이블"/>
    <s v="ADEX"/>
    <s v="다이닝브랜즈그룹"/>
    <x v="20"/>
    <s v="서비스"/>
    <s v="음식및숙박"/>
    <s v="기타프랜차이즈점"/>
    <s v="TV"/>
    <s v="케이블"/>
    <s v="OLIFE"/>
    <s v="-"/>
    <s v="25"/>
    <s v="12"/>
    <s v="25.12"/>
    <s v="25.12"/>
    <n v="4221"/>
  </r>
  <r>
    <s v="케이블"/>
    <s v="ADEX"/>
    <s v="다이닝브랜즈그룹"/>
    <x v="20"/>
    <s v="서비스"/>
    <s v="음식및숙박"/>
    <s v="기타프랜차이즈점"/>
    <s v="TV"/>
    <s v="케이블"/>
    <s v="KBS드라마"/>
    <s v="-"/>
    <s v="25"/>
    <s v="12"/>
    <s v="25.12"/>
    <s v="25.12"/>
    <n v="7786"/>
  </r>
  <r>
    <s v="지상파"/>
    <s v="ADEX"/>
    <s v="다이닝브랜즈그룹"/>
    <x v="20"/>
    <s v="서비스"/>
    <s v="음식및숙박"/>
    <s v="기타프랜차이즈점"/>
    <s v="TV"/>
    <s v="지상파"/>
    <s v="OBS"/>
    <s v="-"/>
    <s v="25"/>
    <s v="12"/>
    <s v="25.12"/>
    <s v="25.12"/>
    <n v="2456"/>
  </r>
  <r>
    <s v="케이블"/>
    <s v="ADEX"/>
    <s v="다이닝브랜즈그룹"/>
    <x v="20"/>
    <s v="서비스"/>
    <s v="음식및숙박"/>
    <s v="기타프랜차이즈점"/>
    <s v="TV"/>
    <s v="케이블"/>
    <s v="ENA"/>
    <s v="-"/>
    <s v="25"/>
    <s v="12"/>
    <s v="25.12"/>
    <s v="25.12"/>
    <n v="82140"/>
  </r>
  <r>
    <s v="케이블"/>
    <s v="ADEX"/>
    <s v="다이닝브랜즈그룹"/>
    <x v="20"/>
    <s v="서비스"/>
    <s v="음식및숙박"/>
    <s v="기타프랜차이즈점"/>
    <s v="TV"/>
    <s v="케이블"/>
    <s v="ENAPLAY"/>
    <s v="-"/>
    <s v="25"/>
    <s v="12"/>
    <s v="25.12"/>
    <s v="25.12"/>
    <n v="15246"/>
  </r>
  <r>
    <s v="케이블"/>
    <s v="ADEX"/>
    <s v="다이닝브랜즈그룹"/>
    <x v="20"/>
    <s v="서비스"/>
    <s v="음식및숙박"/>
    <s v="기타프랜차이즈점"/>
    <s v="TV"/>
    <s v="케이블"/>
    <s v="ENADRAMA"/>
    <s v="-"/>
    <s v="25"/>
    <s v="12"/>
    <s v="25.12"/>
    <s v="25.12"/>
    <n v="14218"/>
  </r>
  <r>
    <s v="케이블"/>
    <s v="ADEX"/>
    <s v="다이닝브랜즈그룹"/>
    <x v="20"/>
    <s v="서비스"/>
    <s v="음식및숙박"/>
    <s v="기타프랜차이즈점"/>
    <s v="TV"/>
    <s v="케이블"/>
    <s v="헬스메디TV"/>
    <s v="-"/>
    <s v="25"/>
    <s v="12"/>
    <s v="25.12"/>
    <s v="25.12"/>
    <n v="2407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12"/>
    <s v="25.12"/>
    <s v="25.12"/>
    <n v="26645"/>
  </r>
  <r>
    <s v="케이블"/>
    <s v="ADEX"/>
    <s v="다이닝브랜즈그룹"/>
    <x v="20"/>
    <s v="서비스"/>
    <s v="음식및숙박"/>
    <s v="기타프랜차이즈점"/>
    <s v="TV"/>
    <s v="케이블"/>
    <s v="OCN"/>
    <s v="-"/>
    <s v="25"/>
    <s v="12"/>
    <s v="25.12"/>
    <s v="25.12"/>
    <n v="26808"/>
  </r>
  <r>
    <s v="종편"/>
    <s v="ADEX"/>
    <s v="다이닝브랜즈그룹"/>
    <x v="20"/>
    <s v="서비스"/>
    <s v="음식및숙박"/>
    <s v="기타프랜차이즈점"/>
    <s v="TV"/>
    <s v="종편"/>
    <s v="JTBC"/>
    <s v="-"/>
    <s v="25"/>
    <s v="12"/>
    <s v="25.12"/>
    <s v="25.12"/>
    <n v="295333"/>
  </r>
  <r>
    <s v="케이블"/>
    <s v="ADEX"/>
    <s v="다이닝브랜즈그룹"/>
    <x v="20"/>
    <s v="서비스"/>
    <s v="음식및숙박"/>
    <s v="기타프랜차이즈점"/>
    <s v="TV"/>
    <s v="케이블"/>
    <s v="CHING"/>
    <s v="-"/>
    <s v="25"/>
    <s v="12"/>
    <s v="25.12"/>
    <s v="25.12"/>
    <n v="8391"/>
  </r>
  <r>
    <s v="케이블"/>
    <s v="ADEX"/>
    <s v="다이닝브랜즈그룹"/>
    <x v="20"/>
    <s v="서비스"/>
    <s v="음식및숙박"/>
    <s v="기타프랜차이즈점"/>
    <s v="TV"/>
    <s v="케이블"/>
    <s v="OCNMovies"/>
    <s v="-"/>
    <s v="25"/>
    <s v="12"/>
    <s v="25.12"/>
    <s v="25.12"/>
    <n v="24556"/>
  </r>
  <r>
    <s v="케이블"/>
    <s v="ADEX"/>
    <s v="다이닝브랜즈그룹"/>
    <x v="20"/>
    <s v="서비스"/>
    <s v="음식및숙박"/>
    <s v="기타프랜차이즈점"/>
    <s v="TV"/>
    <s v="케이블"/>
    <s v="OCNMovies2"/>
    <s v="-"/>
    <s v="25"/>
    <s v="12"/>
    <s v="25.12"/>
    <s v="25.12"/>
    <n v="18000"/>
  </r>
  <r>
    <s v="케이블"/>
    <s v="ADEX"/>
    <s v="다이닝브랜즈그룹"/>
    <x v="20"/>
    <s v="서비스"/>
    <s v="음식및숙박"/>
    <s v="기타프랜차이즈점"/>
    <s v="TV"/>
    <s v="케이블"/>
    <s v="ENASTORY"/>
    <s v="-"/>
    <s v="25"/>
    <s v="12"/>
    <s v="25.12"/>
    <s v="25.12"/>
    <n v="9293"/>
  </r>
  <r>
    <s v="케이블"/>
    <s v="ADEX"/>
    <s v="다이닝브랜즈그룹"/>
    <x v="20"/>
    <s v="서비스"/>
    <s v="음식및숙박"/>
    <s v="기타프랜차이즈점"/>
    <s v="TV"/>
    <s v="케이블"/>
    <s v="ENASPORTS"/>
    <s v="-"/>
    <s v="25"/>
    <s v="12"/>
    <s v="25.12"/>
    <s v="25.12"/>
    <n v="19350"/>
  </r>
  <r>
    <s v="케이블"/>
    <s v="ADEX"/>
    <s v="다이닝브랜즈그룹"/>
    <x v="20"/>
    <s v="서비스"/>
    <s v="음식및숙박"/>
    <s v="기타프랜차이즈점"/>
    <s v="TV"/>
    <s v="케이블"/>
    <s v="ONCE"/>
    <s v="-"/>
    <s v="25"/>
    <s v="11"/>
    <s v="25.11"/>
    <s v="25.11"/>
    <n v="547"/>
  </r>
  <r>
    <s v="디지털 영상"/>
    <s v="ADEX"/>
    <s v="다이닝브랜즈그룹"/>
    <x v="20"/>
    <s v="서비스"/>
    <s v="음식및숙박"/>
    <s v="기타프랜차이즈점"/>
    <s v="디지털"/>
    <s v="디지털동영상"/>
    <s v="다음"/>
    <s v="-"/>
    <s v="25"/>
    <s v="11"/>
    <s v="25.11"/>
    <s v="25.11"/>
    <n v="94"/>
  </r>
  <r>
    <s v="케이블"/>
    <s v="ADEX"/>
    <s v="다이닝브랜즈그룹"/>
    <x v="20"/>
    <s v="서비스"/>
    <s v="음식및숙박"/>
    <s v="기타프랜차이즈점"/>
    <s v="TV"/>
    <s v="케이블"/>
    <s v="KBSJOY"/>
    <s v="-"/>
    <s v="25"/>
    <s v="11"/>
    <s v="25.11"/>
    <s v="25.11"/>
    <n v="9448"/>
  </r>
  <r>
    <s v="케이블"/>
    <s v="ADEX"/>
    <s v="다이닝브랜즈그룹"/>
    <x v="20"/>
    <s v="서비스"/>
    <s v="음식및숙박"/>
    <s v="기타프랜차이즈점"/>
    <s v="TV"/>
    <s v="케이블"/>
    <s v="ENA"/>
    <s v="-"/>
    <s v="25"/>
    <s v="11"/>
    <s v="25.11"/>
    <s v="25.11"/>
    <n v="23512"/>
  </r>
  <r>
    <s v="종편"/>
    <s v="ADEX"/>
    <s v="다이닝브랜즈그룹"/>
    <x v="20"/>
    <s v="서비스"/>
    <s v="음식및숙박"/>
    <s v="기타프랜차이즈점"/>
    <s v="TV"/>
    <s v="종편"/>
    <s v="JTBC"/>
    <s v="-"/>
    <s v="25"/>
    <s v="11"/>
    <s v="25.11"/>
    <s v="25.11"/>
    <n v="55187"/>
  </r>
  <r>
    <s v="케이블"/>
    <s v="ADEX"/>
    <s v="다이닝브랜즈그룹"/>
    <x v="20"/>
    <s v="서비스"/>
    <s v="음식및숙박"/>
    <s v="기타프랜차이즈점"/>
    <s v="TV"/>
    <s v="케이블"/>
    <s v="CHING"/>
    <s v="-"/>
    <s v="25"/>
    <s v="11"/>
    <s v="25.11"/>
    <s v="25.11"/>
    <n v="1045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11"/>
    <s v="25.11"/>
    <s v="25.11"/>
    <n v="125526"/>
  </r>
  <r>
    <s v="케이블"/>
    <s v="ADEX"/>
    <s v="다이닝브랜즈그룹"/>
    <x v="20"/>
    <s v="서비스"/>
    <s v="음식및숙박"/>
    <s v="기타프랜차이즈점"/>
    <s v="TV"/>
    <s v="케이블"/>
    <s v="OLIFE"/>
    <s v="-"/>
    <s v="25"/>
    <s v="11"/>
    <s v="25.11"/>
    <s v="25.11"/>
    <n v="626"/>
  </r>
  <r>
    <s v="케이블"/>
    <s v="ADEX"/>
    <s v="다이닝브랜즈그룹"/>
    <x v="20"/>
    <s v="서비스"/>
    <s v="음식및숙박"/>
    <s v="기타프랜차이즈점"/>
    <s v="TV"/>
    <s v="케이블"/>
    <s v="ENASPORTS"/>
    <s v="-"/>
    <s v="25"/>
    <s v="11"/>
    <s v="25.11"/>
    <s v="25.11"/>
    <n v="3289"/>
  </r>
  <r>
    <s v="디지털 영상"/>
    <s v="ADEX"/>
    <s v="다이닝브랜즈그룹"/>
    <x v="20"/>
    <s v="서비스"/>
    <s v="음식및숙박"/>
    <s v="기타프랜차이즈점"/>
    <s v="디지털"/>
    <s v="디지털동영상"/>
    <s v="Tving"/>
    <s v="-"/>
    <s v="25"/>
    <s v="11"/>
    <s v="25.11"/>
    <s v="25.11"/>
    <n v="614"/>
  </r>
  <r>
    <s v="케이블"/>
    <s v="ADEX"/>
    <s v="다이닝브랜즈그룹"/>
    <x v="20"/>
    <s v="서비스"/>
    <s v="음식및숙박"/>
    <s v="기타프랜차이즈점"/>
    <s v="TV"/>
    <s v="케이블"/>
    <s v="ENADRAMA"/>
    <s v="-"/>
    <s v="25"/>
    <s v="11"/>
    <s v="25.11"/>
    <s v="25.11"/>
    <n v="3509"/>
  </r>
  <r>
    <s v="케이블"/>
    <s v="ADEX"/>
    <s v="다이닝브랜즈그룹"/>
    <x v="20"/>
    <s v="서비스"/>
    <s v="음식및숙박"/>
    <s v="기타프랜차이즈점"/>
    <s v="TV"/>
    <s v="케이블"/>
    <s v="ONT"/>
    <s v="-"/>
    <s v="25"/>
    <s v="11"/>
    <s v="25.11"/>
    <s v="25.11"/>
    <n v="455"/>
  </r>
  <r>
    <s v="케이블"/>
    <s v="ADEX"/>
    <s v="다이닝브랜즈그룹"/>
    <x v="20"/>
    <s v="서비스"/>
    <s v="음식및숙박"/>
    <s v="기타프랜차이즈점"/>
    <s v="TV"/>
    <s v="케이블"/>
    <s v="ENAPLAY"/>
    <s v="-"/>
    <s v="25"/>
    <s v="11"/>
    <s v="25.11"/>
    <s v="25.11"/>
    <n v="3421"/>
  </r>
  <r>
    <s v="디지털 영상"/>
    <s v="ADEX"/>
    <s v="다이닝브랜즈그룹"/>
    <x v="20"/>
    <s v="서비스"/>
    <s v="음식및숙박"/>
    <s v="기타프랜차이즈점"/>
    <s v="디지털"/>
    <s v="디지털동영상"/>
    <s v="YouTube"/>
    <s v="-"/>
    <s v="25"/>
    <s v="11"/>
    <s v="25.11"/>
    <s v="25.11"/>
    <n v="56325"/>
  </r>
  <r>
    <s v="케이블"/>
    <s v="ADEX"/>
    <s v="다이닝브랜즈그룹"/>
    <x v="20"/>
    <s v="서비스"/>
    <s v="음식및숙박"/>
    <s v="기타프랜차이즈점"/>
    <s v="TV"/>
    <s v="케이블"/>
    <s v="헬스메디TV"/>
    <s v="-"/>
    <s v="25"/>
    <s v="11"/>
    <s v="25.11"/>
    <s v="25.11"/>
    <n v="696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11"/>
    <s v="25.11"/>
    <s v="25.11"/>
    <n v="10218"/>
  </r>
  <r>
    <s v="케이블"/>
    <s v="ADEX"/>
    <s v="다이닝브랜즈그룹"/>
    <x v="20"/>
    <s v="서비스"/>
    <s v="음식및숙박"/>
    <s v="기타프랜차이즈점"/>
    <s v="TV"/>
    <s v="케이블"/>
    <s v="ENASTORY"/>
    <s v="-"/>
    <s v="25"/>
    <s v="11"/>
    <s v="25.11"/>
    <s v="25.11"/>
    <n v="2827"/>
  </r>
  <r>
    <s v="케이블"/>
    <s v="ADEX"/>
    <s v="다이닝브랜즈그룹"/>
    <x v="20"/>
    <s v="서비스"/>
    <s v="음식및숙박"/>
    <s v="기타프랜차이즈점"/>
    <s v="TV"/>
    <s v="케이블"/>
    <s v="JTBC4"/>
    <s v="-"/>
    <s v="25"/>
    <s v="09"/>
    <s v="25.09"/>
    <s v="25.09"/>
    <n v="257"/>
  </r>
  <r>
    <s v="케이블"/>
    <s v="ADEX"/>
    <s v="다이닝브랜즈그룹"/>
    <x v="20"/>
    <s v="서비스"/>
    <s v="음식및숙박"/>
    <s v="기타프랜차이즈점"/>
    <s v="TV"/>
    <s v="케이블"/>
    <s v="JTBC2"/>
    <s v="-"/>
    <s v="25"/>
    <s v="09"/>
    <s v="25.09"/>
    <s v="25.09"/>
    <n v="282"/>
  </r>
  <r>
    <s v="종편"/>
    <s v="ADEX"/>
    <s v="다이닝브랜즈그룹"/>
    <x v="20"/>
    <s v="서비스"/>
    <s v="음식및숙박"/>
    <s v="기타프랜차이즈점"/>
    <s v="TV"/>
    <s v="종편"/>
    <s v="JTBC"/>
    <s v="-"/>
    <s v="25"/>
    <s v="09"/>
    <s v="25.09"/>
    <s v="25.09"/>
    <n v="17458"/>
  </r>
  <r>
    <s v="종편"/>
    <s v="ADEX"/>
    <s v="다이닝브랜즈그룹"/>
    <x v="20"/>
    <s v="서비스"/>
    <s v="음식및숙박"/>
    <s v="기타프랜차이즈점"/>
    <s v="TV"/>
    <s v="종편"/>
    <s v="TVCHOSUN"/>
    <s v="-"/>
    <s v="25"/>
    <s v="08"/>
    <s v="25.08"/>
    <s v="25.08"/>
    <n v="39220"/>
  </r>
  <r>
    <s v="디지털 영상"/>
    <s v="ADEX"/>
    <s v="다이닝브랜즈그룹"/>
    <x v="20"/>
    <s v="서비스"/>
    <s v="음식및숙박"/>
    <s v="기타프랜차이즈점"/>
    <s v="디지털"/>
    <s v="디지털동영상"/>
    <s v="네이버"/>
    <s v="-"/>
    <s v="25"/>
    <s v="08"/>
    <s v="25.08"/>
    <s v="25.08"/>
    <n v="27407"/>
  </r>
  <r>
    <s v="디지털 영상"/>
    <s v="ADEX"/>
    <s v="다이닝브랜즈그룹"/>
    <x v="20"/>
    <s v="서비스"/>
    <s v="음식및숙박"/>
    <s v="기타프랜차이즈점"/>
    <s v="디지털"/>
    <s v="디지털동영상"/>
    <s v="YouTube"/>
    <s v="-"/>
    <s v="25"/>
    <s v="08"/>
    <s v="25.08"/>
    <s v="25.08"/>
    <n v="18138"/>
  </r>
  <r>
    <s v="디지털 영상"/>
    <s v="ADEX"/>
    <s v="다이닝브랜즈그룹"/>
    <x v="20"/>
    <s v="서비스"/>
    <s v="음식및숙박"/>
    <s v="기타프랜차이즈점"/>
    <s v="디지털"/>
    <s v="디지털동영상"/>
    <s v="Tving"/>
    <s v="-"/>
    <s v="25"/>
    <s v="08"/>
    <s v="25.08"/>
    <s v="25.08"/>
    <n v="14961"/>
  </r>
  <r>
    <s v="케이블"/>
    <s v="ADEX"/>
    <s v="다이닝브랜즈그룹"/>
    <x v="20"/>
    <s v="서비스"/>
    <s v="음식및숙박"/>
    <s v="기타프랜차이즈점"/>
    <s v="TV"/>
    <s v="케이블"/>
    <s v="tvNDRAMA"/>
    <s v="-"/>
    <s v="25"/>
    <s v="08"/>
    <s v="25.08"/>
    <s v="25.08"/>
    <n v="22619"/>
  </r>
  <r>
    <s v="케이블"/>
    <s v="ADEX"/>
    <s v="다이닝브랜즈그룹"/>
    <x v="20"/>
    <s v="서비스"/>
    <s v="음식및숙박"/>
    <s v="기타프랜차이즈점"/>
    <s v="TV"/>
    <s v="케이블"/>
    <s v="MBC드라마넷"/>
    <s v="-"/>
    <s v="25"/>
    <s v="08"/>
    <s v="25.08"/>
    <s v="25.08"/>
    <n v="353"/>
  </r>
  <r>
    <s v="케이블"/>
    <s v="ADEX"/>
    <s v="다이닝브랜즈그룹"/>
    <x v="20"/>
    <s v="서비스"/>
    <s v="음식및숙박"/>
    <s v="기타프랜차이즈점"/>
    <s v="TV"/>
    <s v="케이블"/>
    <s v="OCNMovies"/>
    <s v="-"/>
    <s v="25"/>
    <s v="08"/>
    <s v="25.08"/>
    <s v="25.08"/>
    <n v="62444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08"/>
    <s v="25.08"/>
    <s v="25.08"/>
    <n v="108879"/>
  </r>
  <r>
    <s v="케이블"/>
    <s v="ADEX"/>
    <s v="다이닝브랜즈그룹"/>
    <x v="20"/>
    <s v="서비스"/>
    <s v="음식및숙박"/>
    <s v="기타프랜차이즈점"/>
    <s v="TV"/>
    <s v="케이블"/>
    <s v="OCNMovies2"/>
    <s v="-"/>
    <s v="25"/>
    <s v="08"/>
    <s v="25.08"/>
    <s v="25.08"/>
    <n v="20372"/>
  </r>
  <r>
    <s v="케이블"/>
    <s v="ADEX"/>
    <s v="다이닝브랜즈그룹"/>
    <x v="20"/>
    <s v="서비스"/>
    <s v="음식및숙박"/>
    <s v="기타프랜차이즈점"/>
    <s v="TV"/>
    <s v="케이블"/>
    <s v="SBSSports"/>
    <s v="-"/>
    <s v="25"/>
    <s v="08"/>
    <s v="25.08"/>
    <s v="25.08"/>
    <n v="15183"/>
  </r>
  <r>
    <s v="종편"/>
    <s v="ADEX"/>
    <s v="다이닝브랜즈그룹"/>
    <x v="20"/>
    <s v="서비스"/>
    <s v="음식및숙박"/>
    <s v="기타프랜차이즈점"/>
    <s v="TV"/>
    <s v="종편"/>
    <s v="JTBC"/>
    <s v="-"/>
    <s v="25"/>
    <s v="08"/>
    <s v="25.08"/>
    <s v="25.08"/>
    <n v="34417"/>
  </r>
  <r>
    <s v="케이블"/>
    <s v="ADEX"/>
    <s v="다이닝브랜즈그룹"/>
    <x v="20"/>
    <s v="서비스"/>
    <s v="음식및숙박"/>
    <s v="기타프랜차이즈점"/>
    <s v="TV"/>
    <s v="케이블"/>
    <s v="MBCSPORTS+"/>
    <s v="-"/>
    <s v="25"/>
    <s v="08"/>
    <s v="25.08"/>
    <s v="25.08"/>
    <n v="44233"/>
  </r>
  <r>
    <s v="케이블"/>
    <s v="ADEX"/>
    <s v="다이닝브랜즈그룹"/>
    <x v="20"/>
    <s v="서비스"/>
    <s v="음식및숙박"/>
    <s v="기타프랜차이즈점"/>
    <s v="TV"/>
    <s v="케이블"/>
    <s v="tvNSTORY"/>
    <s v="-"/>
    <s v="25"/>
    <s v="08"/>
    <s v="25.08"/>
    <s v="25.08"/>
    <n v="169035"/>
  </r>
  <r>
    <s v="디지털 영상"/>
    <s v="ADEX"/>
    <s v="다이닝브랜즈그룹"/>
    <x v="20"/>
    <s v="서비스"/>
    <s v="음식및숙박"/>
    <s v="기타프랜차이즈점"/>
    <s v="디지털"/>
    <s v="디지털동영상"/>
    <s v="다음"/>
    <s v="-"/>
    <s v="25"/>
    <s v="08"/>
    <s v="25.08"/>
    <s v="25.08"/>
    <n v="1339"/>
  </r>
  <r>
    <s v="케이블"/>
    <s v="ADEX"/>
    <s v="다이닝브랜즈그룹"/>
    <x v="20"/>
    <s v="서비스"/>
    <s v="음식및숙박"/>
    <s v="기타프랜차이즈점"/>
    <s v="TV"/>
    <s v="케이블"/>
    <s v="SBSPlus"/>
    <s v="-"/>
    <s v="25"/>
    <s v="08"/>
    <s v="25.08"/>
    <s v="25.08"/>
    <n v="58278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08"/>
    <s v="25.08"/>
    <s v="25.08"/>
    <n v="546184"/>
  </r>
  <r>
    <s v="케이블"/>
    <s v="ADEX"/>
    <s v="다이닝브랜즈그룹"/>
    <x v="20"/>
    <s v="서비스"/>
    <s v="음식및숙박"/>
    <s v="기타프랜차이즈점"/>
    <s v="TV"/>
    <s v="케이블"/>
    <s v="OCN"/>
    <s v="-"/>
    <s v="25"/>
    <s v="08"/>
    <s v="25.08"/>
    <s v="25.08"/>
    <n v="114165"/>
  </r>
  <r>
    <s v="케이블"/>
    <s v="ADEX"/>
    <s v="다이닝브랜즈그룹"/>
    <x v="20"/>
    <s v="서비스"/>
    <s v="음식및숙박"/>
    <s v="기타프랜차이즈점"/>
    <s v="TV"/>
    <s v="케이블"/>
    <s v="tvNSPORTS"/>
    <s v="-"/>
    <s v="25"/>
    <s v="08"/>
    <s v="25.08"/>
    <s v="25.08"/>
    <n v="15690"/>
  </r>
  <r>
    <s v="케이블"/>
    <s v="ADEX"/>
    <s v="다이닝브랜즈그룹"/>
    <x v="20"/>
    <s v="서비스"/>
    <s v="음식및숙박"/>
    <s v="기타프랜차이즈점"/>
    <s v="TV"/>
    <s v="케이블"/>
    <s v="tvNSHOW"/>
    <s v="-"/>
    <s v="25"/>
    <s v="08"/>
    <s v="25.08"/>
    <s v="25.08"/>
    <n v="30606"/>
  </r>
  <r>
    <s v="케이블"/>
    <s v="ADEX"/>
    <s v="다이닝브랜즈그룹"/>
    <x v="20"/>
    <s v="서비스"/>
    <s v="음식및숙박"/>
    <s v="기타프랜차이즈점"/>
    <s v="TV"/>
    <s v="케이블"/>
    <s v="SPOTV"/>
    <s v="-"/>
    <s v="25"/>
    <s v="08"/>
    <s v="25.08"/>
    <s v="25.08"/>
    <n v="17370"/>
  </r>
  <r>
    <s v="케이블"/>
    <s v="ADEX"/>
    <s v="다이닝브랜즈그룹"/>
    <x v="20"/>
    <s v="서비스"/>
    <s v="음식및숙박"/>
    <s v="기타프랜차이즈점"/>
    <s v="TV"/>
    <s v="케이블"/>
    <s v="MBCevery1"/>
    <s v="-"/>
    <s v="25"/>
    <s v="08"/>
    <s v="25.08"/>
    <s v="25.08"/>
    <n v="17187"/>
  </r>
  <r>
    <s v="케이블"/>
    <s v="ADEX"/>
    <s v="다이닝브랜즈그룹"/>
    <x v="20"/>
    <s v="서비스"/>
    <s v="음식및숙박"/>
    <s v="기타프랜차이즈점"/>
    <s v="TV"/>
    <s v="케이블"/>
    <s v="SBSfunE"/>
    <s v="-"/>
    <s v="25"/>
    <s v="08"/>
    <s v="25.08"/>
    <s v="25.08"/>
    <n v="6944"/>
  </r>
  <r>
    <s v="케이블"/>
    <s v="ADEX"/>
    <s v="다이닝브랜즈그룹"/>
    <x v="20"/>
    <s v="서비스"/>
    <s v="음식및숙박"/>
    <s v="기타프랜차이즈점"/>
    <s v="TV"/>
    <s v="케이블"/>
    <s v="SPOTV2"/>
    <s v="-"/>
    <s v="25"/>
    <s v="08"/>
    <s v="25.08"/>
    <s v="25.08"/>
    <n v="893"/>
  </r>
  <r>
    <s v="케이블"/>
    <s v="ADEX"/>
    <s v="다이닝브랜즈그룹"/>
    <x v="20"/>
    <s v="서비스"/>
    <s v="음식및숙박"/>
    <s v="기타프랜차이즈점"/>
    <s v="TV"/>
    <s v="케이블"/>
    <s v="SPOTV"/>
    <s v="-"/>
    <s v="25"/>
    <s v="07"/>
    <s v="25.07"/>
    <s v="25.07"/>
    <n v="10537"/>
  </r>
  <r>
    <s v="케이블"/>
    <s v="ADEX"/>
    <s v="다이닝브랜즈그룹"/>
    <x v="20"/>
    <s v="서비스"/>
    <s v="음식및숙박"/>
    <s v="기타프랜차이즈점"/>
    <s v="TV"/>
    <s v="케이블"/>
    <s v="SPOTVPrime+"/>
    <s v="-"/>
    <s v="25"/>
    <s v="07"/>
    <s v="25.07"/>
    <s v="25.07"/>
    <n v="783"/>
  </r>
  <r>
    <s v="케이블"/>
    <s v="ADEX"/>
    <s v="다이닝브랜즈그룹"/>
    <x v="20"/>
    <s v="서비스"/>
    <s v="음식및숙박"/>
    <s v="기타프랜차이즈점"/>
    <s v="TV"/>
    <s v="케이블"/>
    <s v="tvNSTORY"/>
    <s v="-"/>
    <s v="25"/>
    <s v="07"/>
    <s v="25.07"/>
    <s v="25.07"/>
    <n v="73042"/>
  </r>
  <r>
    <s v="케이블"/>
    <s v="ADEX"/>
    <s v="다이닝브랜즈그룹"/>
    <x v="20"/>
    <s v="서비스"/>
    <s v="음식및숙박"/>
    <s v="기타프랜차이즈점"/>
    <s v="TV"/>
    <s v="케이블"/>
    <s v="SPOTVPrime"/>
    <s v="-"/>
    <s v="25"/>
    <s v="07"/>
    <s v="25.07"/>
    <s v="25.07"/>
    <n v="2822"/>
  </r>
  <r>
    <s v="케이블"/>
    <s v="ADEX"/>
    <s v="다이닝브랜즈그룹"/>
    <x v="20"/>
    <s v="서비스"/>
    <s v="음식및숙박"/>
    <s v="기타프랜차이즈점"/>
    <s v="TV"/>
    <s v="케이블"/>
    <s v="MBCevery1"/>
    <s v="-"/>
    <s v="25"/>
    <s v="07"/>
    <s v="25.07"/>
    <s v="25.07"/>
    <n v="34625"/>
  </r>
  <r>
    <s v="케이블"/>
    <s v="ADEX"/>
    <s v="다이닝브랜즈그룹"/>
    <x v="20"/>
    <s v="서비스"/>
    <s v="음식및숙박"/>
    <s v="기타프랜차이즈점"/>
    <s v="TV"/>
    <s v="케이블"/>
    <s v="SBSPlus"/>
    <s v="-"/>
    <s v="25"/>
    <s v="07"/>
    <s v="25.07"/>
    <s v="25.07"/>
    <n v="53139"/>
  </r>
  <r>
    <s v="케이블"/>
    <s v="ADEX"/>
    <s v="다이닝브랜즈그룹"/>
    <x v="20"/>
    <s v="서비스"/>
    <s v="음식및숙박"/>
    <s v="기타프랜차이즈점"/>
    <s v="TV"/>
    <s v="케이블"/>
    <s v="MBC드라마넷"/>
    <s v="-"/>
    <s v="25"/>
    <s v="07"/>
    <s v="25.07"/>
    <s v="25.07"/>
    <n v="33647"/>
  </r>
  <r>
    <s v="케이블"/>
    <s v="ADEX"/>
    <s v="다이닝브랜즈그룹"/>
    <x v="20"/>
    <s v="서비스"/>
    <s v="음식및숙박"/>
    <s v="기타프랜차이즈점"/>
    <s v="TV"/>
    <s v="케이블"/>
    <s v="tvNDRAMA"/>
    <s v="-"/>
    <s v="25"/>
    <s v="07"/>
    <s v="25.07"/>
    <s v="25.07"/>
    <n v="22917"/>
  </r>
  <r>
    <s v="디지털 영상"/>
    <s v="ADEX"/>
    <s v="다이닝브랜즈그룹"/>
    <x v="20"/>
    <s v="서비스"/>
    <s v="음식및숙박"/>
    <s v="기타프랜차이즈점"/>
    <s v="디지털"/>
    <s v="디지털동영상"/>
    <s v="네이버"/>
    <s v="-"/>
    <s v="25"/>
    <s v="07"/>
    <s v="25.07"/>
    <s v="25.07"/>
    <n v="5332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07"/>
    <s v="25.07"/>
    <s v="25.07"/>
    <n v="44452"/>
  </r>
  <r>
    <s v="케이블"/>
    <s v="ADEX"/>
    <s v="다이닝브랜즈그룹"/>
    <x v="20"/>
    <s v="서비스"/>
    <s v="음식및숙박"/>
    <s v="기타프랜차이즈점"/>
    <s v="TV"/>
    <s v="케이블"/>
    <s v="SBSSports"/>
    <s v="-"/>
    <s v="25"/>
    <s v="07"/>
    <s v="25.07"/>
    <s v="25.07"/>
    <n v="21528"/>
  </r>
  <r>
    <s v="케이블"/>
    <s v="ADEX"/>
    <s v="다이닝브랜즈그룹"/>
    <x v="20"/>
    <s v="서비스"/>
    <s v="음식및숙박"/>
    <s v="기타프랜차이즈점"/>
    <s v="TV"/>
    <s v="케이블"/>
    <s v="MBCSPORTS+"/>
    <s v="-"/>
    <s v="25"/>
    <s v="07"/>
    <s v="25.07"/>
    <s v="25.07"/>
    <n v="24602"/>
  </r>
  <r>
    <s v="디지털 영상"/>
    <s v="ADEX"/>
    <s v="다이닝브랜즈그룹"/>
    <x v="20"/>
    <s v="서비스"/>
    <s v="음식및숙박"/>
    <s v="기타프랜차이즈점"/>
    <s v="디지털"/>
    <s v="디지털동영상"/>
    <s v="Tving"/>
    <s v="-"/>
    <s v="25"/>
    <s v="07"/>
    <s v="25.07"/>
    <s v="25.07"/>
    <n v="3467"/>
  </r>
  <r>
    <s v="케이블"/>
    <s v="ADEX"/>
    <s v="다이닝브랜즈그룹"/>
    <x v="20"/>
    <s v="서비스"/>
    <s v="음식및숙박"/>
    <s v="기타프랜차이즈점"/>
    <s v="TV"/>
    <s v="케이블"/>
    <s v="SPOTV2"/>
    <s v="-"/>
    <s v="25"/>
    <s v="07"/>
    <s v="25.07"/>
    <s v="25.07"/>
    <n v="1071"/>
  </r>
  <r>
    <s v="디지털 영상"/>
    <s v="ADEX"/>
    <s v="다이닝브랜즈그룹"/>
    <x v="20"/>
    <s v="서비스"/>
    <s v="음식및숙박"/>
    <s v="기타프랜차이즈점"/>
    <s v="디지털"/>
    <s v="디지털동영상"/>
    <s v="YouTube"/>
    <s v="-"/>
    <s v="25"/>
    <s v="07"/>
    <s v="25.07"/>
    <s v="25.07"/>
    <n v="19545"/>
  </r>
  <r>
    <s v="디지털 영상"/>
    <s v="ADEX"/>
    <s v="다이닝브랜즈그룹"/>
    <x v="20"/>
    <s v="서비스"/>
    <s v="음식및숙박"/>
    <s v="기타프랜차이즈점"/>
    <s v="디지털"/>
    <s v="디지털동영상"/>
    <s v="다음"/>
    <s v="-"/>
    <s v="25"/>
    <s v="07"/>
    <s v="25.07"/>
    <s v="25.07"/>
    <n v="159"/>
  </r>
  <r>
    <s v="케이블"/>
    <s v="ADEX"/>
    <s v="다이닝브랜즈그룹"/>
    <x v="20"/>
    <s v="서비스"/>
    <s v="음식및숙박"/>
    <s v="기타프랜차이즈점"/>
    <s v="TV"/>
    <s v="케이블"/>
    <s v="SBSfunE"/>
    <s v="-"/>
    <s v="25"/>
    <s v="07"/>
    <s v="25.07"/>
    <s v="25.07"/>
    <n v="7585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07"/>
    <s v="25.07"/>
    <s v="25.07"/>
    <n v="303553"/>
  </r>
  <r>
    <s v="종편"/>
    <s v="ADEX"/>
    <s v="다이닝브랜즈그룹"/>
    <x v="20"/>
    <s v="서비스"/>
    <s v="음식및숙박"/>
    <s v="기타프랜차이즈점"/>
    <s v="TV"/>
    <s v="종편"/>
    <s v="TVCHOSUN"/>
    <s v="-"/>
    <s v="25"/>
    <s v="07"/>
    <s v="25.07"/>
    <s v="25.07"/>
    <n v="427816"/>
  </r>
  <r>
    <s v="케이블"/>
    <s v="ADEX"/>
    <s v="다이닝브랜즈그룹"/>
    <x v="20"/>
    <s v="서비스"/>
    <s v="음식및숙박"/>
    <s v="기타프랜차이즈점"/>
    <s v="TV"/>
    <s v="케이블"/>
    <s v="SPOTVGolf&amp;Health"/>
    <s v="-"/>
    <s v="25"/>
    <s v="07"/>
    <s v="25.07"/>
    <s v="25.07"/>
    <n v="364"/>
  </r>
  <r>
    <s v="케이블"/>
    <s v="ADEX"/>
    <s v="다이닝브랜즈그룹"/>
    <x v="20"/>
    <s v="서비스"/>
    <s v="음식및숙박"/>
    <s v="기타프랜차이즈점"/>
    <s v="TV"/>
    <s v="케이블"/>
    <s v="MBCM"/>
    <s v="-"/>
    <s v="25"/>
    <s v="07"/>
    <s v="25.07"/>
    <s v="25.07"/>
    <n v="3500"/>
  </r>
  <r>
    <s v="케이블"/>
    <s v="ADEX"/>
    <s v="다이닝브랜즈그룹"/>
    <x v="20"/>
    <s v="서비스"/>
    <s v="음식및숙박"/>
    <s v="기타프랜차이즈점"/>
    <s v="TV"/>
    <s v="케이블"/>
    <s v="SPOTVPrime2"/>
    <s v="-"/>
    <s v="25"/>
    <s v="07"/>
    <s v="25.07"/>
    <s v="25.07"/>
    <n v="1273"/>
  </r>
  <r>
    <s v="케이블"/>
    <s v="ADEX"/>
    <s v="다이닝브랜즈그룹"/>
    <x v="20"/>
    <s v="서비스"/>
    <s v="음식및숙박"/>
    <s v="기타프랜차이즈점"/>
    <s v="TV"/>
    <s v="케이블"/>
    <s v="tvNSHOW"/>
    <s v="-"/>
    <s v="25"/>
    <s v="07"/>
    <s v="25.07"/>
    <s v="25.07"/>
    <n v="61248"/>
  </r>
  <r>
    <s v="케이블"/>
    <s v="ADEX"/>
    <s v="다이닝브랜즈그룹"/>
    <x v="20"/>
    <s v="서비스"/>
    <s v="음식및숙박"/>
    <s v="기타프랜차이즈점"/>
    <s v="TV"/>
    <s v="케이블"/>
    <s v="MBCON"/>
    <s v="-"/>
    <s v="25"/>
    <s v="07"/>
    <s v="25.07"/>
    <s v="25.07"/>
    <n v="2311"/>
  </r>
  <r>
    <s v="케이블"/>
    <s v="ADEX"/>
    <s v="다이닝브랜즈그룹"/>
    <x v="20"/>
    <s v="서비스"/>
    <s v="음식및숙박"/>
    <s v="기타프랜차이즈점"/>
    <s v="TV"/>
    <s v="케이블"/>
    <s v="SBSPlus"/>
    <s v="-"/>
    <s v="25"/>
    <s v="04"/>
    <s v="25.04"/>
    <s v="25.04"/>
    <n v="65063"/>
  </r>
  <r>
    <s v="케이블"/>
    <s v="ADEX"/>
    <s v="다이닝브랜즈그룹"/>
    <x v="20"/>
    <s v="서비스"/>
    <s v="음식및숙박"/>
    <s v="기타프랜차이즈점"/>
    <s v="TV"/>
    <s v="케이블"/>
    <s v="ENAPLAY"/>
    <s v="-"/>
    <s v="25"/>
    <s v="04"/>
    <s v="25.04"/>
    <s v="25.04"/>
    <n v="1596"/>
  </r>
  <r>
    <s v="케이블"/>
    <s v="ADEX"/>
    <s v="다이닝브랜즈그룹"/>
    <x v="20"/>
    <s v="서비스"/>
    <s v="음식및숙박"/>
    <s v="기타프랜차이즈점"/>
    <s v="TV"/>
    <s v="케이블"/>
    <s v="ONCE"/>
    <s v="-"/>
    <s v="25"/>
    <s v="04"/>
    <s v="25.04"/>
    <s v="25.04"/>
    <n v="403"/>
  </r>
  <r>
    <s v="케이블"/>
    <s v="ADEX"/>
    <s v="다이닝브랜즈그룹"/>
    <x v="20"/>
    <s v="서비스"/>
    <s v="음식및숙박"/>
    <s v="기타프랜차이즈점"/>
    <s v="TV"/>
    <s v="케이블"/>
    <s v="tvNSTORY"/>
    <s v="-"/>
    <s v="25"/>
    <s v="04"/>
    <s v="25.04"/>
    <s v="25.04"/>
    <n v="21650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04"/>
    <s v="25.04"/>
    <s v="25.04"/>
    <n v="7250"/>
  </r>
  <r>
    <s v="케이블"/>
    <s v="ADEX"/>
    <s v="다이닝브랜즈그룹"/>
    <x v="20"/>
    <s v="서비스"/>
    <s v="음식및숙박"/>
    <s v="기타프랜차이즈점"/>
    <s v="TV"/>
    <s v="케이블"/>
    <s v="MBCevery1"/>
    <s v="-"/>
    <s v="25"/>
    <s v="04"/>
    <s v="25.04"/>
    <s v="25.04"/>
    <n v="47500"/>
  </r>
  <r>
    <s v="케이블"/>
    <s v="ADEX"/>
    <s v="다이닝브랜즈그룹"/>
    <x v="20"/>
    <s v="서비스"/>
    <s v="음식및숙박"/>
    <s v="기타프랜차이즈점"/>
    <s v="TV"/>
    <s v="케이블"/>
    <s v="KBSJOY"/>
    <s v="-"/>
    <s v="25"/>
    <s v="04"/>
    <s v="25.04"/>
    <s v="25.04"/>
    <n v="57453"/>
  </r>
  <r>
    <s v="케이블"/>
    <s v="ADEX"/>
    <s v="다이닝브랜즈그룹"/>
    <x v="20"/>
    <s v="서비스"/>
    <s v="음식및숙박"/>
    <s v="기타프랜차이즈점"/>
    <s v="TV"/>
    <s v="케이블"/>
    <s v="ENASTORY"/>
    <s v="-"/>
    <s v="25"/>
    <s v="04"/>
    <s v="25.04"/>
    <s v="25.04"/>
    <n v="952"/>
  </r>
  <r>
    <s v="케이블"/>
    <s v="ADEX"/>
    <s v="다이닝브랜즈그룹"/>
    <x v="20"/>
    <s v="서비스"/>
    <s v="음식및숙박"/>
    <s v="기타프랜차이즈점"/>
    <s v="TV"/>
    <s v="케이블"/>
    <s v="헬스메디TV"/>
    <s v="-"/>
    <s v="25"/>
    <s v="04"/>
    <s v="25.04"/>
    <s v="25.04"/>
    <n v="486"/>
  </r>
  <r>
    <s v="케이블"/>
    <s v="ADEX"/>
    <s v="다이닝브랜즈그룹"/>
    <x v="20"/>
    <s v="서비스"/>
    <s v="음식및숙박"/>
    <s v="기타프랜차이즈점"/>
    <s v="TV"/>
    <s v="케이블"/>
    <s v="tvNDRAMA"/>
    <s v="-"/>
    <s v="25"/>
    <s v="04"/>
    <s v="25.04"/>
    <s v="25.04"/>
    <n v="8132"/>
  </r>
  <r>
    <s v="케이블"/>
    <s v="ADEX"/>
    <s v="다이닝브랜즈그룹"/>
    <x v="20"/>
    <s v="서비스"/>
    <s v="음식및숙박"/>
    <s v="기타프랜차이즈점"/>
    <s v="TV"/>
    <s v="케이블"/>
    <s v="ENADRAMA"/>
    <s v="-"/>
    <s v="25"/>
    <s v="04"/>
    <s v="25.04"/>
    <s v="25.04"/>
    <n v="1731"/>
  </r>
  <r>
    <s v="케이블"/>
    <s v="ADEX"/>
    <s v="다이닝브랜즈그룹"/>
    <x v="20"/>
    <s v="서비스"/>
    <s v="음식및숙박"/>
    <s v="기타프랜차이즈점"/>
    <s v="TV"/>
    <s v="케이블"/>
    <s v="ONT"/>
    <s v="-"/>
    <s v="25"/>
    <s v="04"/>
    <s v="25.04"/>
    <s v="25.04"/>
    <n v="446"/>
  </r>
  <r>
    <s v="케이블"/>
    <s v="ADEX"/>
    <s v="다이닝브랜즈그룹"/>
    <x v="20"/>
    <s v="서비스"/>
    <s v="음식및숙박"/>
    <s v="기타프랜차이즈점"/>
    <s v="TV"/>
    <s v="케이블"/>
    <s v="SkySports"/>
    <s v="-"/>
    <s v="25"/>
    <s v="04"/>
    <s v="25.04"/>
    <s v="25.04"/>
    <n v="821"/>
  </r>
  <r>
    <s v="케이블"/>
    <s v="ADEX"/>
    <s v="다이닝브랜즈그룹"/>
    <x v="20"/>
    <s v="서비스"/>
    <s v="음식및숙박"/>
    <s v="기타프랜차이즈점"/>
    <s v="TV"/>
    <s v="케이블"/>
    <s v="tvNSHOW"/>
    <s v="-"/>
    <s v="25"/>
    <s v="04"/>
    <s v="25.04"/>
    <s v="25.04"/>
    <n v="21933"/>
  </r>
  <r>
    <s v="케이블"/>
    <s v="ADEX"/>
    <s v="다이닝브랜즈그룹"/>
    <x v="20"/>
    <s v="서비스"/>
    <s v="음식및숙박"/>
    <s v="기타프랜차이즈점"/>
    <s v="TV"/>
    <s v="케이블"/>
    <s v="OLIFE"/>
    <s v="-"/>
    <s v="25"/>
    <s v="04"/>
    <s v="25.04"/>
    <s v="25.04"/>
    <n v="600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04"/>
    <s v="25.04"/>
    <s v="25.04"/>
    <n v="58056"/>
  </r>
  <r>
    <s v="케이블"/>
    <s v="ADEX"/>
    <s v="다이닝브랜즈그룹"/>
    <x v="20"/>
    <s v="서비스"/>
    <s v="음식및숙박"/>
    <s v="기타프랜차이즈점"/>
    <s v="TV"/>
    <s v="케이블"/>
    <s v="CHING"/>
    <s v="-"/>
    <s v="25"/>
    <s v="04"/>
    <s v="25.04"/>
    <s v="25.04"/>
    <n v="861"/>
  </r>
  <r>
    <s v="케이블"/>
    <s v="ADEX"/>
    <s v="다이닝브랜즈그룹"/>
    <x v="20"/>
    <s v="서비스"/>
    <s v="음식및숙박"/>
    <s v="기타프랜차이즈점"/>
    <s v="TV"/>
    <s v="케이블"/>
    <s v="ENA"/>
    <s v="-"/>
    <s v="25"/>
    <s v="04"/>
    <s v="25.04"/>
    <s v="25.04"/>
    <n v="19378"/>
  </r>
  <r>
    <s v="케이블"/>
    <s v="ADEX"/>
    <s v="다이닝브랜즈그룹"/>
    <x v="20"/>
    <s v="서비스"/>
    <s v="음식및숙박"/>
    <s v="기타프랜차이즈점"/>
    <s v="TV"/>
    <s v="케이블"/>
    <s v="SBSfunE"/>
    <s v="-"/>
    <s v="25"/>
    <s v="04"/>
    <s v="25.04"/>
    <s v="25.04"/>
    <n v="49154"/>
  </r>
  <r>
    <s v="디지털 영상"/>
    <s v="ADEX"/>
    <s v="다이닝브랜즈그룹"/>
    <x v="20"/>
    <s v="서비스"/>
    <s v="음식및숙박"/>
    <s v="기타프랜차이즈점"/>
    <s v="디지털"/>
    <s v="디지털동영상"/>
    <s v="YouTube"/>
    <s v="-"/>
    <s v="25"/>
    <s v="03"/>
    <s v="25.03"/>
    <s v="25.03"/>
    <n v="108551"/>
  </r>
  <r>
    <s v="케이블"/>
    <s v="ADEX"/>
    <s v="다이닝브랜즈그룹"/>
    <x v="20"/>
    <s v="서비스"/>
    <s v="음식및숙박"/>
    <s v="기타프랜차이즈점"/>
    <s v="TV"/>
    <s v="케이블"/>
    <s v="ENADRAMA"/>
    <s v="-"/>
    <s v="25"/>
    <s v="03"/>
    <s v="25.03"/>
    <s v="25.03"/>
    <n v="7538"/>
  </r>
  <r>
    <s v="케이블"/>
    <s v="ADEX"/>
    <s v="다이닝브랜즈그룹"/>
    <x v="20"/>
    <s v="서비스"/>
    <s v="음식및숙박"/>
    <s v="기타프랜차이즈점"/>
    <s v="TV"/>
    <s v="케이블"/>
    <s v="ONT"/>
    <s v="-"/>
    <s v="25"/>
    <s v="03"/>
    <s v="25.03"/>
    <s v="25.03"/>
    <n v="1509"/>
  </r>
  <r>
    <s v="케이블"/>
    <s v="ADEX"/>
    <s v="다이닝브랜즈그룹"/>
    <x v="20"/>
    <s v="서비스"/>
    <s v="음식및숙박"/>
    <s v="기타프랜차이즈점"/>
    <s v="TV"/>
    <s v="케이블"/>
    <s v="MBCM"/>
    <s v="-"/>
    <s v="25"/>
    <s v="03"/>
    <s v="25.03"/>
    <s v="25.03"/>
    <n v="68"/>
  </r>
  <r>
    <s v="케이블"/>
    <s v="ADEX"/>
    <s v="다이닝브랜즈그룹"/>
    <x v="20"/>
    <s v="서비스"/>
    <s v="음식및숙박"/>
    <s v="기타프랜차이즈점"/>
    <s v="TV"/>
    <s v="케이블"/>
    <s v="SkySports"/>
    <s v="-"/>
    <s v="25"/>
    <s v="03"/>
    <s v="25.03"/>
    <s v="25.03"/>
    <n v="4852"/>
  </r>
  <r>
    <s v="디지털 영상"/>
    <s v="ADEX"/>
    <s v="다이닝브랜즈그룹"/>
    <x v="20"/>
    <s v="서비스"/>
    <s v="음식및숙박"/>
    <s v="기타프랜차이즈점"/>
    <s v="디지털"/>
    <s v="디지털동영상"/>
    <s v="Tving"/>
    <s v="-"/>
    <s v="25"/>
    <s v="03"/>
    <s v="25.03"/>
    <s v="25.03"/>
    <n v="380"/>
  </r>
  <r>
    <s v="케이블"/>
    <s v="ADEX"/>
    <s v="다이닝브랜즈그룹"/>
    <x v="20"/>
    <s v="서비스"/>
    <s v="음식및숙박"/>
    <s v="기타프랜차이즈점"/>
    <s v="TV"/>
    <s v="케이블"/>
    <s v="tvNSTORY"/>
    <s v="-"/>
    <s v="25"/>
    <s v="03"/>
    <s v="25.03"/>
    <s v="25.03"/>
    <n v="132388"/>
  </r>
  <r>
    <s v="케이블"/>
    <s v="ADEX"/>
    <s v="다이닝브랜즈그룹"/>
    <x v="20"/>
    <s v="서비스"/>
    <s v="음식및숙박"/>
    <s v="기타프랜차이즈점"/>
    <s v="TV"/>
    <s v="케이블"/>
    <s v="ENAPLAY"/>
    <s v="-"/>
    <s v="25"/>
    <s v="03"/>
    <s v="25.03"/>
    <s v="25.03"/>
    <n v="8234"/>
  </r>
  <r>
    <s v="케이블"/>
    <s v="ADEX"/>
    <s v="다이닝브랜즈그룹"/>
    <x v="20"/>
    <s v="서비스"/>
    <s v="음식및숙박"/>
    <s v="기타프랜차이즈점"/>
    <s v="TV"/>
    <s v="케이블"/>
    <s v="ONCE"/>
    <s v="-"/>
    <s v="25"/>
    <s v="03"/>
    <s v="25.03"/>
    <s v="25.03"/>
    <n v="629"/>
  </r>
  <r>
    <s v="케이블"/>
    <s v="ADEX"/>
    <s v="다이닝브랜즈그룹"/>
    <x v="20"/>
    <s v="서비스"/>
    <s v="음식및숙박"/>
    <s v="기타프랜차이즈점"/>
    <s v="TV"/>
    <s v="케이블"/>
    <s v="tvNSHOW"/>
    <s v="-"/>
    <s v="25"/>
    <s v="03"/>
    <s v="25.03"/>
    <s v="25.03"/>
    <n v="74142"/>
  </r>
  <r>
    <s v="디지털 영상"/>
    <s v="ADEX"/>
    <s v="다이닝브랜즈그룹"/>
    <x v="20"/>
    <s v="서비스"/>
    <s v="음식및숙박"/>
    <s v="기타프랜차이즈점"/>
    <s v="디지털"/>
    <s v="디지털동영상"/>
    <s v="네이버"/>
    <s v="-"/>
    <s v="25"/>
    <s v="03"/>
    <s v="25.03"/>
    <s v="25.03"/>
    <n v="1881"/>
  </r>
  <r>
    <s v="케이블"/>
    <s v="ADEX"/>
    <s v="다이닝브랜즈그룹"/>
    <x v="20"/>
    <s v="서비스"/>
    <s v="음식및숙박"/>
    <s v="기타프랜차이즈점"/>
    <s v="TV"/>
    <s v="케이블"/>
    <s v="SBSfunE"/>
    <s v="-"/>
    <s v="25"/>
    <s v="03"/>
    <s v="25.03"/>
    <s v="25.03"/>
    <n v="6415"/>
  </r>
  <r>
    <s v="케이블"/>
    <s v="ADEX"/>
    <s v="다이닝브랜즈그룹"/>
    <x v="20"/>
    <s v="서비스"/>
    <s v="음식및숙박"/>
    <s v="기타프랜차이즈점"/>
    <s v="TV"/>
    <s v="케이블"/>
    <s v="CHING"/>
    <s v="-"/>
    <s v="25"/>
    <s v="03"/>
    <s v="25.03"/>
    <s v="25.03"/>
    <n v="2171"/>
  </r>
  <r>
    <s v="케이블"/>
    <s v="ADEX"/>
    <s v="다이닝브랜즈그룹"/>
    <x v="20"/>
    <s v="서비스"/>
    <s v="음식및숙박"/>
    <s v="기타프랜차이즈점"/>
    <s v="TV"/>
    <s v="케이블"/>
    <s v="OLIFE"/>
    <s v="-"/>
    <s v="25"/>
    <s v="03"/>
    <s v="25.03"/>
    <s v="25.03"/>
    <n v="560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03"/>
    <s v="25.03"/>
    <s v="25.03"/>
    <n v="171389"/>
  </r>
  <r>
    <s v="케이블"/>
    <s v="ADEX"/>
    <s v="다이닝브랜즈그룹"/>
    <x v="20"/>
    <s v="서비스"/>
    <s v="음식및숙박"/>
    <s v="기타프랜차이즈점"/>
    <s v="TV"/>
    <s v="케이블"/>
    <s v="ENA"/>
    <s v="-"/>
    <s v="25"/>
    <s v="03"/>
    <s v="25.03"/>
    <s v="25.03"/>
    <n v="50892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03"/>
    <s v="25.03"/>
    <s v="25.03"/>
    <n v="91946"/>
  </r>
  <r>
    <s v="케이블"/>
    <s v="ADEX"/>
    <s v="다이닝브랜즈그룹"/>
    <x v="20"/>
    <s v="서비스"/>
    <s v="음식및숙박"/>
    <s v="기타프랜차이즈점"/>
    <s v="TV"/>
    <s v="케이블"/>
    <s v="MBCevery1"/>
    <s v="-"/>
    <s v="25"/>
    <s v="03"/>
    <s v="25.03"/>
    <s v="25.03"/>
    <n v="10286"/>
  </r>
  <r>
    <s v="케이블"/>
    <s v="ADEX"/>
    <s v="다이닝브랜즈그룹"/>
    <x v="20"/>
    <s v="서비스"/>
    <s v="음식및숙박"/>
    <s v="기타프랜차이즈점"/>
    <s v="TV"/>
    <s v="케이블"/>
    <s v="tvNDRAMA"/>
    <s v="-"/>
    <s v="25"/>
    <s v="03"/>
    <s v="25.03"/>
    <s v="25.03"/>
    <n v="84934"/>
  </r>
  <r>
    <s v="케이블"/>
    <s v="ADEX"/>
    <s v="다이닝브랜즈그룹"/>
    <x v="20"/>
    <s v="서비스"/>
    <s v="음식및숙박"/>
    <s v="기타프랜차이즈점"/>
    <s v="TV"/>
    <s v="케이블"/>
    <s v="KBSJOY"/>
    <s v="-"/>
    <s v="25"/>
    <s v="03"/>
    <s v="25.03"/>
    <s v="25.03"/>
    <n v="30768"/>
  </r>
  <r>
    <s v="케이블"/>
    <s v="ADEX"/>
    <s v="다이닝브랜즈그룹"/>
    <x v="20"/>
    <s v="서비스"/>
    <s v="음식및숙박"/>
    <s v="기타프랜차이즈점"/>
    <s v="TV"/>
    <s v="케이블"/>
    <s v="ENASTORY"/>
    <s v="-"/>
    <s v="25"/>
    <s v="03"/>
    <s v="25.03"/>
    <s v="25.03"/>
    <n v="3179"/>
  </r>
  <r>
    <s v="케이블"/>
    <s v="ADEX"/>
    <s v="다이닝브랜즈그룹"/>
    <x v="20"/>
    <s v="서비스"/>
    <s v="음식및숙박"/>
    <s v="기타프랜차이즈점"/>
    <s v="TV"/>
    <s v="케이블"/>
    <s v="헬스메디TV"/>
    <s v="-"/>
    <s v="25"/>
    <s v="03"/>
    <s v="25.03"/>
    <s v="25.03"/>
    <n v="722"/>
  </r>
  <r>
    <s v="디지털 영상"/>
    <s v="ADEX"/>
    <s v="다이닝브랜즈그룹"/>
    <x v="20"/>
    <s v="서비스"/>
    <s v="음식및숙박"/>
    <s v="기타프랜차이즈점"/>
    <s v="디지털"/>
    <s v="디지털동영상"/>
    <s v="다음"/>
    <s v="-"/>
    <s v="25"/>
    <s v="03"/>
    <s v="25.03"/>
    <s v="25.03"/>
    <n v="2076"/>
  </r>
  <r>
    <s v="케이블"/>
    <s v="ADEX"/>
    <s v="다이닝브랜즈그룹"/>
    <x v="20"/>
    <s v="서비스"/>
    <s v="음식및숙박"/>
    <s v="기타프랜차이즈점"/>
    <s v="TV"/>
    <s v="케이블"/>
    <s v="SBSPlus"/>
    <s v="-"/>
    <s v="25"/>
    <s v="03"/>
    <s v="25.03"/>
    <s v="25.03"/>
    <n v="9000"/>
  </r>
  <r>
    <s v="디지털 영상"/>
    <s v="ADEX"/>
    <s v="다이닝브랜즈그룹"/>
    <x v="20"/>
    <s v="서비스"/>
    <s v="음식및숙박"/>
    <s v="기타프랜차이즈점"/>
    <s v="디지털"/>
    <s v="디지털동영상"/>
    <s v="YouTube"/>
    <s v="-"/>
    <s v="25"/>
    <s v="02"/>
    <s v="25.02"/>
    <s v="25.02"/>
    <n v="2013"/>
  </r>
  <r>
    <s v="디지털 영상"/>
    <s v="ADEX"/>
    <s v="다이닝브랜즈그룹"/>
    <x v="20"/>
    <s v="서비스"/>
    <s v="음식및숙박"/>
    <s v="기타프랜차이즈점"/>
    <s v="디지털"/>
    <s v="디지털동영상"/>
    <s v="네이버"/>
    <s v="-"/>
    <s v="25"/>
    <s v="02"/>
    <s v="25.02"/>
    <s v="25.02"/>
    <n v="277"/>
  </r>
  <r>
    <s v="케이블"/>
    <s v="ADEX"/>
    <s v="다이닝브랜즈그룹"/>
    <x v="20"/>
    <s v="서비스"/>
    <s v="음식및숙박"/>
    <s v="기타프랜차이즈점"/>
    <s v="TV"/>
    <s v="케이블"/>
    <s v="Mnet"/>
    <s v="-"/>
    <s v="25"/>
    <s v="01"/>
    <s v="25.01"/>
    <s v="25.01"/>
    <n v="69554"/>
  </r>
  <r>
    <s v="케이블"/>
    <s v="ADEX"/>
    <s v="다이닝브랜즈그룹"/>
    <x v="20"/>
    <s v="서비스"/>
    <s v="음식및숙박"/>
    <s v="기타프랜차이즈점"/>
    <s v="TV"/>
    <s v="케이블"/>
    <s v="tvNSTORY"/>
    <s v="-"/>
    <s v="25"/>
    <s v="01"/>
    <s v="25.01"/>
    <s v="25.01"/>
    <n v="58672"/>
  </r>
  <r>
    <s v="케이블"/>
    <s v="ADEX"/>
    <s v="다이닝브랜즈그룹"/>
    <x v="20"/>
    <s v="서비스"/>
    <s v="음식및숙박"/>
    <s v="기타프랜차이즈점"/>
    <s v="TV"/>
    <s v="케이블"/>
    <s v="SBSPlus"/>
    <s v="-"/>
    <s v="25"/>
    <s v="01"/>
    <s v="25.01"/>
    <s v="25.01"/>
    <n v="8406"/>
  </r>
  <r>
    <s v="케이블"/>
    <s v="ADEX"/>
    <s v="다이닝브랜즈그룹"/>
    <x v="20"/>
    <s v="서비스"/>
    <s v="음식및숙박"/>
    <s v="기타프랜차이즈점"/>
    <s v="TV"/>
    <s v="케이블"/>
    <s v="MBC드라마넷"/>
    <s v="-"/>
    <s v="25"/>
    <s v="01"/>
    <s v="25.01"/>
    <s v="25.01"/>
    <n v="32533"/>
  </r>
  <r>
    <s v="케이블"/>
    <s v="ADEX"/>
    <s v="다이닝브랜즈그룹"/>
    <x v="20"/>
    <s v="서비스"/>
    <s v="음식및숙박"/>
    <s v="기타프랜차이즈점"/>
    <s v="TV"/>
    <s v="케이블"/>
    <s v="MBCSPORTS+"/>
    <s v="-"/>
    <s v="25"/>
    <s v="01"/>
    <s v="25.01"/>
    <s v="25.01"/>
    <n v="15036"/>
  </r>
  <r>
    <s v="케이블"/>
    <s v="ADEX"/>
    <s v="다이닝브랜즈그룹"/>
    <x v="20"/>
    <s v="서비스"/>
    <s v="음식및숙박"/>
    <s v="기타프랜차이즈점"/>
    <s v="TV"/>
    <s v="케이블"/>
    <s v="MBCevery1"/>
    <s v="-"/>
    <s v="25"/>
    <s v="01"/>
    <s v="25.01"/>
    <s v="25.01"/>
    <n v="29500"/>
  </r>
  <r>
    <s v="케이블"/>
    <s v="ADEX"/>
    <s v="다이닝브랜즈그룹"/>
    <x v="20"/>
    <s v="서비스"/>
    <s v="음식및숙박"/>
    <s v="기타프랜차이즈점"/>
    <s v="TV"/>
    <s v="케이블"/>
    <s v="KBSJOY"/>
    <s v="-"/>
    <s v="25"/>
    <s v="01"/>
    <s v="25.01"/>
    <s v="25.01"/>
    <n v="57505"/>
  </r>
  <r>
    <s v="케이블"/>
    <s v="ADEX"/>
    <s v="다이닝브랜즈그룹"/>
    <x v="20"/>
    <s v="서비스"/>
    <s v="음식및숙박"/>
    <s v="기타프랜차이즈점"/>
    <s v="TV"/>
    <s v="케이블"/>
    <s v="ENASTORY"/>
    <s v="-"/>
    <s v="25"/>
    <s v="01"/>
    <s v="25.01"/>
    <s v="25.01"/>
    <n v="2869"/>
  </r>
  <r>
    <s v="디지털 영상"/>
    <s v="ADEX"/>
    <s v="다이닝브랜즈그룹"/>
    <x v="20"/>
    <s v="서비스"/>
    <s v="음식및숙박"/>
    <s v="기타프랜차이즈점"/>
    <s v="디지털"/>
    <s v="디지털동영상"/>
    <s v="네이버"/>
    <s v="-"/>
    <s v="25"/>
    <s v="01"/>
    <s v="25.01"/>
    <s v="25.01"/>
    <n v="10392"/>
  </r>
  <r>
    <s v="종편"/>
    <s v="ADEX"/>
    <s v="다이닝브랜즈그룹"/>
    <x v="20"/>
    <s v="서비스"/>
    <s v="음식및숙박"/>
    <s v="기타프랜차이즈점"/>
    <s v="TV"/>
    <s v="종편"/>
    <s v="JTBC"/>
    <s v="-"/>
    <s v="25"/>
    <s v="01"/>
    <s v="25.01"/>
    <s v="25.01"/>
    <n v="182905"/>
  </r>
  <r>
    <s v="케이블"/>
    <s v="ADEX"/>
    <s v="다이닝브랜즈그룹"/>
    <x v="20"/>
    <s v="서비스"/>
    <s v="음식및숙박"/>
    <s v="기타프랜차이즈점"/>
    <s v="TV"/>
    <s v="케이블"/>
    <s v="tvNSHOW"/>
    <s v="-"/>
    <s v="25"/>
    <s v="01"/>
    <s v="25.01"/>
    <s v="25.01"/>
    <n v="43837"/>
  </r>
  <r>
    <s v="케이블"/>
    <s v="ADEX"/>
    <s v="다이닝브랜즈그룹"/>
    <x v="20"/>
    <s v="서비스"/>
    <s v="음식및숙박"/>
    <s v="기타프랜차이즈점"/>
    <s v="TV"/>
    <s v="케이블"/>
    <s v="tvN"/>
    <s v="-"/>
    <s v="25"/>
    <s v="01"/>
    <s v="25.01"/>
    <s v="25.01"/>
    <n v="220139"/>
  </r>
  <r>
    <s v="케이블"/>
    <s v="ADEX"/>
    <s v="다이닝브랜즈그룹"/>
    <x v="20"/>
    <s v="서비스"/>
    <s v="음식및숙박"/>
    <s v="기타프랜차이즈점"/>
    <s v="TV"/>
    <s v="케이블"/>
    <s v="MBCON"/>
    <s v="-"/>
    <s v="25"/>
    <s v="01"/>
    <s v="25.01"/>
    <s v="25.01"/>
    <n v="1306"/>
  </r>
  <r>
    <s v="케이블"/>
    <s v="ADEX"/>
    <s v="다이닝브랜즈그룹"/>
    <x v="20"/>
    <s v="서비스"/>
    <s v="음식및숙박"/>
    <s v="기타프랜차이즈점"/>
    <s v="TV"/>
    <s v="케이블"/>
    <s v="SBSfunE"/>
    <s v="-"/>
    <s v="25"/>
    <s v="01"/>
    <s v="25.01"/>
    <s v="25.01"/>
    <n v="8783"/>
  </r>
  <r>
    <s v="케이블"/>
    <s v="ADEX"/>
    <s v="다이닝브랜즈그룹"/>
    <x v="20"/>
    <s v="서비스"/>
    <s v="음식및숙박"/>
    <s v="기타프랜차이즈점"/>
    <s v="TV"/>
    <s v="케이블"/>
    <s v="ENA"/>
    <s v="-"/>
    <s v="25"/>
    <s v="01"/>
    <s v="25.01"/>
    <s v="25.01"/>
    <n v="36514"/>
  </r>
  <r>
    <s v="지상파"/>
    <s v="ADEX"/>
    <s v="다이닝브랜즈그룹"/>
    <x v="20"/>
    <s v="서비스"/>
    <s v="음식및숙박"/>
    <s v="기타프랜차이즈점"/>
    <s v="TV"/>
    <s v="지상파"/>
    <s v="SBS"/>
    <s v="-"/>
    <s v="25"/>
    <s v="01"/>
    <s v="25.01"/>
    <s v="25.01"/>
    <n v="914338"/>
  </r>
  <r>
    <s v="케이블"/>
    <s v="ADEX"/>
    <s v="다이닝브랜즈그룹"/>
    <x v="20"/>
    <s v="서비스"/>
    <s v="음식및숙박"/>
    <s v="기타프랜차이즈점"/>
    <s v="TV"/>
    <s v="케이블"/>
    <s v="ENAPLAY"/>
    <s v="-"/>
    <s v="25"/>
    <s v="01"/>
    <s v="25.01"/>
    <s v="25.01"/>
    <n v="8085"/>
  </r>
  <r>
    <s v="디지털 영상"/>
    <s v="ADEX"/>
    <s v="다이닝브랜즈그룹"/>
    <x v="20"/>
    <s v="서비스"/>
    <s v="음식및숙박"/>
    <s v="기타프랜차이즈점"/>
    <s v="디지털"/>
    <s v="디지털동영상"/>
    <s v="다음"/>
    <s v="-"/>
    <s v="25"/>
    <s v="01"/>
    <s v="25.01"/>
    <s v="25.01"/>
    <n v="935"/>
  </r>
  <r>
    <s v="케이블"/>
    <s v="ADEX"/>
    <s v="다이닝브랜즈그룹"/>
    <x v="20"/>
    <s v="서비스"/>
    <s v="음식및숙박"/>
    <s v="기타프랜차이즈점"/>
    <s v="TV"/>
    <s v="케이블"/>
    <s v="ENADRAMA"/>
    <s v="-"/>
    <s v="25"/>
    <s v="01"/>
    <s v="25.01"/>
    <s v="25.01"/>
    <n v="6596"/>
  </r>
  <r>
    <s v="케이블"/>
    <s v="ADEX"/>
    <s v="다이닝브랜즈그룹"/>
    <x v="20"/>
    <s v="서비스"/>
    <s v="음식및숙박"/>
    <s v="기타프랜차이즈점"/>
    <s v="TV"/>
    <s v="케이블"/>
    <s v="ONT"/>
    <s v="-"/>
    <s v="25"/>
    <s v="01"/>
    <s v="25.01"/>
    <s v="25.01"/>
    <n v="22"/>
  </r>
  <r>
    <s v="케이블"/>
    <s v="ADEX"/>
    <s v="다이닝브랜즈그룹"/>
    <x v="20"/>
    <s v="서비스"/>
    <s v="음식및숙박"/>
    <s v="기타프랜차이즈점"/>
    <s v="TV"/>
    <s v="케이블"/>
    <s v="MBCM"/>
    <s v="-"/>
    <s v="25"/>
    <s v="01"/>
    <s v="25.01"/>
    <s v="25.01"/>
    <n v="1398"/>
  </r>
  <r>
    <s v="케이블"/>
    <s v="ADEX"/>
    <s v="다이닝브랜즈그룹"/>
    <x v="20"/>
    <s v="서비스"/>
    <s v="음식및숙박"/>
    <s v="기타프랜차이즈점"/>
    <s v="TV"/>
    <s v="케이블"/>
    <s v="SkySports"/>
    <s v="-"/>
    <s v="25"/>
    <s v="01"/>
    <s v="25.01"/>
    <s v="25.01"/>
    <n v="4938"/>
  </r>
  <r>
    <s v="디지털 영상"/>
    <s v="ADEX"/>
    <s v="다이닝브랜즈그룹"/>
    <x v="20"/>
    <s v="서비스"/>
    <s v="음식및숙박"/>
    <s v="기타프랜차이즈점"/>
    <s v="디지털"/>
    <s v="디지털동영상"/>
    <s v="Tving"/>
    <s v="-"/>
    <s v="25"/>
    <s v="01"/>
    <s v="25.01"/>
    <s v="25.01"/>
    <n v="9803"/>
  </r>
  <r>
    <s v="케이블"/>
    <s v="ADEX"/>
    <s v="다이닝브랜즈그룹"/>
    <x v="20"/>
    <s v="서비스"/>
    <s v="음식및숙박"/>
    <s v="기타프랜차이즈점"/>
    <s v="TV"/>
    <s v="케이블"/>
    <s v="tvNDRAMA"/>
    <s v="-"/>
    <s v="25"/>
    <s v="01"/>
    <s v="25.01"/>
    <s v="25.01"/>
    <n v="32461"/>
  </r>
  <r>
    <s v="디지털 영상"/>
    <s v="ADEX"/>
    <s v="다이닝브랜즈그룹"/>
    <x v="20"/>
    <s v="서비스"/>
    <s v="음식및숙박"/>
    <s v="기타프랜차이즈점"/>
    <s v="디지털"/>
    <s v="디지털동영상"/>
    <s v="YouTube"/>
    <s v="-"/>
    <s v="25"/>
    <s v="01"/>
    <s v="25.01"/>
    <s v="25.01"/>
    <n v="41202"/>
  </r>
  <r>
    <s v="지상파"/>
    <s v="ADEX"/>
    <s v="노랑푸드"/>
    <x v="21"/>
    <s v="서비스"/>
    <s v="음식및숙박"/>
    <s v="기타프랜차이즈점"/>
    <s v="TV"/>
    <s v="지상파"/>
    <s v="MBC"/>
    <s v="-"/>
    <s v="25"/>
    <s v="05"/>
    <s v="25.05"/>
    <s v="25.05"/>
    <n v="308549"/>
  </r>
  <r>
    <s v="지상파"/>
    <s v="ADEX"/>
    <s v="노랑푸드"/>
    <x v="21"/>
    <s v="서비스"/>
    <s v="음식및숙박"/>
    <s v="기타프랜차이즈점"/>
    <s v="TV"/>
    <s v="지상파"/>
    <s v="MBC"/>
    <s v="-"/>
    <s v="25"/>
    <s v="04"/>
    <s v="25.04"/>
    <s v="25.04"/>
    <n v="757790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12"/>
    <s v="25.12"/>
    <s v="25.12"/>
    <n v="8317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12"/>
    <s v="25.12"/>
    <s v="25.12"/>
    <n v="74520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11"/>
    <s v="25.11"/>
    <s v="25.11"/>
    <n v="117990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11"/>
    <s v="25.11"/>
    <s v="25.11"/>
    <n v="8049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10"/>
    <s v="25.10"/>
    <s v="25.10"/>
    <n v="7691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10"/>
    <s v="25.10"/>
    <s v="25.10"/>
    <n v="57960"/>
  </r>
  <r>
    <s v="케이블"/>
    <s v="ADEX"/>
    <s v="제뉴인비스트로"/>
    <x v="24"/>
    <s v="서비스"/>
    <s v="음식및숙박"/>
    <s v="기타프랜차이즈점"/>
    <s v="TV"/>
    <s v="케이블"/>
    <s v="tvNSPORTS"/>
    <s v="-"/>
    <s v="25"/>
    <s v="09"/>
    <s v="25.09"/>
    <s v="25.09"/>
    <n v="129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9"/>
    <s v="25.09"/>
    <s v="25.09"/>
    <n v="12591"/>
  </r>
  <r>
    <s v="케이블"/>
    <s v="ADEX"/>
    <s v="제뉴인비스트로"/>
    <x v="24"/>
    <s v="서비스"/>
    <s v="음식및숙박"/>
    <s v="기타프랜차이즈점"/>
    <s v="TV"/>
    <s v="케이블"/>
    <s v="tvN"/>
    <s v="-"/>
    <s v="25"/>
    <s v="09"/>
    <s v="25.09"/>
    <s v="25.09"/>
    <n v="263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9"/>
    <s v="25.09"/>
    <s v="25.09"/>
    <n v="91080"/>
  </r>
  <r>
    <s v="디지털 영상"/>
    <s v="ADEX"/>
    <s v="제뉴인비스트로"/>
    <x v="24"/>
    <s v="서비스"/>
    <s v="음식및숙박"/>
    <s v="기타프랜차이즈점"/>
    <s v="디지털"/>
    <s v="디지털동영상"/>
    <s v="YouTube"/>
    <s v="-"/>
    <s v="25"/>
    <s v="09"/>
    <s v="25.09"/>
    <s v="25.09"/>
    <n v="331"/>
  </r>
  <r>
    <s v="케이블"/>
    <s v="ADEX"/>
    <s v="제뉴인비스트로"/>
    <x v="24"/>
    <s v="서비스"/>
    <s v="음식및숙박"/>
    <s v="기타프랜차이즈점"/>
    <s v="TV"/>
    <s v="케이블"/>
    <s v="OCN"/>
    <s v="-"/>
    <s v="25"/>
    <s v="08"/>
    <s v="25.08"/>
    <s v="25.08"/>
    <n v="9071"/>
  </r>
  <r>
    <s v="케이블"/>
    <s v="ADEX"/>
    <s v="제뉴인비스트로"/>
    <x v="24"/>
    <s v="서비스"/>
    <s v="음식및숙박"/>
    <s v="기타프랜차이즈점"/>
    <s v="TV"/>
    <s v="케이블"/>
    <s v="OCNMovies"/>
    <s v="-"/>
    <s v="25"/>
    <s v="08"/>
    <s v="25.08"/>
    <s v="25.08"/>
    <n v="13177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8"/>
    <s v="25.08"/>
    <s v="25.08"/>
    <n v="7691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8"/>
    <s v="25.08"/>
    <s v="25.08"/>
    <n v="171810"/>
  </r>
  <r>
    <s v="케이블"/>
    <s v="ADEX"/>
    <s v="제뉴인비스트로"/>
    <x v="24"/>
    <s v="서비스"/>
    <s v="음식및숙박"/>
    <s v="기타프랜차이즈점"/>
    <s v="TV"/>
    <s v="케이블"/>
    <s v="tvN"/>
    <s v="-"/>
    <s v="25"/>
    <s v="08"/>
    <s v="25.08"/>
    <s v="25.08"/>
    <n v="44868"/>
  </r>
  <r>
    <s v="케이블"/>
    <s v="ADEX"/>
    <s v="제뉴인비스트로"/>
    <x v="24"/>
    <s v="서비스"/>
    <s v="음식및숙박"/>
    <s v="기타프랜차이즈점"/>
    <s v="TV"/>
    <s v="케이블"/>
    <s v="Mnet"/>
    <s v="-"/>
    <s v="25"/>
    <s v="08"/>
    <s v="25.08"/>
    <s v="25.08"/>
    <n v="20161"/>
  </r>
  <r>
    <s v="케이블"/>
    <s v="ADEX"/>
    <s v="제뉴인비스트로"/>
    <x v="24"/>
    <s v="서비스"/>
    <s v="음식및숙박"/>
    <s v="기타프랜차이즈점"/>
    <s v="TV"/>
    <s v="케이블"/>
    <s v="tvNSPORTS"/>
    <s v="-"/>
    <s v="25"/>
    <s v="08"/>
    <s v="25.08"/>
    <s v="25.08"/>
    <n v="12671"/>
  </r>
  <r>
    <s v="케이블"/>
    <s v="ADEX"/>
    <s v="제뉴인비스트로"/>
    <x v="24"/>
    <s v="서비스"/>
    <s v="음식및숙박"/>
    <s v="기타프랜차이즈점"/>
    <s v="TV"/>
    <s v="케이블"/>
    <s v="OCNMovies2"/>
    <s v="-"/>
    <s v="25"/>
    <s v="08"/>
    <s v="25.08"/>
    <s v="25.08"/>
    <n v="2793"/>
  </r>
  <r>
    <s v="디지털 영상"/>
    <s v="ADEX"/>
    <s v="제뉴인비스트로"/>
    <x v="24"/>
    <s v="서비스"/>
    <s v="음식및숙박"/>
    <s v="기타프랜차이즈점"/>
    <s v="디지털"/>
    <s v="디지털동영상"/>
    <s v="YouTube"/>
    <s v="-"/>
    <s v="25"/>
    <s v="08"/>
    <s v="25.08"/>
    <s v="25.08"/>
    <n v="2009"/>
  </r>
  <r>
    <s v="케이블"/>
    <s v="ADEX"/>
    <s v="제뉴인비스트로"/>
    <x v="24"/>
    <s v="서비스"/>
    <s v="음식및숙박"/>
    <s v="기타프랜차이즈점"/>
    <s v="TV"/>
    <s v="케이블"/>
    <s v="OCNMovies2"/>
    <s v="-"/>
    <s v="25"/>
    <s v="07"/>
    <s v="25.07"/>
    <s v="25.07"/>
    <n v="12983"/>
  </r>
  <r>
    <s v="케이블"/>
    <s v="ADEX"/>
    <s v="제뉴인비스트로"/>
    <x v="24"/>
    <s v="서비스"/>
    <s v="음식및숙박"/>
    <s v="기타프랜차이즈점"/>
    <s v="TV"/>
    <s v="케이블"/>
    <s v="OCNMovies"/>
    <s v="-"/>
    <s v="25"/>
    <s v="07"/>
    <s v="25.07"/>
    <s v="25.07"/>
    <n v="30484"/>
  </r>
  <r>
    <s v="케이블"/>
    <s v="ADEX"/>
    <s v="제뉴인비스트로"/>
    <x v="24"/>
    <s v="서비스"/>
    <s v="음식및숙박"/>
    <s v="기타프랜차이즈점"/>
    <s v="TV"/>
    <s v="케이블"/>
    <s v="Mnet"/>
    <s v="-"/>
    <s v="25"/>
    <s v="07"/>
    <s v="25.07"/>
    <s v="25.07"/>
    <n v="18847"/>
  </r>
  <r>
    <s v="케이블"/>
    <s v="ADEX"/>
    <s v="제뉴인비스트로"/>
    <x v="24"/>
    <s v="서비스"/>
    <s v="음식및숙박"/>
    <s v="기타프랜차이즈점"/>
    <s v="TV"/>
    <s v="케이블"/>
    <s v="tvN"/>
    <s v="-"/>
    <s v="25"/>
    <s v="07"/>
    <s v="25.07"/>
    <s v="25.07"/>
    <n v="55526"/>
  </r>
  <r>
    <s v="케이블"/>
    <s v="ADEX"/>
    <s v="제뉴인비스트로"/>
    <x v="24"/>
    <s v="서비스"/>
    <s v="음식및숙박"/>
    <s v="기타프랜차이즈점"/>
    <s v="TV"/>
    <s v="케이블"/>
    <s v="tvNSPORTS"/>
    <s v="-"/>
    <s v="25"/>
    <s v="07"/>
    <s v="25.07"/>
    <s v="25.07"/>
    <n v="19029"/>
  </r>
  <r>
    <s v="케이블"/>
    <s v="ADEX"/>
    <s v="제뉴인비스트로"/>
    <x v="24"/>
    <s v="서비스"/>
    <s v="음식및숙박"/>
    <s v="기타프랜차이즈점"/>
    <s v="TV"/>
    <s v="케이블"/>
    <s v="OCN"/>
    <s v="-"/>
    <s v="25"/>
    <s v="07"/>
    <s v="25.07"/>
    <s v="25.07"/>
    <n v="26423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7"/>
    <s v="25.07"/>
    <s v="25.07"/>
    <n v="7691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7"/>
    <s v="25.07"/>
    <s v="25.07"/>
    <n v="128340"/>
  </r>
  <r>
    <s v="케이블"/>
    <s v="ADEX"/>
    <s v="노랑푸드"/>
    <x v="21"/>
    <s v="서비스"/>
    <s v="음식및숙박"/>
    <s v="기타프랜차이즈점"/>
    <s v="TV"/>
    <s v="케이블"/>
    <s v="ENA"/>
    <s v="-"/>
    <s v="25"/>
    <s v="06"/>
    <s v="25.06"/>
    <s v="25.06"/>
    <n v="93"/>
  </r>
  <r>
    <s v="케이블"/>
    <s v="ADEX"/>
    <s v="노랑푸드"/>
    <x v="21"/>
    <s v="서비스"/>
    <s v="음식및숙박"/>
    <s v="기타프랜차이즈점"/>
    <s v="TV"/>
    <s v="케이블"/>
    <s v="tvN"/>
    <s v="-"/>
    <s v="25"/>
    <s v="06"/>
    <s v="25.06"/>
    <s v="25.06"/>
    <n v="106974"/>
  </r>
  <r>
    <s v="케이블"/>
    <s v="ADEX"/>
    <s v="노랑푸드"/>
    <x v="21"/>
    <s v="서비스"/>
    <s v="음식및숙박"/>
    <s v="기타프랜차이즈점"/>
    <s v="TV"/>
    <s v="케이블"/>
    <s v="tvNSTORY"/>
    <s v="-"/>
    <s v="25"/>
    <s v="06"/>
    <s v="25.06"/>
    <s v="25.06"/>
    <n v="32523"/>
  </r>
  <r>
    <s v="케이블"/>
    <s v="ADEX"/>
    <s v="노랑푸드"/>
    <x v="21"/>
    <s v="서비스"/>
    <s v="음식및숙박"/>
    <s v="기타프랜차이즈점"/>
    <s v="TV"/>
    <s v="케이블"/>
    <s v="SkySports"/>
    <s v="-"/>
    <s v="25"/>
    <s v="06"/>
    <s v="25.06"/>
    <s v="25.06"/>
    <n v="56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6"/>
    <s v="25.06"/>
    <s v="25.06"/>
    <n v="7443"/>
  </r>
  <r>
    <s v="디지털 영상"/>
    <s v="ADEX"/>
    <s v="노랑푸드"/>
    <x v="21"/>
    <s v="서비스"/>
    <s v="음식및숙박"/>
    <s v="기타프랜차이즈점"/>
    <s v="디지털"/>
    <s v="디지털동영상"/>
    <s v="YouTube"/>
    <s v="-"/>
    <s v="25"/>
    <s v="06"/>
    <s v="25.06"/>
    <s v="25.06"/>
    <n v="23903"/>
  </r>
  <r>
    <s v="디지털 영상"/>
    <s v="ADEX"/>
    <s v="노랑푸드"/>
    <x v="21"/>
    <s v="서비스"/>
    <s v="음식및숙박"/>
    <s v="기타프랜차이즈점"/>
    <s v="디지털"/>
    <s v="디지털동영상"/>
    <s v="Tving"/>
    <s v="-"/>
    <s v="25"/>
    <s v="06"/>
    <s v="25.06"/>
    <s v="25.06"/>
    <n v="2"/>
  </r>
  <r>
    <s v="케이블"/>
    <s v="ADEX"/>
    <s v="노랑푸드"/>
    <x v="21"/>
    <s v="서비스"/>
    <s v="음식및숙박"/>
    <s v="기타프랜차이즈점"/>
    <s v="TV"/>
    <s v="케이블"/>
    <s v="KBSJOY"/>
    <s v="-"/>
    <s v="25"/>
    <s v="06"/>
    <s v="25.06"/>
    <s v="25.06"/>
    <n v="196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6"/>
    <s v="25.06"/>
    <s v="25.06"/>
    <n v="91080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5"/>
    <s v="25.05"/>
    <s v="25.05"/>
    <n v="7691"/>
  </r>
  <r>
    <s v="케이블"/>
    <s v="ADEX"/>
    <s v="노랑푸드"/>
    <x v="21"/>
    <s v="서비스"/>
    <s v="음식및숙박"/>
    <s v="기타프랜차이즈점"/>
    <s v="TV"/>
    <s v="케이블"/>
    <s v="ONT"/>
    <s v="-"/>
    <s v="25"/>
    <s v="05"/>
    <s v="25.05"/>
    <s v="25.05"/>
    <n v="22"/>
  </r>
  <r>
    <s v="케이블"/>
    <s v="ADEX"/>
    <s v="노랑푸드"/>
    <x v="21"/>
    <s v="서비스"/>
    <s v="음식및숙박"/>
    <s v="기타프랜차이즈점"/>
    <s v="TV"/>
    <s v="케이블"/>
    <s v="CHview"/>
    <s v="-"/>
    <s v="25"/>
    <s v="05"/>
    <s v="25.05"/>
    <s v="25.05"/>
    <n v="2750"/>
  </r>
  <r>
    <s v="케이블"/>
    <s v="ADEX"/>
    <s v="노랑푸드"/>
    <x v="21"/>
    <s v="서비스"/>
    <s v="음식및숙박"/>
    <s v="기타프랜차이즈점"/>
    <s v="TV"/>
    <s v="케이블"/>
    <s v="ONCE"/>
    <s v="-"/>
    <s v="25"/>
    <s v="05"/>
    <s v="25.05"/>
    <s v="25.05"/>
    <n v="4802"/>
  </r>
  <r>
    <s v="케이블"/>
    <s v="ADEX"/>
    <s v="노랑푸드"/>
    <x v="21"/>
    <s v="서비스"/>
    <s v="음식및숙박"/>
    <s v="기타프랜차이즈점"/>
    <s v="TV"/>
    <s v="케이블"/>
    <s v="ENADRAMA"/>
    <s v="-"/>
    <s v="25"/>
    <s v="05"/>
    <s v="25.05"/>
    <s v="25.05"/>
    <n v="14981"/>
  </r>
  <r>
    <s v="종편"/>
    <s v="ADEX"/>
    <s v="노랑푸드"/>
    <x v="21"/>
    <s v="서비스"/>
    <s v="음식및숙박"/>
    <s v="기타프랜차이즈점"/>
    <s v="TV"/>
    <s v="종편"/>
    <s v="JTBC"/>
    <s v="-"/>
    <s v="25"/>
    <s v="05"/>
    <s v="25.05"/>
    <s v="25.05"/>
    <n v="80333"/>
  </r>
  <r>
    <s v="케이블"/>
    <s v="ADEX"/>
    <s v="노랑푸드"/>
    <x v="21"/>
    <s v="서비스"/>
    <s v="음식및숙박"/>
    <s v="기타프랜차이즈점"/>
    <s v="TV"/>
    <s v="케이블"/>
    <s v="SBSPlus"/>
    <s v="-"/>
    <s v="25"/>
    <s v="05"/>
    <s v="25.05"/>
    <s v="25.05"/>
    <n v="29813"/>
  </r>
  <r>
    <s v="디지털 영상"/>
    <s v="ADEX"/>
    <s v="노랑푸드"/>
    <x v="21"/>
    <s v="서비스"/>
    <s v="음식및숙박"/>
    <s v="기타프랜차이즈점"/>
    <s v="디지털"/>
    <s v="디지털동영상"/>
    <s v="Afreecatv"/>
    <s v="-"/>
    <s v="25"/>
    <s v="05"/>
    <s v="25.05"/>
    <s v="25.05"/>
    <n v="297"/>
  </r>
  <r>
    <s v="케이블"/>
    <s v="ADEX"/>
    <s v="노랑푸드"/>
    <x v="21"/>
    <s v="서비스"/>
    <s v="음식및숙박"/>
    <s v="기타프랜차이즈점"/>
    <s v="TV"/>
    <s v="케이블"/>
    <s v="Mnet"/>
    <s v="-"/>
    <s v="25"/>
    <s v="05"/>
    <s v="25.05"/>
    <s v="25.05"/>
    <n v="11036"/>
  </r>
  <r>
    <s v="케이블"/>
    <s v="ADEX"/>
    <s v="노랑푸드"/>
    <x v="21"/>
    <s v="서비스"/>
    <s v="음식및숙박"/>
    <s v="기타프랜차이즈점"/>
    <s v="TV"/>
    <s v="케이블"/>
    <s v="MBCevery1"/>
    <s v="-"/>
    <s v="25"/>
    <s v="05"/>
    <s v="25.05"/>
    <s v="25.05"/>
    <n v="58571"/>
  </r>
  <r>
    <s v="케이블"/>
    <s v="ADEX"/>
    <s v="노랑푸드"/>
    <x v="21"/>
    <s v="서비스"/>
    <s v="음식및숙박"/>
    <s v="기타프랜차이즈점"/>
    <s v="TV"/>
    <s v="케이블"/>
    <s v="KSTAR"/>
    <s v="-"/>
    <s v="25"/>
    <s v="05"/>
    <s v="25.05"/>
    <s v="25.05"/>
    <n v="51573"/>
  </r>
  <r>
    <s v="케이블"/>
    <s v="ADEX"/>
    <s v="노랑푸드"/>
    <x v="21"/>
    <s v="서비스"/>
    <s v="음식및숙박"/>
    <s v="기타프랜차이즈점"/>
    <s v="TV"/>
    <s v="케이블"/>
    <s v="KBSJOY"/>
    <s v="-"/>
    <s v="25"/>
    <s v="05"/>
    <s v="25.05"/>
    <s v="25.05"/>
    <n v="52226"/>
  </r>
  <r>
    <s v="케이블"/>
    <s v="ADEX"/>
    <s v="노랑푸드"/>
    <x v="21"/>
    <s v="서비스"/>
    <s v="음식및숙박"/>
    <s v="기타프랜차이즈점"/>
    <s v="TV"/>
    <s v="케이블"/>
    <s v="ENASTORY"/>
    <s v="-"/>
    <s v="25"/>
    <s v="05"/>
    <s v="25.05"/>
    <s v="25.05"/>
    <n v="6440"/>
  </r>
  <r>
    <s v="케이블"/>
    <s v="ADEX"/>
    <s v="노랑푸드"/>
    <x v="21"/>
    <s v="서비스"/>
    <s v="음식및숙박"/>
    <s v="기타프랜차이즈점"/>
    <s v="TV"/>
    <s v="케이블"/>
    <s v="헬스메디TV"/>
    <s v="-"/>
    <s v="25"/>
    <s v="05"/>
    <s v="25.05"/>
    <s v="25.05"/>
    <n v="5806"/>
  </r>
  <r>
    <s v="케이블"/>
    <s v="ADEX"/>
    <s v="노랑푸드"/>
    <x v="21"/>
    <s v="서비스"/>
    <s v="음식및숙박"/>
    <s v="기타프랜차이즈점"/>
    <s v="TV"/>
    <s v="케이블"/>
    <s v="채널S"/>
    <s v="-"/>
    <s v="25"/>
    <s v="05"/>
    <s v="25.05"/>
    <s v="25.05"/>
    <n v="31912"/>
  </r>
  <r>
    <s v="케이블"/>
    <s v="ADEX"/>
    <s v="노랑푸드"/>
    <x v="21"/>
    <s v="서비스"/>
    <s v="음식및숙박"/>
    <s v="기타프랜차이즈점"/>
    <s v="TV"/>
    <s v="케이블"/>
    <s v="채널S플러스"/>
    <s v="-"/>
    <s v="25"/>
    <s v="05"/>
    <s v="25.05"/>
    <s v="25.05"/>
    <n v="2120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5"/>
    <s v="25.05"/>
    <s v="25.05"/>
    <n v="122130"/>
  </r>
  <r>
    <s v="디지털 영상"/>
    <s v="ADEX"/>
    <s v="노랑푸드"/>
    <x v="21"/>
    <s v="서비스"/>
    <s v="음식및숙박"/>
    <s v="기타프랜차이즈점"/>
    <s v="디지털"/>
    <s v="디지털동영상"/>
    <s v="Tving"/>
    <s v="-"/>
    <s v="25"/>
    <s v="05"/>
    <s v="25.05"/>
    <s v="25.05"/>
    <n v="1175"/>
  </r>
  <r>
    <s v="케이블"/>
    <s v="ADEX"/>
    <s v="노랑푸드"/>
    <x v="21"/>
    <s v="서비스"/>
    <s v="음식및숙박"/>
    <s v="기타프랜차이즈점"/>
    <s v="TV"/>
    <s v="케이블"/>
    <s v="ENAPLAY"/>
    <s v="-"/>
    <s v="25"/>
    <s v="05"/>
    <s v="25.05"/>
    <s v="25.05"/>
    <n v="13894"/>
  </r>
  <r>
    <s v="디지털 영상"/>
    <s v="ADEX"/>
    <s v="노랑푸드"/>
    <x v="21"/>
    <s v="서비스"/>
    <s v="음식및숙박"/>
    <s v="기타프랜차이즈점"/>
    <s v="디지털"/>
    <s v="디지털동영상"/>
    <s v="GOMTV"/>
    <s v="-"/>
    <s v="25"/>
    <s v="05"/>
    <s v="25.05"/>
    <s v="25.05"/>
    <n v="129"/>
  </r>
  <r>
    <s v="디지털 영상"/>
    <s v="ADEX"/>
    <s v="노랑푸드"/>
    <x v="21"/>
    <s v="서비스"/>
    <s v="음식및숙박"/>
    <s v="기타프랜차이즈점"/>
    <s v="디지털"/>
    <s v="디지털동영상"/>
    <s v="YouTube"/>
    <s v="-"/>
    <s v="25"/>
    <s v="05"/>
    <s v="25.05"/>
    <s v="25.05"/>
    <n v="40860"/>
  </r>
  <r>
    <s v="디지털 영상"/>
    <s v="ADEX"/>
    <s v="노랑푸드"/>
    <x v="21"/>
    <s v="서비스"/>
    <s v="음식및숙박"/>
    <s v="기타프랜차이즈점"/>
    <s v="디지털"/>
    <s v="디지털동영상"/>
    <s v="네이버"/>
    <s v="-"/>
    <s v="25"/>
    <s v="05"/>
    <s v="25.05"/>
    <s v="25.05"/>
    <n v="4324"/>
  </r>
  <r>
    <s v="케이블"/>
    <s v="ADEX"/>
    <s v="노랑푸드"/>
    <x v="21"/>
    <s v="서비스"/>
    <s v="음식및숙박"/>
    <s v="기타프랜차이즈점"/>
    <s v="TV"/>
    <s v="케이블"/>
    <s v="E채널"/>
    <s v="-"/>
    <s v="25"/>
    <s v="05"/>
    <s v="25.05"/>
    <s v="25.05"/>
    <n v="25191"/>
  </r>
  <r>
    <s v="케이블"/>
    <s v="ADEX"/>
    <s v="노랑푸드"/>
    <x v="21"/>
    <s v="서비스"/>
    <s v="음식및숙박"/>
    <s v="기타프랜차이즈점"/>
    <s v="TV"/>
    <s v="케이블"/>
    <s v="tvN"/>
    <s v="-"/>
    <s v="25"/>
    <s v="05"/>
    <s v="25.05"/>
    <s v="25.05"/>
    <n v="555694"/>
  </r>
  <r>
    <s v="케이블"/>
    <s v="ADEX"/>
    <s v="노랑푸드"/>
    <x v="21"/>
    <s v="서비스"/>
    <s v="음식및숙박"/>
    <s v="기타프랜차이즈점"/>
    <s v="TV"/>
    <s v="케이블"/>
    <s v="MX"/>
    <s v="-"/>
    <s v="25"/>
    <s v="05"/>
    <s v="25.05"/>
    <s v="25.05"/>
    <n v="1140"/>
  </r>
  <r>
    <s v="케이블"/>
    <s v="ADEX"/>
    <s v="노랑푸드"/>
    <x v="21"/>
    <s v="서비스"/>
    <s v="음식및숙박"/>
    <s v="기타프랜차이즈점"/>
    <s v="TV"/>
    <s v="케이블"/>
    <s v="채널에버"/>
    <s v="-"/>
    <s v="25"/>
    <s v="05"/>
    <s v="25.05"/>
    <s v="25.05"/>
    <n v="700"/>
  </r>
  <r>
    <s v="케이블"/>
    <s v="ADEX"/>
    <s v="노랑푸드"/>
    <x v="21"/>
    <s v="서비스"/>
    <s v="음식및숙박"/>
    <s v="기타프랜차이즈점"/>
    <s v="TV"/>
    <s v="케이블"/>
    <s v="SBSfunE"/>
    <s v="-"/>
    <s v="25"/>
    <s v="05"/>
    <s v="25.05"/>
    <s v="25.05"/>
    <n v="20697"/>
  </r>
  <r>
    <s v="케이블"/>
    <s v="ADEX"/>
    <s v="노랑푸드"/>
    <x v="21"/>
    <s v="서비스"/>
    <s v="음식및숙박"/>
    <s v="기타프랜차이즈점"/>
    <s v="TV"/>
    <s v="케이블"/>
    <s v="ENA"/>
    <s v="-"/>
    <s v="25"/>
    <s v="05"/>
    <s v="25.05"/>
    <s v="25.05"/>
    <n v="88676"/>
  </r>
  <r>
    <s v="케이블"/>
    <s v="ADEX"/>
    <s v="노랑푸드"/>
    <x v="21"/>
    <s v="서비스"/>
    <s v="음식및숙박"/>
    <s v="기타프랜차이즈점"/>
    <s v="TV"/>
    <s v="케이블"/>
    <s v="SCREEN"/>
    <s v="-"/>
    <s v="25"/>
    <s v="05"/>
    <s v="25.05"/>
    <s v="25.05"/>
    <n v="7181"/>
  </r>
  <r>
    <s v="케이블"/>
    <s v="ADEX"/>
    <s v="노랑푸드"/>
    <x v="21"/>
    <s v="서비스"/>
    <s v="음식및숙박"/>
    <s v="기타프랜차이즈점"/>
    <s v="TV"/>
    <s v="케이블"/>
    <s v="tvNSTORY"/>
    <s v="-"/>
    <s v="25"/>
    <s v="05"/>
    <s v="25.05"/>
    <s v="25.05"/>
    <n v="49823"/>
  </r>
  <r>
    <s v="케이블"/>
    <s v="ADEX"/>
    <s v="노랑푸드"/>
    <x v="21"/>
    <s v="서비스"/>
    <s v="음식및숙박"/>
    <s v="기타프랜차이즈점"/>
    <s v="TV"/>
    <s v="케이블"/>
    <s v="채널나우"/>
    <s v="-"/>
    <s v="25"/>
    <s v="05"/>
    <s v="25.05"/>
    <s v="25.05"/>
    <n v="8490"/>
  </r>
  <r>
    <s v="케이블"/>
    <s v="ADEX"/>
    <s v="노랑푸드"/>
    <x v="21"/>
    <s v="서비스"/>
    <s v="음식및숙박"/>
    <s v="기타프랜차이즈점"/>
    <s v="TV"/>
    <s v="케이블"/>
    <s v="JTBC2"/>
    <s v="-"/>
    <s v="25"/>
    <s v="05"/>
    <s v="25.05"/>
    <s v="25.05"/>
    <n v="250"/>
  </r>
  <r>
    <s v="케이블"/>
    <s v="ADEX"/>
    <s v="노랑푸드"/>
    <x v="21"/>
    <s v="서비스"/>
    <s v="음식및숙박"/>
    <s v="기타프랜차이즈점"/>
    <s v="TV"/>
    <s v="케이블"/>
    <s v="ELIKE"/>
    <s v="-"/>
    <s v="25"/>
    <s v="05"/>
    <s v="25.05"/>
    <s v="25.05"/>
    <n v="1174"/>
  </r>
  <r>
    <s v="케이블"/>
    <s v="ADEX"/>
    <s v="노랑푸드"/>
    <x v="21"/>
    <s v="서비스"/>
    <s v="음식및숙박"/>
    <s v="기타프랜차이즈점"/>
    <s v="TV"/>
    <s v="케이블"/>
    <s v="cineF"/>
    <s v="-"/>
    <s v="25"/>
    <s v="05"/>
    <s v="25.05"/>
    <s v="25.05"/>
    <n v="992"/>
  </r>
  <r>
    <s v="케이블"/>
    <s v="ADEX"/>
    <s v="노랑푸드"/>
    <x v="21"/>
    <s v="서비스"/>
    <s v="음식및숙박"/>
    <s v="기타프랜차이즈점"/>
    <s v="TV"/>
    <s v="케이블"/>
    <s v="SkySports"/>
    <s v="-"/>
    <s v="25"/>
    <s v="05"/>
    <s v="25.05"/>
    <s v="25.05"/>
    <n v="14032"/>
  </r>
  <r>
    <s v="케이블"/>
    <s v="ADEX"/>
    <s v="노랑푸드"/>
    <x v="21"/>
    <s v="서비스"/>
    <s v="음식및숙박"/>
    <s v="기타프랜차이즈점"/>
    <s v="TV"/>
    <s v="케이블"/>
    <s v="JTBC4"/>
    <s v="-"/>
    <s v="25"/>
    <s v="05"/>
    <s v="25.05"/>
    <s v="25.05"/>
    <n v="67"/>
  </r>
  <r>
    <s v="디지털 영상"/>
    <s v="ADEX"/>
    <s v="노랑푸드"/>
    <x v="21"/>
    <s v="서비스"/>
    <s v="음식및숙박"/>
    <s v="기타프랜차이즈점"/>
    <s v="디지털"/>
    <s v="디지털동영상"/>
    <s v="Tving"/>
    <s v="-"/>
    <s v="25"/>
    <s v="04"/>
    <s v="25.04"/>
    <s v="25.04"/>
    <n v="751"/>
  </r>
  <r>
    <s v="디지털 영상"/>
    <s v="ADEX"/>
    <s v="노랑푸드"/>
    <x v="21"/>
    <s v="서비스"/>
    <s v="음식및숙박"/>
    <s v="기타프랜차이즈점"/>
    <s v="디지털"/>
    <s v="디지털동영상"/>
    <s v="YouTube"/>
    <s v="-"/>
    <s v="25"/>
    <s v="04"/>
    <s v="25.04"/>
    <s v="25.04"/>
    <n v="17838"/>
  </r>
  <r>
    <s v="케이블"/>
    <s v="ADEX"/>
    <s v="노랑푸드"/>
    <x v="21"/>
    <s v="서비스"/>
    <s v="음식및숙박"/>
    <s v="기타프랜차이즈점"/>
    <s v="TV"/>
    <s v="케이블"/>
    <s v="채널나우"/>
    <s v="-"/>
    <s v="25"/>
    <s v="04"/>
    <s v="25.04"/>
    <s v="25.04"/>
    <n v="6439"/>
  </r>
  <r>
    <s v="케이블"/>
    <s v="ADEX"/>
    <s v="노랑푸드"/>
    <x v="21"/>
    <s v="서비스"/>
    <s v="음식및숙박"/>
    <s v="기타프랜차이즈점"/>
    <s v="TV"/>
    <s v="케이블"/>
    <s v="ENADRAMA"/>
    <s v="-"/>
    <s v="25"/>
    <s v="04"/>
    <s v="25.04"/>
    <s v="25.04"/>
    <n v="3942"/>
  </r>
  <r>
    <s v="케이블"/>
    <s v="ADEX"/>
    <s v="노랑푸드"/>
    <x v="21"/>
    <s v="서비스"/>
    <s v="음식및숙박"/>
    <s v="기타프랜차이즈점"/>
    <s v="TV"/>
    <s v="케이블"/>
    <s v="ELIKE"/>
    <s v="-"/>
    <s v="25"/>
    <s v="04"/>
    <s v="25.04"/>
    <s v="25.04"/>
    <n v="1362"/>
  </r>
  <r>
    <s v="케이블"/>
    <s v="ADEX"/>
    <s v="노랑푸드"/>
    <x v="21"/>
    <s v="서비스"/>
    <s v="음식및숙박"/>
    <s v="기타프랜차이즈점"/>
    <s v="TV"/>
    <s v="케이블"/>
    <s v="cineF"/>
    <s v="-"/>
    <s v="25"/>
    <s v="04"/>
    <s v="25.04"/>
    <s v="25.04"/>
    <n v="922"/>
  </r>
  <r>
    <s v="케이블"/>
    <s v="ADEX"/>
    <s v="노랑푸드"/>
    <x v="21"/>
    <s v="서비스"/>
    <s v="음식및숙박"/>
    <s v="기타프랜차이즈점"/>
    <s v="TV"/>
    <s v="케이블"/>
    <s v="ONT"/>
    <s v="-"/>
    <s v="25"/>
    <s v="04"/>
    <s v="25.04"/>
    <s v="25.04"/>
    <n v="491"/>
  </r>
  <r>
    <s v="케이블"/>
    <s v="ADEX"/>
    <s v="노랑푸드"/>
    <x v="21"/>
    <s v="서비스"/>
    <s v="음식및숙박"/>
    <s v="기타프랜차이즈점"/>
    <s v="TV"/>
    <s v="케이블"/>
    <s v="SkySports"/>
    <s v="-"/>
    <s v="25"/>
    <s v="04"/>
    <s v="25.04"/>
    <s v="25.04"/>
    <n v="6020"/>
  </r>
  <r>
    <s v="케이블"/>
    <s v="ADEX"/>
    <s v="노랑푸드"/>
    <x v="21"/>
    <s v="서비스"/>
    <s v="음식및숙박"/>
    <s v="기타프랜차이즈점"/>
    <s v="TV"/>
    <s v="케이블"/>
    <s v="E채널"/>
    <s v="-"/>
    <s v="25"/>
    <s v="04"/>
    <s v="25.04"/>
    <s v="25.04"/>
    <n v="27050"/>
  </r>
  <r>
    <s v="케이블"/>
    <s v="ADEX"/>
    <s v="노랑푸드"/>
    <x v="21"/>
    <s v="서비스"/>
    <s v="음식및숙박"/>
    <s v="기타프랜차이즈점"/>
    <s v="TV"/>
    <s v="케이블"/>
    <s v="tvN"/>
    <s v="-"/>
    <s v="25"/>
    <s v="04"/>
    <s v="25.04"/>
    <s v="25.04"/>
    <n v="189861"/>
  </r>
  <r>
    <s v="케이블"/>
    <s v="ADEX"/>
    <s v="노랑푸드"/>
    <x v="21"/>
    <s v="서비스"/>
    <s v="음식및숙박"/>
    <s v="기타프랜차이즈점"/>
    <s v="TV"/>
    <s v="케이블"/>
    <s v="MX"/>
    <s v="-"/>
    <s v="25"/>
    <s v="04"/>
    <s v="25.04"/>
    <s v="25.04"/>
    <n v="3649"/>
  </r>
  <r>
    <s v="케이블"/>
    <s v="ADEX"/>
    <s v="노랑푸드"/>
    <x v="21"/>
    <s v="서비스"/>
    <s v="음식및숙박"/>
    <s v="기타프랜차이즈점"/>
    <s v="TV"/>
    <s v="케이블"/>
    <s v="SBSfunE"/>
    <s v="-"/>
    <s v="25"/>
    <s v="04"/>
    <s v="25.04"/>
    <s v="25.04"/>
    <n v="10917"/>
  </r>
  <r>
    <s v="케이블"/>
    <s v="ADEX"/>
    <s v="노랑푸드"/>
    <x v="21"/>
    <s v="서비스"/>
    <s v="음식및숙박"/>
    <s v="기타프랜차이즈점"/>
    <s v="TV"/>
    <s v="케이블"/>
    <s v="채널에버"/>
    <s v="-"/>
    <s v="25"/>
    <s v="04"/>
    <s v="25.04"/>
    <s v="25.04"/>
    <n v="724"/>
  </r>
  <r>
    <s v="케이블"/>
    <s v="ADEX"/>
    <s v="노랑푸드"/>
    <x v="21"/>
    <s v="서비스"/>
    <s v="음식및숙박"/>
    <s v="기타프랜차이즈점"/>
    <s v="TV"/>
    <s v="케이블"/>
    <s v="CHING"/>
    <s v="-"/>
    <s v="25"/>
    <s v="04"/>
    <s v="25.04"/>
    <s v="25.04"/>
    <n v="3665"/>
  </r>
  <r>
    <s v="케이블"/>
    <s v="ADEX"/>
    <s v="노랑푸드"/>
    <x v="21"/>
    <s v="서비스"/>
    <s v="음식및숙박"/>
    <s v="기타프랜차이즈점"/>
    <s v="TV"/>
    <s v="케이블"/>
    <s v="OLIFE"/>
    <s v="-"/>
    <s v="25"/>
    <s v="04"/>
    <s v="25.04"/>
    <s v="25.04"/>
    <n v="1489"/>
  </r>
  <r>
    <s v="케이블"/>
    <s v="ADEX"/>
    <s v="노랑푸드"/>
    <x v="21"/>
    <s v="서비스"/>
    <s v="음식및숙박"/>
    <s v="기타프랜차이즈점"/>
    <s v="TV"/>
    <s v="케이블"/>
    <s v="ENA"/>
    <s v="-"/>
    <s v="25"/>
    <s v="04"/>
    <s v="25.04"/>
    <s v="25.04"/>
    <n v="37297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4"/>
    <s v="25.04"/>
    <s v="25.04"/>
    <n v="111780"/>
  </r>
  <r>
    <s v="케이블"/>
    <s v="ADEX"/>
    <s v="노랑푸드"/>
    <x v="21"/>
    <s v="서비스"/>
    <s v="음식및숙박"/>
    <s v="기타프랜차이즈점"/>
    <s v="TV"/>
    <s v="케이블"/>
    <s v="MBC드라마넷"/>
    <s v="-"/>
    <s v="25"/>
    <s v="04"/>
    <s v="25.04"/>
    <s v="25.04"/>
    <n v="23733"/>
  </r>
  <r>
    <s v="케이블"/>
    <s v="ADEX"/>
    <s v="노랑푸드"/>
    <x v="21"/>
    <s v="서비스"/>
    <s v="음식및숙박"/>
    <s v="기타프랜차이즈점"/>
    <s v="TV"/>
    <s v="케이블"/>
    <s v="MBCevery1"/>
    <s v="-"/>
    <s v="25"/>
    <s v="04"/>
    <s v="25.04"/>
    <s v="25.04"/>
    <n v="46643"/>
  </r>
  <r>
    <s v="케이블"/>
    <s v="ADEX"/>
    <s v="노랑푸드"/>
    <x v="21"/>
    <s v="서비스"/>
    <s v="음식및숙박"/>
    <s v="기타프랜차이즈점"/>
    <s v="TV"/>
    <s v="케이블"/>
    <s v="KSTAR"/>
    <s v="-"/>
    <s v="25"/>
    <s v="04"/>
    <s v="25.04"/>
    <s v="25.04"/>
    <n v="22598"/>
  </r>
  <r>
    <s v="케이블"/>
    <s v="ADEX"/>
    <s v="노랑푸드"/>
    <x v="21"/>
    <s v="서비스"/>
    <s v="음식및숙박"/>
    <s v="기타프랜차이즈점"/>
    <s v="TV"/>
    <s v="케이블"/>
    <s v="KBSJOY"/>
    <s v="-"/>
    <s v="25"/>
    <s v="04"/>
    <s v="25.04"/>
    <s v="25.04"/>
    <n v="43516"/>
  </r>
  <r>
    <s v="케이블"/>
    <s v="ADEX"/>
    <s v="노랑푸드"/>
    <x v="21"/>
    <s v="서비스"/>
    <s v="음식및숙박"/>
    <s v="기타프랜차이즈점"/>
    <s v="TV"/>
    <s v="케이블"/>
    <s v="SCREEN"/>
    <s v="-"/>
    <s v="25"/>
    <s v="04"/>
    <s v="25.04"/>
    <s v="25.04"/>
    <n v="7125"/>
  </r>
  <r>
    <s v="케이블"/>
    <s v="ADEX"/>
    <s v="노랑푸드"/>
    <x v="21"/>
    <s v="서비스"/>
    <s v="음식및숙박"/>
    <s v="기타프랜차이즈점"/>
    <s v="TV"/>
    <s v="케이블"/>
    <s v="ENASTORY"/>
    <s v="-"/>
    <s v="25"/>
    <s v="04"/>
    <s v="25.04"/>
    <s v="25.04"/>
    <n v="1560"/>
  </r>
  <r>
    <s v="케이블"/>
    <s v="ADEX"/>
    <s v="노랑푸드"/>
    <x v="21"/>
    <s v="서비스"/>
    <s v="음식및숙박"/>
    <s v="기타프랜차이즈점"/>
    <s v="TV"/>
    <s v="케이블"/>
    <s v="헬스메디TV"/>
    <s v="-"/>
    <s v="25"/>
    <s v="04"/>
    <s v="25.04"/>
    <s v="25.04"/>
    <n v="1866"/>
  </r>
  <r>
    <s v="케이블"/>
    <s v="ADEX"/>
    <s v="노랑푸드"/>
    <x v="21"/>
    <s v="서비스"/>
    <s v="음식및숙박"/>
    <s v="기타프랜차이즈점"/>
    <s v="TV"/>
    <s v="케이블"/>
    <s v="채널S"/>
    <s v="-"/>
    <s v="25"/>
    <s v="04"/>
    <s v="25.04"/>
    <s v="25.04"/>
    <n v="12764"/>
  </r>
  <r>
    <s v="종편"/>
    <s v="ADEX"/>
    <s v="노랑푸드"/>
    <x v="21"/>
    <s v="서비스"/>
    <s v="음식및숙박"/>
    <s v="기타프랜차이즈점"/>
    <s v="TV"/>
    <s v="종편"/>
    <s v="TVCHOSUN"/>
    <s v="-"/>
    <s v="25"/>
    <s v="04"/>
    <s v="25.04"/>
    <s v="25.04"/>
    <n v="185548"/>
  </r>
  <r>
    <s v="케이블"/>
    <s v="ADEX"/>
    <s v="노랑푸드"/>
    <x v="21"/>
    <s v="서비스"/>
    <s v="음식및숙박"/>
    <s v="기타프랜차이즈점"/>
    <s v="TV"/>
    <s v="케이블"/>
    <s v="CHview"/>
    <s v="-"/>
    <s v="25"/>
    <s v="04"/>
    <s v="25.04"/>
    <s v="25.04"/>
    <n v="3781"/>
  </r>
  <r>
    <s v="케이블"/>
    <s v="ADEX"/>
    <s v="노랑푸드"/>
    <x v="21"/>
    <s v="서비스"/>
    <s v="음식및숙박"/>
    <s v="기타프랜차이즈점"/>
    <s v="TV"/>
    <s v="케이블"/>
    <s v="SBSPlus"/>
    <s v="-"/>
    <s v="25"/>
    <s v="04"/>
    <s v="25.04"/>
    <s v="25.04"/>
    <n v="20500"/>
  </r>
  <r>
    <s v="케이블"/>
    <s v="ADEX"/>
    <s v="노랑푸드"/>
    <x v="21"/>
    <s v="서비스"/>
    <s v="음식및숙박"/>
    <s v="기타프랜차이즈점"/>
    <s v="TV"/>
    <s v="케이블"/>
    <s v="tvNSTORY"/>
    <s v="-"/>
    <s v="25"/>
    <s v="04"/>
    <s v="25.04"/>
    <s v="25.04"/>
    <n v="29088"/>
  </r>
  <r>
    <s v="케이블"/>
    <s v="ADEX"/>
    <s v="노랑푸드"/>
    <x v="21"/>
    <s v="서비스"/>
    <s v="음식및숙박"/>
    <s v="기타프랜차이즈점"/>
    <s v="TV"/>
    <s v="케이블"/>
    <s v="ENAPLAY"/>
    <s v="-"/>
    <s v="25"/>
    <s v="04"/>
    <s v="25.04"/>
    <s v="25.04"/>
    <n v="5000"/>
  </r>
  <r>
    <s v="케이블"/>
    <s v="ADEX"/>
    <s v="노랑푸드"/>
    <x v="21"/>
    <s v="서비스"/>
    <s v="음식및숙박"/>
    <s v="기타프랜차이즈점"/>
    <s v="TV"/>
    <s v="케이블"/>
    <s v="ONCE"/>
    <s v="-"/>
    <s v="25"/>
    <s v="04"/>
    <s v="25.04"/>
    <s v="25.04"/>
    <n v="2316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4"/>
    <s v="25.04"/>
    <s v="25.04"/>
    <n v="7443"/>
  </r>
  <r>
    <s v="디지털 영상"/>
    <s v="ADEX"/>
    <s v="노랑푸드"/>
    <x v="21"/>
    <s v="서비스"/>
    <s v="음식및숙박"/>
    <s v="기타프랜차이즈점"/>
    <s v="디지털"/>
    <s v="디지털동영상"/>
    <s v="네이버"/>
    <s v="-"/>
    <s v="25"/>
    <s v="04"/>
    <s v="25.04"/>
    <s v="25.04"/>
    <n v="4453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3"/>
    <s v="25.03"/>
    <s v="25.03"/>
    <n v="7691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3"/>
    <s v="25.03"/>
    <s v="25.03"/>
    <n v="105570"/>
  </r>
  <r>
    <s v="케이블"/>
    <s v="ADEX"/>
    <s v="노랑푸드"/>
    <x v="21"/>
    <s v="서비스"/>
    <s v="음식및숙박"/>
    <s v="기타프랜차이즈점"/>
    <s v="TV"/>
    <s v="케이블"/>
    <s v="tvN"/>
    <s v="-"/>
    <s v="25"/>
    <s v="02"/>
    <s v="25.02"/>
    <s v="25.02"/>
    <n v="17500"/>
  </r>
  <r>
    <s v="디지털 영상"/>
    <s v="ADEX"/>
    <s v="노랑푸드"/>
    <x v="21"/>
    <s v="서비스"/>
    <s v="음식및숙박"/>
    <s v="기타프랜차이즈점"/>
    <s v="디지털"/>
    <s v="디지털동영상"/>
    <s v="네이버"/>
    <s v="-"/>
    <s v="25"/>
    <s v="02"/>
    <s v="25.02"/>
    <s v="25.02"/>
    <n v="12172"/>
  </r>
  <r>
    <s v="디지털 영상"/>
    <s v="ADEX"/>
    <s v="노랑푸드"/>
    <x v="21"/>
    <s v="서비스"/>
    <s v="음식및숙박"/>
    <s v="기타프랜차이즈점"/>
    <s v="디지털"/>
    <s v="디지털동영상"/>
    <s v="Tving"/>
    <s v="-"/>
    <s v="25"/>
    <s v="02"/>
    <s v="25.02"/>
    <s v="25.02"/>
    <n v="2082"/>
  </r>
  <r>
    <s v="디지털 영상"/>
    <s v="ADEX"/>
    <s v="노랑푸드"/>
    <x v="21"/>
    <s v="서비스"/>
    <s v="음식및숙박"/>
    <s v="기타프랜차이즈점"/>
    <s v="디지털"/>
    <s v="디지털동영상"/>
    <s v="GOMTV"/>
    <s v="-"/>
    <s v="25"/>
    <s v="02"/>
    <s v="25.02"/>
    <s v="25.02"/>
    <n v="165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2"/>
    <s v="25.02"/>
    <s v="25.02"/>
    <n v="91080"/>
  </r>
  <r>
    <s v="디지털 영상"/>
    <s v="ADEX"/>
    <s v="노랑푸드"/>
    <x v="21"/>
    <s v="서비스"/>
    <s v="음식및숙박"/>
    <s v="기타프랜차이즈점"/>
    <s v="디지털"/>
    <s v="디지털동영상"/>
    <s v="YouTube"/>
    <s v="-"/>
    <s v="25"/>
    <s v="02"/>
    <s v="25.02"/>
    <s v="25.02"/>
    <n v="122979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2"/>
    <s v="25.02"/>
    <s v="25.02"/>
    <n v="6947"/>
  </r>
  <r>
    <s v="케이블"/>
    <s v="ADEX"/>
    <s v="노랑푸드"/>
    <x v="21"/>
    <s v="서비스"/>
    <s v="음식및숙박"/>
    <s v="기타프랜차이즈점"/>
    <s v="TV"/>
    <s v="케이블"/>
    <s v="tvN"/>
    <s v="-"/>
    <s v="25"/>
    <s v="01"/>
    <s v="25.01"/>
    <s v="25.01"/>
    <n v="110556"/>
  </r>
  <r>
    <s v="신문"/>
    <s v="ADEX"/>
    <s v="티앤비코리아"/>
    <x v="23"/>
    <s v="서비스"/>
    <s v="음식및숙박"/>
    <s v="기타프랜차이즈점"/>
    <s v="인쇄"/>
    <s v="신문"/>
    <s v="서울신문"/>
    <s v="-"/>
    <s v="25"/>
    <s v="01"/>
    <s v="25.01"/>
    <s v="25.01"/>
    <n v="155250"/>
  </r>
  <r>
    <s v="라디오"/>
    <s v="ADEX"/>
    <s v="명가참푸드"/>
    <x v="22"/>
    <s v="서비스"/>
    <s v="음식및숙박"/>
    <s v="기타프랜차이즈점"/>
    <s v="라디오"/>
    <s v="라디오"/>
    <s v="CBS-FM"/>
    <s v="-"/>
    <s v="25"/>
    <s v="01"/>
    <s v="25.01"/>
    <s v="25.01"/>
    <n v="7691"/>
  </r>
  <r>
    <s v="라디오"/>
    <s v="ADEX"/>
    <s v="티지와이"/>
    <x v="25"/>
    <s v="서비스"/>
    <s v="음식및숙박"/>
    <s v="기타프랜차이즈점"/>
    <s v="라디오"/>
    <s v="라디오"/>
    <s v="SBS-RD"/>
    <s v="-"/>
    <s v="25"/>
    <s v="01"/>
    <s v="25.01"/>
    <s v="25.01"/>
    <n v="50590"/>
  </r>
  <r>
    <s v="디지털 영상"/>
    <s v="ADEX"/>
    <s v="노랑푸드"/>
    <x v="21"/>
    <s v="서비스"/>
    <s v="음식및숙박"/>
    <s v="기타프랜차이즈점"/>
    <s v="디지털"/>
    <s v="디지털동영상"/>
    <s v="YouTube"/>
    <s v="-"/>
    <s v="25"/>
    <s v="01"/>
    <s v="25.01"/>
    <s v="25.01"/>
    <n v="146532"/>
  </r>
  <r>
    <s v="디지털 영상"/>
    <s v="ADEX"/>
    <s v="노랑푸드"/>
    <x v="21"/>
    <s v="서비스"/>
    <s v="음식및숙박"/>
    <s v="기타프랜차이즈점"/>
    <s v="디지털"/>
    <s v="디지털동영상"/>
    <s v="Tving"/>
    <s v="-"/>
    <s v="25"/>
    <s v="01"/>
    <s v="25.01"/>
    <s v="25.01"/>
    <n v="4051"/>
  </r>
  <r>
    <s v="디지털 영상"/>
    <s v="ADEX"/>
    <s v="노랑푸드"/>
    <x v="21"/>
    <s v="서비스"/>
    <s v="음식및숙박"/>
    <s v="기타프랜차이즈점"/>
    <s v="디지털"/>
    <s v="디지털동영상"/>
    <s v="다음"/>
    <s v="-"/>
    <s v="25"/>
    <s v="01"/>
    <s v="25.01"/>
    <s v="25.01"/>
    <n v="267"/>
  </r>
  <r>
    <s v="라디오"/>
    <s v="ADEX"/>
    <s v="티지와이"/>
    <x v="25"/>
    <s v="서비스"/>
    <s v="음식및숙박"/>
    <s v="기타프랜차이즈점"/>
    <s v="라디오"/>
    <s v="라디오"/>
    <s v="SBS-FM"/>
    <s v="-"/>
    <s v="25"/>
    <s v="01"/>
    <s v="25.01"/>
    <s v="25.01"/>
    <n v="177800"/>
  </r>
  <r>
    <s v="디지털 영상"/>
    <s v="ADEX"/>
    <s v="노랑푸드"/>
    <x v="21"/>
    <s v="서비스"/>
    <s v="음식및숙박"/>
    <s v="기타프랜차이즈점"/>
    <s v="디지털"/>
    <s v="디지털동영상"/>
    <s v="네이버"/>
    <s v="-"/>
    <s v="25"/>
    <s v="01"/>
    <s v="25.01"/>
    <s v="25.01"/>
    <n v="4691"/>
  </r>
  <r>
    <s v="카카오광고"/>
    <s v="리서치애드"/>
    <s v="제너시스"/>
    <x v="26"/>
    <s v="서비스"/>
    <s v="음식/조리"/>
    <s v="기타 프렌차이즈점"/>
    <s v="daum.net"/>
    <s v="포털(대)포털(중)"/>
    <s v="메인"/>
    <s v="카카오광고"/>
    <s v="25"/>
    <s v="08"/>
    <s v="25.08.18"/>
    <s v="25.08.22"/>
    <n v="13362"/>
  </r>
  <r>
    <s v="GDN"/>
    <s v="리서치애드"/>
    <s v="제너시스"/>
    <x v="26"/>
    <s v="서비스"/>
    <s v="음식/조리"/>
    <s v="기타 프렌차이즈점"/>
    <s v="nate.com"/>
    <s v="포털(대)포털(중)"/>
    <s v="네이트뷰"/>
    <s v="GDN"/>
    <s v="25"/>
    <s v="01"/>
    <s v="25.01.11"/>
    <s v="25.01.11"/>
    <n v="52"/>
  </r>
  <r>
    <s v="GDN"/>
    <s v="리서치애드"/>
    <s v="제너시스"/>
    <x v="26"/>
    <s v="서비스"/>
    <s v="음식/조리"/>
    <s v="기타 프렌차이즈점"/>
    <s v="nate.com"/>
    <s v="포털(대)포털(중)"/>
    <s v="네이트뷰"/>
    <s v="GDN"/>
    <s v="25"/>
    <s v="01"/>
    <s v="25.01.14"/>
    <s v="25.01.19"/>
    <n v="312"/>
  </r>
  <r>
    <s v="GDN"/>
    <s v="리서치애드"/>
    <s v="제너시스"/>
    <x v="26"/>
    <s v="서비스"/>
    <s v="음식/조리"/>
    <s v="기타 프렌차이즈점"/>
    <s v="nate.com"/>
    <s v="포털(대)포털(중)"/>
    <s v="네이트뷰"/>
    <s v="GDN"/>
    <s v="25"/>
    <s v="12"/>
    <s v="25.12.20"/>
    <s v="25.12.20"/>
    <n v="81"/>
  </r>
  <r>
    <s v="GDN"/>
    <s v="리서치애드"/>
    <s v="제너시스"/>
    <x v="26"/>
    <s v="서비스"/>
    <s v="음식/조리"/>
    <s v="기타 프렌차이즈점"/>
    <s v="nate.com"/>
    <s v="포털(대)포털(중)"/>
    <s v="뉴스"/>
    <s v="GDN"/>
    <s v="25"/>
    <s v="12"/>
    <s v="25.12.01"/>
    <s v="25.12.05"/>
    <n v="405"/>
  </r>
  <r>
    <s v="모비온"/>
    <s v="리서치애드"/>
    <s v="제너시스"/>
    <x v="26"/>
    <s v="서비스"/>
    <s v="음식/조리"/>
    <s v="기타 프렌차이즈점"/>
    <s v="nate.com"/>
    <s v="포털(대)포털(중)"/>
    <s v="판"/>
    <s v="모비온"/>
    <s v="25"/>
    <s v="01"/>
    <s v="25.01.07"/>
    <s v="25.01.07"/>
    <n v="154"/>
  </r>
  <r>
    <s v="GDN"/>
    <s v="리서치애드"/>
    <s v="제너시스"/>
    <x v="26"/>
    <s v="서비스"/>
    <s v="음식/조리"/>
    <s v="기타 프렌차이즈점"/>
    <s v="dreamwiz.com"/>
    <s v="포털(대)포털(중)"/>
    <s v="뉴스"/>
    <s v="GDN"/>
    <s v="25"/>
    <s v="05"/>
    <s v="25.05.24"/>
    <s v="25.05.24"/>
    <n v="62"/>
  </r>
  <r>
    <s v="GDN"/>
    <s v="리서치애드"/>
    <s v="제너시스"/>
    <x v="26"/>
    <s v="서비스"/>
    <s v="음식/조리"/>
    <s v="기타 프렌차이즈점"/>
    <s v="dreamwiz.com"/>
    <s v="포털(대)포털(중)"/>
    <s v="메인"/>
    <s v="GDN"/>
    <s v="25"/>
    <s v="01"/>
    <s v="25.01.02"/>
    <s v="25.01.02"/>
    <n v="52"/>
  </r>
  <r>
    <s v="GDN"/>
    <s v="리서치애드"/>
    <s v="제너시스"/>
    <x v="26"/>
    <s v="서비스"/>
    <s v="음식/조리"/>
    <s v="기타 프렌차이즈점"/>
    <s v="chosun.com"/>
    <s v="신문/잡지(대)종합일간지(중)"/>
    <s v="뉴스"/>
    <s v="GDN"/>
    <s v="25"/>
    <s v="06"/>
    <s v="25.06.18"/>
    <s v="25.06.18"/>
    <n v="62"/>
  </r>
  <r>
    <s v="GDN"/>
    <s v="리서치애드"/>
    <s v="제너시스"/>
    <x v="26"/>
    <s v="서비스"/>
    <s v="음식/조리"/>
    <s v="기타 프렌차이즈점"/>
    <s v="chosun.com"/>
    <s v="신문/잡지(대)종합일간지(중)"/>
    <s v="스포츠조선"/>
    <s v="GDN"/>
    <s v="25"/>
    <s v="01"/>
    <s v="25.01.01"/>
    <s v="25.01.01"/>
    <n v="52"/>
  </r>
  <r>
    <s v="GDN"/>
    <s v="리서치애드"/>
    <s v="제너시스"/>
    <x v="26"/>
    <s v="서비스"/>
    <s v="음식/조리"/>
    <s v="기타 프렌차이즈점"/>
    <s v="chosun.com"/>
    <s v="신문/잡지(대)종합일간지(중)"/>
    <s v="스포츠조선"/>
    <s v="GDN"/>
    <s v="25"/>
    <s v="01"/>
    <s v="25.01.09"/>
    <s v="25.01.09"/>
    <n v="52"/>
  </r>
  <r>
    <s v="GDN"/>
    <s v="리서치애드"/>
    <s v="제너시스"/>
    <x v="26"/>
    <s v="서비스"/>
    <s v="음식/조리"/>
    <s v="기타 프렌차이즈점"/>
    <s v="chosun.com"/>
    <s v="신문/잡지(대)종합일간지(중)"/>
    <s v="스포츠조선"/>
    <s v="GDN"/>
    <s v="25"/>
    <s v="01"/>
    <s v="25.01.13"/>
    <s v="25.01.17"/>
    <n v="260"/>
  </r>
  <r>
    <s v="GDN"/>
    <s v="리서치애드"/>
    <s v="제너시스"/>
    <x v="26"/>
    <s v="서비스"/>
    <s v="음식/조리"/>
    <s v="기타 프렌차이즈점"/>
    <s v="chosun.com"/>
    <s v="신문/잡지(대)종합일간지(중)"/>
    <s v="스포츠조선"/>
    <s v="GDN"/>
    <s v="25"/>
    <s v="12"/>
    <s v="25.12.25"/>
    <s v="25.12.25"/>
    <n v="81"/>
  </r>
  <r>
    <s v="GDN"/>
    <s v="리서치애드"/>
    <s v="제너시스"/>
    <x v="26"/>
    <s v="서비스"/>
    <s v="음식/조리"/>
    <s v="기타 프렌차이즈점"/>
    <s v="sbs.co.kr"/>
    <s v="방송(대)방송국(중)"/>
    <s v="동영상플레이어"/>
    <s v="GDN"/>
    <s v="25"/>
    <s v="01"/>
    <s v="25.01.20"/>
    <s v="25.01.20"/>
    <n v="52"/>
  </r>
  <r>
    <s v="GDN"/>
    <s v="리서치애드"/>
    <s v="제너시스"/>
    <x v="26"/>
    <s v="서비스"/>
    <s v="음식/조리"/>
    <s v="기타 프렌차이즈점"/>
    <s v="sbs.co.kr"/>
    <s v="방송(대)방송국(중)"/>
    <s v="예능"/>
    <s v="GDN"/>
    <s v="25"/>
    <s v="01"/>
    <s v="25.01.14"/>
    <s v="25.01.18"/>
    <n v="260"/>
  </r>
  <r>
    <s v="GDN"/>
    <s v="리서치애드"/>
    <s v="제너시스"/>
    <x v="26"/>
    <s v="서비스"/>
    <s v="음식/조리"/>
    <s v="기타 프렌차이즈점"/>
    <s v="sbs.co.kr"/>
    <s v="방송(대)방송국(중)"/>
    <s v="예능"/>
    <s v="GDN"/>
    <s v="25"/>
    <s v="02"/>
    <s v="25.02.06"/>
    <s v="25.02.06"/>
    <n v="52"/>
  </r>
  <r>
    <s v="GDN"/>
    <s v="리서치애드"/>
    <s v="제너시스"/>
    <x v="26"/>
    <s v="서비스"/>
    <s v="음식/조리"/>
    <s v="기타 프렌차이즈점"/>
    <s v="imbc.com"/>
    <s v="방송(대)방송국(중)"/>
    <s v="뉴스"/>
    <s v="GDN"/>
    <s v="25"/>
    <s v="05"/>
    <s v="25.05.22"/>
    <s v="25.05.22"/>
    <n v="62"/>
  </r>
  <r>
    <s v="GDN"/>
    <s v="리서치애드"/>
    <s v="제너시스"/>
    <x v="26"/>
    <s v="서비스"/>
    <s v="음식/조리"/>
    <s v="기타 프렌차이즈점"/>
    <s v="sportsseoul.com"/>
    <s v="신문/잡지(대)스포츠신문(중)"/>
    <s v="스포츠"/>
    <s v="GDN"/>
    <s v="25"/>
    <s v="05"/>
    <s v="25.05.23"/>
    <s v="25.05.23"/>
    <n v="62"/>
  </r>
  <r>
    <s v="GDN"/>
    <s v="리서치애드"/>
    <s v="제너시스"/>
    <x v="26"/>
    <s v="서비스"/>
    <s v="음식/조리"/>
    <s v="기타 프렌차이즈점"/>
    <s v="korea.com"/>
    <s v="포털(대)포털(중)"/>
    <s v="로그인"/>
    <s v="GDN"/>
    <s v="25"/>
    <s v="05"/>
    <s v="25.05.13"/>
    <s v="25.05.13"/>
    <n v="62"/>
  </r>
  <r>
    <s v="GDN"/>
    <s v="리서치애드"/>
    <s v="제너시스"/>
    <x v="26"/>
    <s v="서비스"/>
    <s v="음식/조리"/>
    <s v="기타 프렌차이즈점"/>
    <s v="korea.com"/>
    <s v="포털(대)포털(중)"/>
    <s v="로그인"/>
    <s v="GDN"/>
    <s v="25"/>
    <s v="05"/>
    <s v="25.05.19"/>
    <s v="25.05.24"/>
    <n v="372"/>
  </r>
  <r>
    <s v="GDN"/>
    <s v="리서치애드"/>
    <s v="제너시스"/>
    <x v="26"/>
    <s v="서비스"/>
    <s v="음식/조리"/>
    <s v="기타 프렌차이즈점"/>
    <s v="donga.com"/>
    <s v="신문/잡지(대)종합일간지(중)"/>
    <s v="동아스튜디오"/>
    <s v="GDN"/>
    <s v="25"/>
    <s v="01"/>
    <s v="25.01.14"/>
    <s v="25.01.18"/>
    <n v="260"/>
  </r>
  <r>
    <s v="GDN"/>
    <s v="리서치애드"/>
    <s v="제너시스"/>
    <x v="26"/>
    <s v="서비스"/>
    <s v="음식/조리"/>
    <s v="기타 프렌차이즈점"/>
    <s v="donga.com"/>
    <s v="신문/잡지(대)종합일간지(중)"/>
    <s v="동아스튜디오"/>
    <s v="GDN"/>
    <s v="25"/>
    <s v="01"/>
    <s v="25.01.20"/>
    <s v="25.01.26"/>
    <n v="364"/>
  </r>
  <r>
    <s v="GDN"/>
    <s v="리서치애드"/>
    <s v="제너시스"/>
    <x v="26"/>
    <s v="서비스"/>
    <s v="음식/조리"/>
    <s v="기타 프렌차이즈점"/>
    <s v="donga.com"/>
    <s v="신문/잡지(대)종합일간지(중)"/>
    <s v="동아스튜디오"/>
    <s v="GDN"/>
    <s v="25"/>
    <s v="02"/>
    <s v="25.02.04"/>
    <s v="25.02.04"/>
    <n v="52"/>
  </r>
  <r>
    <s v="GDN"/>
    <s v="리서치애드"/>
    <s v="제너시스"/>
    <x v="26"/>
    <s v="서비스"/>
    <s v="음식/조리"/>
    <s v="기타 프렌차이즈점"/>
    <s v="donga.com"/>
    <s v="신문/잡지(대)종합일간지(중)"/>
    <s v="메인"/>
    <s v="GDN"/>
    <s v="25"/>
    <s v="04"/>
    <s v="25.04.17"/>
    <s v="25.04.17"/>
    <n v="62"/>
  </r>
  <r>
    <s v="GDN"/>
    <s v="리서치애드"/>
    <s v="제너시스"/>
    <x v="26"/>
    <s v="서비스"/>
    <s v="음식/조리"/>
    <s v="기타 프렌차이즈점"/>
    <s v="donga.com"/>
    <s v="신문/잡지(대)종합일간지(중)"/>
    <s v="스포츠"/>
    <s v="GDN"/>
    <s v="25"/>
    <s v="01"/>
    <s v="25.01.27"/>
    <s v="25.01.27"/>
    <n v="52"/>
  </r>
  <r>
    <s v="GDN"/>
    <s v="리서치애드"/>
    <s v="제너시스"/>
    <x v="26"/>
    <s v="서비스"/>
    <s v="음식/조리"/>
    <s v="기타 프렌차이즈점"/>
    <s v="donga.com"/>
    <s v="신문/잡지(대)종합일간지(중)"/>
    <s v="주간동아"/>
    <s v="GDN"/>
    <s v="25"/>
    <s v="06"/>
    <s v="25.06.09"/>
    <s v="25.06.09"/>
    <n v="62"/>
  </r>
  <r>
    <s v="GDN"/>
    <s v="리서치애드"/>
    <s v="제너시스"/>
    <x v="26"/>
    <s v="서비스"/>
    <s v="음식/조리"/>
    <s v="기타 프렌차이즈점"/>
    <s v="hankooki.com"/>
    <s v="신문/잡지(대)종합일간지(중)"/>
    <s v="골프한국"/>
    <s v="GDN"/>
    <s v="25"/>
    <s v="01"/>
    <s v="25.01.02"/>
    <s v="25.01.05"/>
    <n v="208"/>
  </r>
  <r>
    <s v="GDN"/>
    <s v="리서치애드"/>
    <s v="제너시스"/>
    <x v="26"/>
    <s v="서비스"/>
    <s v="음식/조리"/>
    <s v="기타 프렌차이즈점"/>
    <s v="hankooki.com"/>
    <s v="신문/잡지(대)종합일간지(중)"/>
    <s v="골프한국"/>
    <s v="GDN"/>
    <s v="25"/>
    <s v="01"/>
    <s v="25.01.07"/>
    <s v="25.01.12"/>
    <n v="312"/>
  </r>
  <r>
    <s v="GDN"/>
    <s v="리서치애드"/>
    <s v="제너시스"/>
    <x v="26"/>
    <s v="서비스"/>
    <s v="음식/조리"/>
    <s v="기타 프렌차이즈점"/>
    <s v="hankooki.com"/>
    <s v="신문/잡지(대)종합일간지(중)"/>
    <s v="데일리한국"/>
    <s v="GDN"/>
    <s v="25"/>
    <s v="01"/>
    <s v="25.01.14"/>
    <s v="25.01.18"/>
    <n v="260"/>
  </r>
  <r>
    <s v="GDN"/>
    <s v="리서치애드"/>
    <s v="제너시스"/>
    <x v="26"/>
    <s v="서비스"/>
    <s v="음식/조리"/>
    <s v="기타 프렌차이즈점"/>
    <s v="hankooki.com"/>
    <s v="신문/잡지(대)종합일간지(중)"/>
    <s v="데일리한국"/>
    <s v="GDN"/>
    <s v="25"/>
    <s v="01"/>
    <s v="25.01.21"/>
    <s v="25.01.21"/>
    <n v="52"/>
  </r>
  <r>
    <s v="모비온"/>
    <s v="리서치애드"/>
    <s v="제너시스"/>
    <x v="26"/>
    <s v="서비스"/>
    <s v="음식/조리"/>
    <s v="기타 프렌차이즈점"/>
    <s v="hankooki.com"/>
    <s v="신문/잡지(대)종합일간지(중)"/>
    <s v="스포츠한국"/>
    <s v="모비온"/>
    <s v="25"/>
    <s v="01"/>
    <s v="25.01.21"/>
    <s v="25.01.21"/>
    <n v="154"/>
  </r>
  <r>
    <s v="GDN"/>
    <s v="리서치애드"/>
    <s v="제너시스"/>
    <x v="26"/>
    <s v="서비스"/>
    <s v="음식/조리"/>
    <s v="기타 프렌차이즈점"/>
    <s v="gajai.com"/>
    <s v="검색/저장(대)검색/저장 기타(중)"/>
    <s v="메인"/>
    <s v="GDN"/>
    <s v="25"/>
    <s v="01"/>
    <s v="25.01.01"/>
    <s v="25.01.01"/>
    <n v="52"/>
  </r>
  <r>
    <s v="GDN"/>
    <s v="리서치애드"/>
    <s v="제너시스"/>
    <x v="26"/>
    <s v="서비스"/>
    <s v="음식/조리"/>
    <s v="기타 프렌차이즈점"/>
    <s v="hani.co.kr"/>
    <s v="신문/잡지(대)종합일간지(중)"/>
    <s v="전체뉴스"/>
    <s v="GDN"/>
    <s v="25"/>
    <s v="08"/>
    <s v="25.08.08"/>
    <s v="25.08.08"/>
    <n v="92"/>
  </r>
  <r>
    <s v="GDN"/>
    <s v="리서치애드"/>
    <s v="제너시스"/>
    <x v="26"/>
    <s v="서비스"/>
    <s v="음식/조리"/>
    <s v="기타 프렌차이즈점"/>
    <s v="hani.co.kr"/>
    <s v="신문/잡지(대)종합일간지(중)"/>
    <s v="정치"/>
    <s v="GDN"/>
    <s v="25"/>
    <s v="01"/>
    <s v="25.01.13"/>
    <s v="25.01.16"/>
    <n v="208"/>
  </r>
  <r>
    <s v="GDN"/>
    <s v="리서치애드"/>
    <s v="제너시스"/>
    <x v="26"/>
    <s v="서비스"/>
    <s v="음식/조리"/>
    <s v="기타 프렌차이즈점"/>
    <s v="hani.co.kr"/>
    <s v="신문/잡지(대)종합일간지(중)"/>
    <s v="휴심정"/>
    <s v="GDN"/>
    <s v="25"/>
    <s v="01"/>
    <s v="25.01.06"/>
    <s v="25.01.06"/>
    <n v="52"/>
  </r>
  <r>
    <s v="GDN"/>
    <s v="리서치애드"/>
    <s v="제너시스"/>
    <x v="26"/>
    <s v="서비스"/>
    <s v="음식/조리"/>
    <s v="기타 프렌차이즈점"/>
    <s v="mk.co.kr"/>
    <s v="신문/잡지(대)경제신문(중)"/>
    <s v="동영상플레이어"/>
    <s v="GDN"/>
    <s v="25"/>
    <s v="01"/>
    <s v="25.01.13"/>
    <s v="25.01.18"/>
    <n v="312"/>
  </r>
  <r>
    <s v="GDN"/>
    <s v="리서치애드"/>
    <s v="제너시스"/>
    <x v="26"/>
    <s v="서비스"/>
    <s v="음식/조리"/>
    <s v="기타 프렌차이즈점"/>
    <s v="mk.co.kr"/>
    <s v="신문/잡지(대)경제신문(중)"/>
    <s v="동영상플레이어"/>
    <s v="GDN"/>
    <s v="25"/>
    <s v="02"/>
    <s v="25.02.12"/>
    <s v="25.02.12"/>
    <n v="52"/>
  </r>
  <r>
    <s v="GDN"/>
    <s v="리서치애드"/>
    <s v="제너시스"/>
    <x v="26"/>
    <s v="서비스"/>
    <s v="음식/조리"/>
    <s v="기타 프렌차이즈점"/>
    <s v="mk.co.kr"/>
    <s v="신문/잡지(대)경제신문(중)"/>
    <s v="동영상플레이어"/>
    <s v="GDN"/>
    <s v="25"/>
    <s v="04"/>
    <s v="25.04.17"/>
    <s v="25.04.17"/>
    <n v="62"/>
  </r>
  <r>
    <s v="GDN"/>
    <s v="리서치애드"/>
    <s v="제너시스"/>
    <x v="26"/>
    <s v="서비스"/>
    <s v="음식/조리"/>
    <s v="기타 프렌차이즈점"/>
    <s v="mk.co.kr"/>
    <s v="신문/잡지(대)경제신문(중)"/>
    <s v="오피니언"/>
    <s v="GDN"/>
    <s v="25"/>
    <s v="05"/>
    <s v="25.05.23"/>
    <s v="25.05.23"/>
    <n v="62"/>
  </r>
  <r>
    <s v="GDN"/>
    <s v="리서치애드"/>
    <s v="제너시스"/>
    <x v="26"/>
    <s v="서비스"/>
    <s v="음식/조리"/>
    <s v="기타 프렌차이즈점"/>
    <s v="mk.co.kr"/>
    <s v="신문/잡지(대)경제신문(중)"/>
    <s v="증권"/>
    <s v="GDN"/>
    <s v="25"/>
    <s v="01"/>
    <s v="25.01.05"/>
    <s v="25.01.05"/>
    <n v="52"/>
  </r>
  <r>
    <s v="GDN"/>
    <s v="리서치애드"/>
    <s v="제너시스"/>
    <x v="26"/>
    <s v="서비스"/>
    <s v="음식/조리"/>
    <s v="기타 프렌차이즈점"/>
    <s v="dcinside.com"/>
    <s v="생활정보(대)쇼핑/가격정보(중)"/>
    <s v="갤러리"/>
    <s v="GDN"/>
    <s v="25"/>
    <s v="01"/>
    <s v="25.01.16"/>
    <s v="25.01.16"/>
    <n v="18"/>
  </r>
  <r>
    <s v="GDN"/>
    <s v="리서치애드"/>
    <s v="제너시스"/>
    <x v="26"/>
    <s v="서비스"/>
    <s v="음식/조리"/>
    <s v="기타 프렌차이즈점"/>
    <s v="dcinside.com"/>
    <s v="생활정보(대)쇼핑/가격정보(중)"/>
    <s v="뉴스"/>
    <s v="GDN"/>
    <s v="25"/>
    <s v="01"/>
    <s v="25.01.10"/>
    <s v="25.01.10"/>
    <n v="18"/>
  </r>
  <r>
    <s v="언론사"/>
    <s v="리서치애드"/>
    <s v="제너시스"/>
    <x v="26"/>
    <s v="서비스"/>
    <s v="음식/조리"/>
    <s v="기타 프렌차이즈점"/>
    <s v="yna.co.kr"/>
    <s v="신문/잡지(대)온라인뉴스(중)"/>
    <s v="메인"/>
    <s v="-"/>
    <s v="25"/>
    <s v="12"/>
    <s v="25.12.29"/>
    <s v="25.12.29"/>
    <n v="172"/>
  </r>
  <r>
    <s v="모비온"/>
    <s v="리서치애드"/>
    <s v="제너시스"/>
    <x v="26"/>
    <s v="서비스"/>
    <s v="음식/조리"/>
    <s v="기타 프렌차이즈점"/>
    <s v="yna.co.kr"/>
    <s v="신문/잡지(대)온라인뉴스(중)"/>
    <s v="오피니언"/>
    <s v="모비온"/>
    <s v="25"/>
    <s v="01"/>
    <s v="25.01.08"/>
    <s v="25.01.08"/>
    <n v="154"/>
  </r>
  <r>
    <s v="GDN"/>
    <s v="리서치애드"/>
    <s v="제너시스"/>
    <x v="26"/>
    <s v="서비스"/>
    <s v="음식/조리"/>
    <s v="기타 프렌차이즈점"/>
    <s v="munhwa.com"/>
    <s v="신문/잡지(대)종합일간지(중)"/>
    <s v="문화"/>
    <s v="GDN"/>
    <s v="25"/>
    <s v="08"/>
    <s v="25.08.07"/>
    <s v="25.08.08"/>
    <n v="183"/>
  </r>
  <r>
    <s v="GDN"/>
    <s v="리서치애드"/>
    <s v="제너시스"/>
    <x v="26"/>
    <s v="서비스"/>
    <s v="음식/조리"/>
    <s v="기타 프렌차이즈점"/>
    <s v="munhwa.com"/>
    <s v="신문/잡지(대)종합일간지(중)"/>
    <s v="피플"/>
    <s v="GDN"/>
    <s v="25"/>
    <s v="12"/>
    <s v="25.12.01"/>
    <s v="25.12.06"/>
    <n v="486"/>
  </r>
  <r>
    <s v="GDN"/>
    <s v="리서치애드"/>
    <s v="제너시스"/>
    <x v="26"/>
    <s v="서비스"/>
    <s v="음식/조리"/>
    <s v="기타 프렌차이즈점"/>
    <s v="hankyung.com"/>
    <s v="신문/잡지(대)경제신문(중)"/>
    <s v="문화"/>
    <s v="GDN"/>
    <s v="25"/>
    <s v="12"/>
    <s v="25.12.26"/>
    <s v="25.12.26"/>
    <n v="81"/>
  </r>
  <r>
    <s v="GDN"/>
    <s v="리서치애드"/>
    <s v="제너시스"/>
    <x v="26"/>
    <s v="서비스"/>
    <s v="음식/조리"/>
    <s v="기타 프렌차이즈점"/>
    <s v="hankyung.com"/>
    <s v="신문/잡지(대)경제신문(중)"/>
    <s v="코리아마켓"/>
    <s v="GDN"/>
    <s v="25"/>
    <s v="01"/>
    <s v="25.01.16"/>
    <s v="25.01.16"/>
    <n v="52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경제"/>
    <s v="GDN"/>
    <s v="25"/>
    <s v="02"/>
    <s v="25.02.09"/>
    <s v="25.02.09"/>
    <n v="52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북스"/>
    <s v="GDN"/>
    <s v="25"/>
    <s v="01"/>
    <s v="25.01.14"/>
    <s v="25.01.19"/>
    <n v="312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전국"/>
    <s v="GDN"/>
    <s v="25"/>
    <s v="06"/>
    <s v="25.06.18"/>
    <s v="25.06.18"/>
    <n v="62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정치"/>
    <s v="GDN"/>
    <s v="25"/>
    <s v="01"/>
    <s v="25.01.05"/>
    <s v="25.01.05"/>
    <n v="52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정치"/>
    <s v="GDN"/>
    <s v="25"/>
    <s v="01"/>
    <s v="25.01.06"/>
    <s v="25.01.09"/>
    <n v="208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정치"/>
    <s v="GDN"/>
    <s v="25"/>
    <s v="01"/>
    <s v="25.01.20"/>
    <s v="25.01.21"/>
    <n v="104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정치"/>
    <s v="GDN"/>
    <s v="25"/>
    <s v="01"/>
    <s v="25.01.28"/>
    <s v="25.01.28"/>
    <n v="52"/>
  </r>
  <r>
    <s v="GDN"/>
    <s v="리서치애드"/>
    <s v="제너시스"/>
    <x v="26"/>
    <s v="서비스"/>
    <s v="음식/조리"/>
    <s v="기타 프렌차이즈점"/>
    <s v="pressian.com"/>
    <s v="신문/잡지(대)온라인뉴스(중)"/>
    <s v="함께자리"/>
    <s v="GDN"/>
    <s v="25"/>
    <s v="02"/>
    <s v="25.02.16"/>
    <s v="25.02.16"/>
    <n v="52"/>
  </r>
  <r>
    <s v="GDN"/>
    <s v="리서치애드"/>
    <s v="제너시스"/>
    <x v="26"/>
    <s v="서비스"/>
    <s v="음식/조리"/>
    <s v="기타 프렌차이즈점"/>
    <s v="moneta.co.kr"/>
    <s v="금융/비즈니스(대)금융정보(중)"/>
    <s v="메인"/>
    <s v="GDN"/>
    <s v="25"/>
    <s v="06"/>
    <s v="25.06.02"/>
    <s v="25.06.02"/>
    <n v="62"/>
  </r>
  <r>
    <s v="GDN"/>
    <s v="리서치애드"/>
    <s v="제너시스"/>
    <x v="26"/>
    <s v="서비스"/>
    <s v="음식/조리"/>
    <s v="기타 프렌차이즈점"/>
    <s v="seoul.co.kr"/>
    <s v="신문/잡지(대)종합일간지(중)"/>
    <s v="21대대통령선거"/>
    <s v="GDN"/>
    <s v="25"/>
    <s v="05"/>
    <s v="25.05.22"/>
    <s v="25.05.22"/>
    <n v="62"/>
  </r>
  <r>
    <s v="GDN"/>
    <s v="리서치애드"/>
    <s v="제너시스"/>
    <x v="26"/>
    <s v="서비스"/>
    <s v="음식/조리"/>
    <s v="기타 프렌차이즈점"/>
    <s v="seoul.co.kr"/>
    <s v="신문/잡지(대)종합일간지(중)"/>
    <s v="나우뉴스"/>
    <s v="GDN"/>
    <s v="25"/>
    <s v="01"/>
    <s v="25.01.10"/>
    <s v="25.01.11"/>
    <n v="104"/>
  </r>
  <r>
    <s v="GDN"/>
    <s v="리서치애드"/>
    <s v="제너시스"/>
    <x v="26"/>
    <s v="서비스"/>
    <s v="음식/조리"/>
    <s v="기타 프렌차이즈점"/>
    <s v="seoul.co.kr"/>
    <s v="신문/잡지(대)종합일간지(중)"/>
    <s v="나우뉴스"/>
    <s v="GDN"/>
    <s v="25"/>
    <s v="01"/>
    <s v="25.01.14"/>
    <s v="25.01.17"/>
    <n v="208"/>
  </r>
  <r>
    <s v="GDN"/>
    <s v="리서치애드"/>
    <s v="제너시스"/>
    <x v="26"/>
    <s v="서비스"/>
    <s v="음식/조리"/>
    <s v="기타 프렌차이즈점"/>
    <s v="seoul.co.kr"/>
    <s v="신문/잡지(대)종합일간지(중)"/>
    <s v="문화"/>
    <s v="GDN"/>
    <s v="25"/>
    <s v="01"/>
    <s v="25.01.20"/>
    <s v="25.01.20"/>
    <n v="52"/>
  </r>
  <r>
    <s v="GDN"/>
    <s v="리서치애드"/>
    <s v="제너시스"/>
    <x v="26"/>
    <s v="서비스"/>
    <s v="음식/조리"/>
    <s v="기타 프렌차이즈점"/>
    <s v="kmib.co.kr"/>
    <s v="신문/잡지(대)종합일간지(중)"/>
    <s v="문화"/>
    <s v="GDN"/>
    <s v="25"/>
    <s v="01"/>
    <s v="25.01.16"/>
    <s v="25.01.17"/>
    <n v="104"/>
  </r>
  <r>
    <s v="GDN"/>
    <s v="리서치애드"/>
    <s v="제너시스"/>
    <x v="26"/>
    <s v="서비스"/>
    <s v="음식/조리"/>
    <s v="기타 프렌차이즈점"/>
    <s v="etnews.com"/>
    <s v="신문/잡지(대)IT관련 뉴스(중)"/>
    <s v="뉴스"/>
    <s v="GDN"/>
    <s v="25"/>
    <s v="01"/>
    <s v="25.01.13"/>
    <s v="25.01.13"/>
    <n v="52"/>
  </r>
  <r>
    <s v="GDN"/>
    <s v="리서치애드"/>
    <s v="제너시스"/>
    <x v="26"/>
    <s v="서비스"/>
    <s v="음식/조리"/>
    <s v="기타 프렌차이즈점"/>
    <s v="ytn.co.kr"/>
    <s v="방송(대)케이블/위성방송(중)"/>
    <s v="게임"/>
    <s v="GDN"/>
    <s v="25"/>
    <s v="11"/>
    <s v="25.11.30"/>
    <s v="25.11.30"/>
    <n v="92"/>
  </r>
  <r>
    <s v="GDN"/>
    <s v="리서치애드"/>
    <s v="제너시스"/>
    <x v="26"/>
    <s v="서비스"/>
    <s v="음식/조리"/>
    <s v="기타 프렌차이즈점"/>
    <s v="edaily.co.kr"/>
    <s v="신문/잡지(대)신문/잡지 기타(중)"/>
    <s v="경제"/>
    <s v="GDN"/>
    <s v="25"/>
    <s v="01"/>
    <s v="25.01.08"/>
    <s v="25.01.12"/>
    <n v="260"/>
  </r>
  <r>
    <s v="GDN"/>
    <s v="리서치애드"/>
    <s v="제너시스"/>
    <x v="26"/>
    <s v="서비스"/>
    <s v="음식/조리"/>
    <s v="기타 프렌차이즈점"/>
    <s v="edaily.co.kr"/>
    <s v="신문/잡지(대)신문/잡지 기타(중)"/>
    <s v="사회"/>
    <s v="GDN"/>
    <s v="25"/>
    <s v="01"/>
    <s v="25.01.01"/>
    <s v="25.01.05"/>
    <n v="260"/>
  </r>
  <r>
    <s v="GDN"/>
    <s v="리서치애드"/>
    <s v="제너시스"/>
    <x v="26"/>
    <s v="서비스"/>
    <s v="음식/조리"/>
    <s v="기타 프렌차이즈점"/>
    <s v="edaily.co.kr"/>
    <s v="신문/잡지(대)신문/잡지 기타(중)"/>
    <s v="스포츠"/>
    <s v="GDN"/>
    <s v="25"/>
    <s v="01"/>
    <s v="25.01.13"/>
    <s v="25.01.16"/>
    <n v="208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글로벌"/>
    <s v="GDN"/>
    <s v="25"/>
    <s v="02"/>
    <s v="25.02.12"/>
    <s v="25.02.12"/>
    <n v="5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산업"/>
    <s v="GDN"/>
    <s v="25"/>
    <s v="01"/>
    <s v="25.01.15"/>
    <s v="25.01.19"/>
    <n v="260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산업"/>
    <s v="GDN"/>
    <s v="25"/>
    <s v="04"/>
    <s v="25.04.22"/>
    <s v="25.04.22"/>
    <n v="6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산업"/>
    <s v="GDN"/>
    <s v="25"/>
    <s v="04"/>
    <s v="25.04.30"/>
    <s v="25.04.30"/>
    <n v="6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산업"/>
    <s v="GDN"/>
    <s v="25"/>
    <s v="05"/>
    <s v="25.05.01"/>
    <s v="25.05.01"/>
    <n v="6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산업"/>
    <s v="GDN"/>
    <s v="25"/>
    <s v="08"/>
    <s v="25.08.07"/>
    <s v="25.08.07"/>
    <n v="9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전국"/>
    <s v="GDN"/>
    <s v="25"/>
    <s v="05"/>
    <s v="25.05.24"/>
    <s v="25.05.24"/>
    <n v="6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전국"/>
    <s v="GDN"/>
    <s v="25"/>
    <s v="05"/>
    <s v="25.05.26"/>
    <s v="25.05.28"/>
    <n v="186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전국"/>
    <s v="GDN"/>
    <s v="25"/>
    <s v="06"/>
    <s v="25.06.04"/>
    <s v="25.06.04"/>
    <n v="6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조이뉴스24"/>
    <s v="GDN"/>
    <s v="25"/>
    <s v="01"/>
    <s v="25.01.01"/>
    <s v="25.01.01"/>
    <n v="52"/>
  </r>
  <r>
    <s v="GDN"/>
    <s v="리서치애드"/>
    <s v="제너시스"/>
    <x v="26"/>
    <s v="서비스"/>
    <s v="음식/조리"/>
    <s v="기타 프렌차이즈점"/>
    <s v="inews24.com"/>
    <s v="신문/잡지(대)IT관련 뉴스(중)"/>
    <s v="조이뉴스24"/>
    <s v="GDN"/>
    <s v="25"/>
    <s v="01"/>
    <s v="25.01.11"/>
    <s v="25.01.11"/>
    <n v="52"/>
  </r>
  <r>
    <s v="GDN"/>
    <s v="리서치애드"/>
    <s v="제너시스"/>
    <x v="26"/>
    <s v="서비스"/>
    <s v="음식/조리"/>
    <s v="기타 프렌차이즈점"/>
    <s v="dt.co.kr"/>
    <s v="신문/잡지(대)IT관련 뉴스(중)"/>
    <s v="금융"/>
    <s v="GDN"/>
    <s v="25"/>
    <s v="01"/>
    <s v="25.01.05"/>
    <s v="25.01.05"/>
    <n v="52"/>
  </r>
  <r>
    <s v="GDN"/>
    <s v="리서치애드"/>
    <s v="제너시스"/>
    <x v="26"/>
    <s v="서비스"/>
    <s v="음식/조리"/>
    <s v="기타 프렌차이즈점"/>
    <s v="dt.co.kr"/>
    <s v="신문/잡지(대)IT관련 뉴스(중)"/>
    <s v="금융"/>
    <s v="GDN"/>
    <s v="25"/>
    <s v="01"/>
    <s v="25.01.07"/>
    <s v="25.01.07"/>
    <n v="52"/>
  </r>
  <r>
    <s v="GDN"/>
    <s v="리서치애드"/>
    <s v="제너시스"/>
    <x v="26"/>
    <s v="서비스"/>
    <s v="음식/조리"/>
    <s v="기타 프렌차이즈점"/>
    <s v="dt.co.kr"/>
    <s v="신문/잡지(대)IT관련 뉴스(중)"/>
    <s v="사회"/>
    <s v="GDN"/>
    <s v="25"/>
    <s v="12"/>
    <s v="25.12.26"/>
    <s v="25.12.27"/>
    <n v="162"/>
  </r>
  <r>
    <s v="GDN"/>
    <s v="리서치애드"/>
    <s v="제너시스"/>
    <x v="26"/>
    <s v="서비스"/>
    <s v="음식/조리"/>
    <s v="기타 프렌차이즈점"/>
    <s v="dt.co.kr"/>
    <s v="신문/잡지(대)IT관련 뉴스(중)"/>
    <s v="피플"/>
    <s v="GDN"/>
    <s v="25"/>
    <s v="05"/>
    <s v="25.05.22"/>
    <s v="25.05.22"/>
    <n v="62"/>
  </r>
  <r>
    <s v="GDN"/>
    <s v="리서치애드"/>
    <s v="제너시스"/>
    <x v="26"/>
    <s v="서비스"/>
    <s v="음식/조리"/>
    <s v="기타 프렌차이즈점"/>
    <s v="ddaily.co.kr"/>
    <s v="신문/잡지(대)IT관련 뉴스(중)"/>
    <s v="메인"/>
    <s v="GDN"/>
    <s v="25"/>
    <s v="01"/>
    <s v="25.01.14"/>
    <s v="25.01.15"/>
    <n v="104"/>
  </r>
  <r>
    <s v="GDN"/>
    <s v="리서치애드"/>
    <s v="제너시스"/>
    <x v="26"/>
    <s v="서비스"/>
    <s v="음식/조리"/>
    <s v="기타 프렌차이즈점"/>
    <s v="ddaily.co.kr"/>
    <s v="신문/잡지(대)IT관련 뉴스(중)"/>
    <s v="메인"/>
    <s v="GDN"/>
    <s v="25"/>
    <s v="02"/>
    <s v="25.02.07"/>
    <s v="25.02.07"/>
    <n v="52"/>
  </r>
  <r>
    <s v="GDN"/>
    <s v="리서치애드"/>
    <s v="제너시스"/>
    <x v="26"/>
    <s v="서비스"/>
    <s v="음식/조리"/>
    <s v="기타 프렌차이즈점"/>
    <s v="ddaily.co.kr"/>
    <s v="신문/잡지(대)IT관련 뉴스(중)"/>
    <s v="메인"/>
    <s v="GDN"/>
    <s v="25"/>
    <s v="02"/>
    <s v="25.02.13"/>
    <s v="25.02.14"/>
    <n v="104"/>
  </r>
  <r>
    <s v="GDN"/>
    <s v="리서치애드"/>
    <s v="제너시스"/>
    <x v="26"/>
    <s v="서비스"/>
    <s v="음식/조리"/>
    <s v="기타 프렌차이즈점"/>
    <s v="mediatoday.co.kr"/>
    <s v="신문/잡지(대)잡지(중)"/>
    <s v="메인"/>
    <s v="GDN"/>
    <s v="25"/>
    <s v="04"/>
    <s v="25.04.17"/>
    <s v="25.04.17"/>
    <n v="62"/>
  </r>
  <r>
    <s v="GDN"/>
    <s v="리서치애드"/>
    <s v="제너시스"/>
    <x v="26"/>
    <s v="서비스"/>
    <s v="음식/조리"/>
    <s v="기타 프렌차이즈점"/>
    <s v="mediatoday.co.kr"/>
    <s v="신문/잡지(대)잡지(중)"/>
    <s v="인물"/>
    <s v="GDN"/>
    <s v="25"/>
    <s v="06"/>
    <s v="25.06.23"/>
    <s v="25.06.23"/>
    <n v="62"/>
  </r>
  <r>
    <s v="GDN"/>
    <s v="리서치애드"/>
    <s v="제너시스"/>
    <x v="26"/>
    <s v="서비스"/>
    <s v="음식/조리"/>
    <s v="기타 프렌차이즈점"/>
    <s v="mediatoday.co.kr"/>
    <s v="신문/잡지(대)잡지(중)"/>
    <s v="정치"/>
    <s v="GDN"/>
    <s v="25"/>
    <s v="05"/>
    <s v="25.05.24"/>
    <s v="25.05.24"/>
    <n v="62"/>
  </r>
  <r>
    <s v="GDN"/>
    <s v="리서치애드"/>
    <s v="제너시스"/>
    <x v="26"/>
    <s v="서비스"/>
    <s v="음식/조리"/>
    <s v="기타 프렌차이즈점"/>
    <s v="nocutnews.co.kr"/>
    <s v="신문/잡지(대)온라인뉴스(중)"/>
    <s v="문화"/>
    <s v="GDN"/>
    <s v="25"/>
    <s v="05"/>
    <s v="25.05.26"/>
    <s v="25.05.26"/>
    <n v="26"/>
  </r>
  <r>
    <s v="GDN"/>
    <s v="리서치애드"/>
    <s v="제너시스"/>
    <x v="26"/>
    <s v="서비스"/>
    <s v="음식/조리"/>
    <s v="기타 프렌차이즈점"/>
    <s v="nocutnews.co.kr"/>
    <s v="신문/잡지(대)온라인뉴스(중)"/>
    <s v="오피니언"/>
    <s v="GDN"/>
    <s v="25"/>
    <s v="06"/>
    <s v="25.06.03"/>
    <s v="25.06.03"/>
    <n v="26"/>
  </r>
  <r>
    <s v="GDN"/>
    <s v="리서치애드"/>
    <s v="제너시스"/>
    <x v="26"/>
    <s v="서비스"/>
    <s v="음식/조리"/>
    <s v="기타 프렌차이즈점"/>
    <s v="joseilbo.com"/>
    <s v="신문/잡지(대)온라인뉴스(중)"/>
    <s v="뉴스"/>
    <s v="GDN"/>
    <s v="25"/>
    <s v="01"/>
    <s v="25.01.01"/>
    <s v="25.01.02"/>
    <n v="104"/>
  </r>
  <r>
    <s v="GDN"/>
    <s v="리서치애드"/>
    <s v="제너시스"/>
    <x v="26"/>
    <s v="서비스"/>
    <s v="음식/조리"/>
    <s v="기타 프렌차이즈점"/>
    <s v="joseilbo.com"/>
    <s v="신문/잡지(대)온라인뉴스(중)"/>
    <s v="뉴스"/>
    <s v="GDN"/>
    <s v="25"/>
    <s v="01"/>
    <s v="25.01.16"/>
    <s v="25.01.19"/>
    <n v="208"/>
  </r>
  <r>
    <s v="GDN"/>
    <s v="리서치애드"/>
    <s v="제너시스"/>
    <x v="26"/>
    <s v="서비스"/>
    <s v="음식/조리"/>
    <s v="기타 프렌차이즈점"/>
    <s v="joseilbo.com"/>
    <s v="신문/잡지(대)온라인뉴스(중)"/>
    <s v="뉴스"/>
    <s v="GDN"/>
    <s v="25"/>
    <s v="06"/>
    <s v="25.06.16"/>
    <s v="25.06.16"/>
    <n v="62"/>
  </r>
  <r>
    <s v="GDN"/>
    <s v="리서치애드"/>
    <s v="제너시스"/>
    <x v="26"/>
    <s v="서비스"/>
    <s v="음식/조리"/>
    <s v="기타 프렌차이즈점"/>
    <s v="joseilbo.com"/>
    <s v="신문/잡지(대)온라인뉴스(중)"/>
    <s v="연예스포츠"/>
    <s v="GDN"/>
    <s v="25"/>
    <s v="02"/>
    <s v="25.02.10"/>
    <s v="25.02.10"/>
    <n v="52"/>
  </r>
  <r>
    <s v="GDN"/>
    <s v="리서치애드"/>
    <s v="제너시스"/>
    <x v="26"/>
    <s v="서비스"/>
    <s v="음식/조리"/>
    <s v="기타 프렌차이즈점"/>
    <s v="diodeo.com"/>
    <s v="방송(대)방송기타(중)"/>
    <s v="경제"/>
    <s v="GDN"/>
    <s v="25"/>
    <s v="04"/>
    <s v="25.04.23"/>
    <s v="25.04.23"/>
    <n v="62"/>
  </r>
  <r>
    <s v="GDN"/>
    <s v="리서치애드"/>
    <s v="제너시스"/>
    <x v="26"/>
    <s v="서비스"/>
    <s v="음식/조리"/>
    <s v="기타 프렌차이즈점"/>
    <s v="diodeo.com"/>
    <s v="방송(대)방송기타(중)"/>
    <s v="뉴스"/>
    <s v="GDN"/>
    <s v="25"/>
    <s v="01"/>
    <s v="25.01.07"/>
    <s v="25.01.12"/>
    <n v="312"/>
  </r>
  <r>
    <s v="GDN"/>
    <s v="리서치애드"/>
    <s v="제너시스"/>
    <x v="26"/>
    <s v="서비스"/>
    <s v="음식/조리"/>
    <s v="기타 프렌차이즈점"/>
    <s v="diodeo.com"/>
    <s v="방송(대)방송기타(중)"/>
    <s v="뉴스"/>
    <s v="GDN"/>
    <s v="25"/>
    <s v="01"/>
    <s v="25.01.30"/>
    <s v="25.01.30"/>
    <n v="52"/>
  </r>
  <r>
    <s v="GDN"/>
    <s v="리서치애드"/>
    <s v="제너시스"/>
    <x v="26"/>
    <s v="서비스"/>
    <s v="음식/조리"/>
    <s v="기타 프렌차이즈점"/>
    <s v="diodeo.com"/>
    <s v="방송(대)방송기타(중)"/>
    <s v="메인"/>
    <s v="GDN"/>
    <s v="25"/>
    <s v="02"/>
    <s v="25.02.13"/>
    <s v="25.02.13"/>
    <n v="52"/>
  </r>
  <r>
    <s v="모비온"/>
    <s v="리서치애드"/>
    <s v="제너시스"/>
    <x v="26"/>
    <s v="서비스"/>
    <s v="음식/조리"/>
    <s v="기타 프렌차이즈점"/>
    <s v="diodeo.com"/>
    <s v="방송(대)방송기타(중)"/>
    <s v="정치"/>
    <s v="모비온"/>
    <s v="25"/>
    <s v="01"/>
    <s v="25.01.07"/>
    <s v="25.01.07"/>
    <n v="154"/>
  </r>
  <r>
    <s v="GDN"/>
    <s v="리서치애드"/>
    <s v="제너시스"/>
    <x v="26"/>
    <s v="서비스"/>
    <s v="음식/조리"/>
    <s v="기타 프렌차이즈점"/>
    <s v="diodeo.com"/>
    <s v="방송(대)방송기타(중)"/>
    <s v="포토"/>
    <s v="GDN"/>
    <s v="25"/>
    <s v="01"/>
    <s v="25.01.15"/>
    <s v="25.01.18"/>
    <n v="208"/>
  </r>
  <r>
    <s v="GDN"/>
    <s v="리서치애드"/>
    <s v="제너시스"/>
    <x v="26"/>
    <s v="서비스"/>
    <s v="음식/조리"/>
    <s v="기타 프렌차이즈점"/>
    <s v="diodeo.com"/>
    <s v="방송(대)방송기타(중)"/>
    <s v="IT/산업"/>
    <s v="GDN"/>
    <s v="25"/>
    <s v="01"/>
    <s v="25.01.01"/>
    <s v="25.01.02"/>
    <n v="104"/>
  </r>
  <r>
    <s v="GDN"/>
    <s v="리서치애드"/>
    <s v="제너시스"/>
    <x v="26"/>
    <s v="서비스"/>
    <s v="음식/조리"/>
    <s v="기타 프렌차이즈점"/>
    <s v="jjang0u.com"/>
    <s v="엔터테인먼트(대)엔터테인먼트 기타(중)"/>
    <s v="셀럽영상"/>
    <s v="GDN"/>
    <s v="25"/>
    <s v="12"/>
    <s v="25.12.01"/>
    <s v="25.12.02"/>
    <n v="162"/>
  </r>
  <r>
    <s v="GDN"/>
    <s v="리서치애드"/>
    <s v="제너시스"/>
    <x v="26"/>
    <s v="서비스"/>
    <s v="음식/조리"/>
    <s v="기타 프렌차이즈점"/>
    <s v="mydaily.co.kr"/>
    <s v="신문/잡지(대)온라인뉴스(중)"/>
    <s v="사진"/>
    <s v="GDN"/>
    <s v="25"/>
    <s v="01"/>
    <s v="25.01.14"/>
    <s v="25.01.14"/>
    <n v="52"/>
  </r>
  <r>
    <s v="GDN"/>
    <s v="리서치애드"/>
    <s v="제너시스"/>
    <x v="26"/>
    <s v="서비스"/>
    <s v="음식/조리"/>
    <s v="기타 프렌차이즈점"/>
    <s v="thinkpool.com"/>
    <s v="금융/비즈니스(대)증권정보(중)"/>
    <s v="토론실"/>
    <s v="GDN"/>
    <s v="25"/>
    <s v="02"/>
    <s v="25.02.11"/>
    <s v="25.02.11"/>
    <n v="52"/>
  </r>
  <r>
    <s v="GDN"/>
    <s v="리서치애드"/>
    <s v="제너시스"/>
    <x v="26"/>
    <s v="서비스"/>
    <s v="음식/조리"/>
    <s v="기타 프렌차이즈점"/>
    <s v="gamemeca.com"/>
    <s v="신문/잡지(대)온라인뉴스(중)"/>
    <s v="모바일"/>
    <s v="GDN"/>
    <s v="25"/>
    <s v="01"/>
    <s v="25.01.02"/>
    <s v="25.01.02"/>
    <n v="52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라이프"/>
    <s v="GDN"/>
    <s v="25"/>
    <s v="01"/>
    <s v="25.01.20"/>
    <s v="25.01.21"/>
    <n v="104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라이프"/>
    <s v="GDN"/>
    <s v="25"/>
    <s v="01"/>
    <s v="25.01.29"/>
    <s v="25.01.29"/>
    <n v="52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메인"/>
    <s v="GDN"/>
    <s v="25"/>
    <s v="01"/>
    <s v="25.01.07"/>
    <s v="25.01.12"/>
    <n v="312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메인"/>
    <s v="GDN"/>
    <s v="25"/>
    <s v="05"/>
    <s v="25.05.24"/>
    <s v="25.05.24"/>
    <n v="62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컴퓨팅"/>
    <s v="GDN"/>
    <s v="25"/>
    <s v="01"/>
    <s v="25.01.01"/>
    <s v="25.01.05"/>
    <n v="260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컴퓨팅"/>
    <s v="GDN"/>
    <s v="25"/>
    <s v="01"/>
    <s v="25.01.14"/>
    <s v="25.01.19"/>
    <n v="312"/>
  </r>
  <r>
    <s v="GDN"/>
    <s v="리서치애드"/>
    <s v="제너시스"/>
    <x v="26"/>
    <s v="서비스"/>
    <s v="음식/조리"/>
    <s v="기타 프렌차이즈점"/>
    <s v="kbench.com"/>
    <s v="생활정보(대)쇼핑/가격정보(중)"/>
    <s v="회사소개"/>
    <s v="GDN"/>
    <s v="25"/>
    <s v="06"/>
    <s v="25.06.14"/>
    <s v="25.06.14"/>
    <n v="62"/>
  </r>
  <r>
    <s v="SNS"/>
    <s v="리서치애드"/>
    <s v="제너시스"/>
    <x v="26"/>
    <s v="서비스"/>
    <s v="음식/조리"/>
    <s v="기타 프렌차이즈점"/>
    <s v="facebook.com"/>
    <s v="커뮤니티(대)홈페이지(중)"/>
    <s v="동영상플레이어"/>
    <s v="-"/>
    <s v="25"/>
    <s v="06"/>
    <s v="25.06.11"/>
    <s v="25.06.12"/>
    <n v="123"/>
  </r>
  <r>
    <s v="SNS"/>
    <s v="리서치애드"/>
    <s v="제너시스"/>
    <x v="26"/>
    <s v="서비스"/>
    <s v="음식/조리"/>
    <s v="기타 프렌차이즈점"/>
    <s v="facebook.com"/>
    <s v="커뮤니티(대)홈페이지(중)"/>
    <s v="동영상플레이어"/>
    <s v="-"/>
    <s v="25"/>
    <s v="04"/>
    <s v="25.04.21"/>
    <s v="25.04.24"/>
    <n v="8470"/>
  </r>
  <r>
    <s v="SNS"/>
    <s v="리서치애드"/>
    <s v="제너시스"/>
    <x v="26"/>
    <s v="서비스"/>
    <s v="음식/조리"/>
    <s v="기타 프렌차이즈점"/>
    <s v="facebook.com"/>
    <s v="커뮤니티(대)홈페이지(중)"/>
    <s v="커뮤니케이션 기타"/>
    <s v="-"/>
    <s v="25"/>
    <s v="01"/>
    <s v="25.01.21"/>
    <s v="25.01.21"/>
    <n v="62"/>
  </r>
  <r>
    <s v="SNS"/>
    <s v="리서치애드"/>
    <s v="제너시스"/>
    <x v="26"/>
    <s v="서비스"/>
    <s v="음식/조리"/>
    <s v="기타 프렌차이즈점"/>
    <s v="facebook.com"/>
    <s v="커뮤니티(대)홈페이지(중)"/>
    <s v="커뮤니케이션 기타"/>
    <s v="-"/>
    <s v="25"/>
    <s v="03"/>
    <s v="25.03.19"/>
    <s v="25.03.19"/>
    <n v="62"/>
  </r>
  <r>
    <s v="SNS"/>
    <s v="리서치애드"/>
    <s v="제너시스"/>
    <x v="26"/>
    <s v="서비스"/>
    <s v="음식/조리"/>
    <s v="기타 프렌차이즈점"/>
    <s v="facebook.com"/>
    <s v="커뮤니티(대)홈페이지(중)"/>
    <s v="커뮤니케이션 기타"/>
    <s v="-"/>
    <s v="25"/>
    <s v="03"/>
    <s v="25.03.25"/>
    <s v="25.03.25"/>
    <n v="62"/>
  </r>
  <r>
    <s v="SNS"/>
    <s v="리서치애드"/>
    <s v="제너시스"/>
    <x v="26"/>
    <s v="서비스"/>
    <s v="음식/조리"/>
    <s v="기타 프렌차이즈점"/>
    <s v="facebook.com"/>
    <s v="커뮤니티(대)홈페이지(중)"/>
    <s v="커뮤니케이션 기타"/>
    <s v="-"/>
    <s v="25"/>
    <s v="04"/>
    <s v="25.04.02"/>
    <s v="25.04.02"/>
    <n v="62"/>
  </r>
  <r>
    <s v="SNS"/>
    <s v="리서치애드"/>
    <s v="제너시스"/>
    <x v="26"/>
    <s v="서비스"/>
    <s v="음식/조리"/>
    <s v="기타 프렌차이즈점"/>
    <s v="facebook.com"/>
    <s v="커뮤니티(대)홈페이지(중)"/>
    <s v="커뮤니케이션 기타"/>
    <s v="-"/>
    <s v="25"/>
    <s v="05"/>
    <s v="25.05.22"/>
    <s v="25.05.22"/>
    <n v="62"/>
  </r>
  <r>
    <s v="SNS"/>
    <s v="리서치애드"/>
    <s v="제너시스"/>
    <x v="26"/>
    <s v="서비스"/>
    <s v="음식/조리"/>
    <s v="기타 프렌차이즈점"/>
    <s v="facebook.com"/>
    <s v="커뮤니티(대)홈페이지(중)"/>
    <s v="커뮤니케이션 기타"/>
    <s v="-"/>
    <s v="25"/>
    <s v="05"/>
    <s v="25.05.26"/>
    <s v="25.05.26"/>
    <n v="62"/>
  </r>
  <r>
    <s v="GDN"/>
    <s v="리서치애드"/>
    <s v="제너시스"/>
    <x v="26"/>
    <s v="서비스"/>
    <s v="음식/조리"/>
    <s v="기타 프렌차이즈점"/>
    <s v="marieclairekorea.com"/>
    <s v="신문/잡지(대)잡지(중)"/>
    <s v="패션"/>
    <s v="GDN"/>
    <s v="25"/>
    <s v="01"/>
    <s v="25.01.16"/>
    <s v="25.01.16"/>
    <n v="52"/>
  </r>
  <r>
    <s v="GDN"/>
    <s v="리서치애드"/>
    <s v="제너시스"/>
    <x v="26"/>
    <s v="서비스"/>
    <s v="음식/조리"/>
    <s v="기타 프렌차이즈점"/>
    <s v="bloter.net"/>
    <s v="신문/잡지(대)IT관련 뉴스(중)"/>
    <s v="금융 증권"/>
    <s v="GDN"/>
    <s v="25"/>
    <s v="01"/>
    <s v="25.01.07"/>
    <s v="25.01.11"/>
    <n v="260"/>
  </r>
  <r>
    <s v="GDN"/>
    <s v="리서치애드"/>
    <s v="제너시스"/>
    <x v="26"/>
    <s v="서비스"/>
    <s v="음식/조리"/>
    <s v="기타 프렌차이즈점"/>
    <s v="bloter.net"/>
    <s v="신문/잡지(대)IT관련 뉴스(중)"/>
    <s v="메인"/>
    <s v="GDN"/>
    <s v="25"/>
    <s v="04"/>
    <s v="25.04.17"/>
    <s v="25.04.17"/>
    <n v="62"/>
  </r>
  <r>
    <s v="GDN"/>
    <s v="리서치애드"/>
    <s v="제너시스"/>
    <x v="26"/>
    <s v="서비스"/>
    <s v="음식/조리"/>
    <s v="기타 프렌차이즈점"/>
    <s v="bloter.net"/>
    <s v="신문/잡지(대)IT관련 뉴스(중)"/>
    <s v="산업"/>
    <s v="GDN"/>
    <s v="25"/>
    <s v="01"/>
    <s v="25.01.01"/>
    <s v="25.01.05"/>
    <n v="260"/>
  </r>
  <r>
    <s v="GDN"/>
    <s v="리서치애드"/>
    <s v="제너시스"/>
    <x v="26"/>
    <s v="서비스"/>
    <s v="음식/조리"/>
    <s v="기타 프렌차이즈점"/>
    <s v="bloter.net"/>
    <s v="신문/잡지(대)IT관련 뉴스(중)"/>
    <s v="세계"/>
    <s v="GDN"/>
    <s v="25"/>
    <s v="01"/>
    <s v="25.01.14"/>
    <s v="25.01.19"/>
    <n v="312"/>
  </r>
  <r>
    <s v="GDN"/>
    <s v="리서치애드"/>
    <s v="제너시스"/>
    <x v="26"/>
    <s v="서비스"/>
    <s v="음식/조리"/>
    <s v="기타 프렌차이즈점"/>
    <s v="tf.co.kr"/>
    <s v="신문/잡지(대)스포츠신문(중)"/>
    <s v="스포츠"/>
    <s v="GDN"/>
    <s v="25"/>
    <s v="01"/>
    <s v="25.01.10"/>
    <s v="25.01.10"/>
    <n v="52"/>
  </r>
  <r>
    <s v="GDN"/>
    <s v="리서치애드"/>
    <s v="제너시스"/>
    <x v="26"/>
    <s v="서비스"/>
    <s v="음식/조리"/>
    <s v="기타 프렌차이즈점"/>
    <s v="zum.com"/>
    <s v="포털(대)포털(중)"/>
    <s v="뉴스"/>
    <s v="GDN"/>
    <s v="25"/>
    <s v="01"/>
    <s v="25.01.10"/>
    <s v="25.01.10"/>
    <n v="52"/>
  </r>
  <r>
    <s v="GDN"/>
    <s v="리서치애드"/>
    <s v="제너시스"/>
    <x v="26"/>
    <s v="서비스"/>
    <s v="음식/조리"/>
    <s v="기타 프렌차이즈점"/>
    <s v="zum.com"/>
    <s v="포털(대)포털(중)"/>
    <s v="뉴스"/>
    <s v="GDN"/>
    <s v="25"/>
    <s v="01"/>
    <s v="25.01.14"/>
    <s v="25.01.18"/>
    <n v="260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1"/>
    <s v="25.01.01"/>
    <s v="25.01.05"/>
    <n v="260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1"/>
    <s v="25.01.20"/>
    <s v="25.01.20"/>
    <n v="5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2"/>
    <s v="25.02.04"/>
    <s v="25.02.09"/>
    <n v="31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2"/>
    <s v="25.02.10"/>
    <s v="25.02.10"/>
    <n v="5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4"/>
    <s v="25.04.17"/>
    <s v="25.04.17"/>
    <n v="6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5"/>
    <s v="25.05.13"/>
    <s v="25.05.13"/>
    <n v="6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5"/>
    <s v="25.05.24"/>
    <s v="25.05.24"/>
    <n v="6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6"/>
    <s v="25.06.15"/>
    <s v="25.06.15"/>
    <n v="62"/>
  </r>
  <r>
    <s v="GDN"/>
    <s v="리서치애드"/>
    <s v="제너시스"/>
    <x v="26"/>
    <s v="서비스"/>
    <s v="음식/조리"/>
    <s v="기타 프렌차이즈점"/>
    <s v="zum.com"/>
    <s v="포털(대)포털(중)"/>
    <s v="동영상플레이어"/>
    <s v="GDN"/>
    <s v="25"/>
    <s v="07"/>
    <s v="25.07.24"/>
    <s v="25.07.24"/>
    <n v="62"/>
  </r>
  <r>
    <s v="GDN"/>
    <s v="리서치애드"/>
    <s v="제너시스"/>
    <x v="26"/>
    <s v="서비스"/>
    <s v="음식/조리"/>
    <s v="기타 프렌차이즈점"/>
    <s v="etoday.co.kr"/>
    <s v="신문/잡지(대)온라인뉴스(중)"/>
    <s v="자동차"/>
    <s v="GDN"/>
    <s v="25"/>
    <s v="08"/>
    <s v="25.08.07"/>
    <s v="25.08.08"/>
    <n v="183"/>
  </r>
  <r>
    <s v="GDN"/>
    <s v="리서치애드"/>
    <s v="제너시스"/>
    <x v="26"/>
    <s v="서비스"/>
    <s v="음식/조리"/>
    <s v="기타 프렌차이즈점"/>
    <s v="mimint.co.kr"/>
    <s v="커뮤니티(대)홈페이지(중)"/>
    <s v="할인정보"/>
    <s v="GDN"/>
    <s v="25"/>
    <s v="01"/>
    <s v="25.01.03"/>
    <s v="25.01.05"/>
    <n v="156"/>
  </r>
  <r>
    <s v="GDN"/>
    <s v="리서치애드"/>
    <s v="제너시스"/>
    <x v="26"/>
    <s v="서비스"/>
    <s v="음식/조리"/>
    <s v="기타 프렌차이즈점"/>
    <s v="ichannela.com"/>
    <s v="방송(대)방송기타(중)"/>
    <s v="뉴스"/>
    <s v="GDN"/>
    <s v="25"/>
    <s v="06"/>
    <s v="25.06.22"/>
    <s v="25.06.22"/>
    <n v="62"/>
  </r>
  <r>
    <s v="GDN"/>
    <s v="리서치애드"/>
    <s v="제너시스"/>
    <x v="26"/>
    <s v="서비스"/>
    <s v="음식/조리"/>
    <s v="기타 프렌차이즈점"/>
    <s v="ichannela.com"/>
    <s v="방송(대)방송기타(중)"/>
    <s v="동영상플레이어"/>
    <s v="GDN"/>
    <s v="25"/>
    <s v="01"/>
    <s v="25.01.01"/>
    <s v="25.01.01"/>
    <n v="52"/>
  </r>
  <r>
    <s v="GDN"/>
    <s v="리서치애드"/>
    <s v="제너시스"/>
    <x v="26"/>
    <s v="서비스"/>
    <s v="음식/조리"/>
    <s v="기타 프렌차이즈점"/>
    <s v="ichannela.com"/>
    <s v="방송(대)방송기타(중)"/>
    <s v="동영상플레이어"/>
    <s v="GDN"/>
    <s v="25"/>
    <s v="01"/>
    <s v="25.01.14"/>
    <s v="25.01.14"/>
    <n v="52"/>
  </r>
  <r>
    <s v="GDN"/>
    <s v="리서치애드"/>
    <s v="제너시스"/>
    <x v="26"/>
    <s v="서비스"/>
    <s v="음식/조리"/>
    <s v="기타 프렌차이즈점"/>
    <s v="tvchosun.com"/>
    <s v="방송(대)방송기타(중)"/>
    <s v="뉴스"/>
    <s v="GDN"/>
    <s v="25"/>
    <s v="01"/>
    <s v="25.01.10"/>
    <s v="25.01.11"/>
    <n v="104"/>
  </r>
  <r>
    <s v="GDN"/>
    <s v="리서치애드"/>
    <s v="제너시스"/>
    <x v="26"/>
    <s v="서비스"/>
    <s v="음식/조리"/>
    <s v="기타 프렌차이즈점"/>
    <s v="tvchosun.com"/>
    <s v="방송(대)방송기타(중)"/>
    <s v="동영상플레이어"/>
    <s v="GDN"/>
    <s v="25"/>
    <s v="01"/>
    <s v="25.01.14"/>
    <s v="25.01.19"/>
    <n v="312"/>
  </r>
  <r>
    <s v="GDN"/>
    <s v="리서치애드"/>
    <s v="제너시스"/>
    <x v="26"/>
    <s v="서비스"/>
    <s v="음식/조리"/>
    <s v="기타 프렌차이즈점"/>
    <s v="tvchosun.com"/>
    <s v="방송(대)방송기타(중)"/>
    <s v="드라마"/>
    <s v="GDN"/>
    <s v="25"/>
    <s v="01"/>
    <s v="25.01.01"/>
    <s v="25.01.05"/>
    <n v="260"/>
  </r>
  <r>
    <s v="GDN"/>
    <s v="리서치애드"/>
    <s v="제너시스"/>
    <x v="26"/>
    <s v="서비스"/>
    <s v="음식/조리"/>
    <s v="기타 프렌차이즈점"/>
    <s v="tvchosun.com"/>
    <s v="방송(대)방송기타(중)"/>
    <s v="스포츠"/>
    <s v="GDN"/>
    <s v="25"/>
    <s v="01"/>
    <s v="25.01.20"/>
    <s v="25.01.20"/>
    <n v="52"/>
  </r>
  <r>
    <s v="GDN"/>
    <s v="리서치애드"/>
    <s v="제너시스"/>
    <x v="26"/>
    <s v="서비스"/>
    <s v="음식/조리"/>
    <s v="기타 프렌차이즈점"/>
    <s v="isplus.com"/>
    <s v="신문/잡지(대)스포츠신문(중)"/>
    <s v="경제"/>
    <s v="GDN"/>
    <s v="25"/>
    <s v="01"/>
    <s v="25.01.07"/>
    <s v="25.01.12"/>
    <n v="312"/>
  </r>
  <r>
    <s v="GDN"/>
    <s v="리서치애드"/>
    <s v="제너시스"/>
    <x v="26"/>
    <s v="서비스"/>
    <s v="음식/조리"/>
    <s v="기타 프렌차이즈점"/>
    <s v="isplus.com"/>
    <s v="신문/잡지(대)스포츠신문(중)"/>
    <s v="메인"/>
    <s v="GDN"/>
    <s v="25"/>
    <s v="05"/>
    <s v="25.05.22"/>
    <s v="25.05.22"/>
    <n v="62"/>
  </r>
  <r>
    <s v="GDN"/>
    <s v="리서치애드"/>
    <s v="제너시스"/>
    <x v="26"/>
    <s v="서비스"/>
    <s v="음식/조리"/>
    <s v="기타 프렌차이즈점"/>
    <s v="isplus.com"/>
    <s v="신문/잡지(대)스포츠신문(중)"/>
    <s v="야구"/>
    <s v="GDN"/>
    <s v="25"/>
    <s v="01"/>
    <s v="25.01.20"/>
    <s v="25.01.20"/>
    <n v="52"/>
  </r>
  <r>
    <s v="GDN"/>
    <s v="리서치애드"/>
    <s v="제너시스"/>
    <x v="26"/>
    <s v="서비스"/>
    <s v="음식/조리"/>
    <s v="기타 프렌차이즈점"/>
    <s v="isplus.com"/>
    <s v="신문/잡지(대)스포츠신문(중)"/>
    <s v="야구"/>
    <s v="GDN"/>
    <s v="25"/>
    <s v="08"/>
    <s v="25.08.01"/>
    <s v="25.08.01"/>
    <n v="92"/>
  </r>
  <r>
    <s v="GDN"/>
    <s v="리서치애드"/>
    <s v="제너시스"/>
    <x v="26"/>
    <s v="서비스"/>
    <s v="음식/조리"/>
    <s v="기타 프렌차이즈점"/>
    <s v="isplus.com"/>
    <s v="신문/잡지(대)스포츠신문(중)"/>
    <s v="연예"/>
    <s v="GDN"/>
    <s v="25"/>
    <s v="01"/>
    <s v="25.01.01"/>
    <s v="25.01.05"/>
    <n v="260"/>
  </r>
  <r>
    <s v="GDN"/>
    <s v="리서치애드"/>
    <s v="제너시스"/>
    <x v="26"/>
    <s v="서비스"/>
    <s v="음식/조리"/>
    <s v="기타 프렌차이즈점"/>
    <s v="isplus.com"/>
    <s v="신문/잡지(대)스포츠신문(중)"/>
    <s v="축구"/>
    <s v="GDN"/>
    <s v="25"/>
    <s v="01"/>
    <s v="25.01.16"/>
    <s v="25.01.19"/>
    <n v="208"/>
  </r>
  <r>
    <s v="GDN"/>
    <s v="리서치애드"/>
    <s v="제너시스"/>
    <x v="26"/>
    <s v="서비스"/>
    <s v="음식/조리"/>
    <s v="기타 프렌차이즈점"/>
    <s v="joongang.co.kr"/>
    <s v="신문/잡지(대)종합일간지(중)"/>
    <s v="더오래"/>
    <s v="GDN"/>
    <s v="25"/>
    <s v="02"/>
    <s v="25.02.15"/>
    <s v="25.02.15"/>
    <n v="52"/>
  </r>
  <r>
    <s v="GDN"/>
    <s v="리서치애드"/>
    <s v="제너시스"/>
    <x v="26"/>
    <s v="서비스"/>
    <s v="음식/조리"/>
    <s v="기타 프렌차이즈점"/>
    <s v="joongang.co.kr"/>
    <s v="신문/잡지(대)종합일간지(중)"/>
    <s v="비크닉"/>
    <s v="GDN"/>
    <s v="25"/>
    <s v="01"/>
    <s v="25.01.07"/>
    <s v="25.01.12"/>
    <n v="312"/>
  </r>
  <r>
    <s v="GDN"/>
    <s v="리서치애드"/>
    <s v="제너시스"/>
    <x v="26"/>
    <s v="서비스"/>
    <s v="음식/조리"/>
    <s v="기타 프렌차이즈점"/>
    <s v="joongang.co.kr"/>
    <s v="신문/잡지(대)종합일간지(중)"/>
    <s v="사회"/>
    <s v="GDN"/>
    <s v="25"/>
    <s v="02"/>
    <s v="25.02.04"/>
    <s v="25.02.04"/>
    <n v="52"/>
  </r>
  <r>
    <s v="GDN"/>
    <s v="리서치애드"/>
    <s v="제너시스"/>
    <x v="26"/>
    <s v="서비스"/>
    <s v="음식/조리"/>
    <s v="기타 프렌차이즈점"/>
    <s v="joongang.co.kr"/>
    <s v="신문/잡지(대)종합일간지(중)"/>
    <s v="정치"/>
    <s v="GDN"/>
    <s v="25"/>
    <s v="01"/>
    <s v="25.01.20"/>
    <s v="25.01.21"/>
    <n v="104"/>
  </r>
  <r>
    <s v="GDN"/>
    <s v="리서치애드"/>
    <s v="제너시스"/>
    <x v="26"/>
    <s v="서비스"/>
    <s v="음식/조리"/>
    <s v="기타 프렌차이즈점"/>
    <s v="joongang.co.kr"/>
    <s v="신문/잡지(대)종합일간지(중)"/>
    <s v="중앙선데이"/>
    <s v="GDN"/>
    <s v="25"/>
    <s v="01"/>
    <s v="25.01.03"/>
    <s v="25.01.05"/>
    <n v="156"/>
  </r>
  <r>
    <s v="GDN"/>
    <s v="리서치애드"/>
    <s v="제너시스"/>
    <x v="26"/>
    <s v="서비스"/>
    <s v="음식/조리"/>
    <s v="기타 프렌차이즈점"/>
    <s v="joongang.co.kr"/>
    <s v="신문/잡지(대)종합일간지(중)"/>
    <s v="중앙선데이"/>
    <s v="GDN"/>
    <s v="25"/>
    <s v="01"/>
    <s v="25.01.14"/>
    <s v="25.01.19"/>
    <n v="312"/>
  </r>
  <r>
    <s v="GDN"/>
    <s v="리서치애드"/>
    <s v="제너시스"/>
    <x v="26"/>
    <s v="서비스"/>
    <s v="음식/조리"/>
    <s v="기타 프렌차이즈점"/>
    <s v="jtbc.co.kr"/>
    <s v="방송(대)방송기타(중)"/>
    <s v="동영상플레이어"/>
    <s v="GDN"/>
    <s v="25"/>
    <s v="12"/>
    <s v="25.12.15"/>
    <s v="25.12.20"/>
    <n v="486"/>
  </r>
  <r>
    <s v="GDN"/>
    <s v="리서치애드"/>
    <s v="제너시스"/>
    <x v="26"/>
    <s v="서비스"/>
    <s v="음식/조리"/>
    <s v="기타 프렌차이즈점"/>
    <s v="jtbc.co.kr"/>
    <s v="방송(대)방송기타(중)"/>
    <s v="동영상플레이어"/>
    <s v="GDN"/>
    <s v="25"/>
    <s v="12"/>
    <s v="25.12.26"/>
    <s v="25.12.26"/>
    <n v="81"/>
  </r>
  <r>
    <s v="GDN"/>
    <s v="리서치애드"/>
    <s v="리치빔"/>
    <x v="27"/>
    <s v="서비스"/>
    <s v="음식/조리"/>
    <s v="기타 프렌차이즈점"/>
    <s v="ohmynews.com"/>
    <s v="신문/잡지(대)온라인뉴스(중)"/>
    <s v="지역"/>
    <s v="GDN"/>
    <s v="25"/>
    <s v="04"/>
    <s v="25.04.10"/>
    <s v="25.04.10"/>
    <n v="62"/>
  </r>
  <r>
    <s v="GDN"/>
    <s v="리서치애드"/>
    <s v="리치빔"/>
    <x v="27"/>
    <s v="서비스"/>
    <s v="음식/조리"/>
    <s v="기타 프렌차이즈점"/>
    <s v="mk.co.kr"/>
    <s v="신문/잡지(대)경제신문(중)"/>
    <s v="스타투데이"/>
    <s v="GDN"/>
    <s v="25"/>
    <s v="04"/>
    <s v="25.04.09"/>
    <s v="25.04.09"/>
    <n v="62"/>
  </r>
  <r>
    <s v="GDN"/>
    <s v="리서치애드"/>
    <s v="리치빔"/>
    <x v="27"/>
    <s v="서비스"/>
    <s v="음식/조리"/>
    <s v="기타 프렌차이즈점"/>
    <s v="fnnews.com"/>
    <s v="신문/잡지(대)경제신문(중)"/>
    <s v="IT/산업"/>
    <s v="GDN"/>
    <s v="25"/>
    <s v="04"/>
    <s v="25.04.09"/>
    <s v="25.04.09"/>
    <n v="62"/>
  </r>
  <r>
    <s v="GDN"/>
    <s v="리서치애드"/>
    <s v="리치빔"/>
    <x v="27"/>
    <s v="서비스"/>
    <s v="음식/조리"/>
    <s v="기타 프렌차이즈점"/>
    <s v="diodeo.com"/>
    <s v="방송(대)방송기타(중)"/>
    <s v="메인"/>
    <s v="GDN"/>
    <s v="25"/>
    <s v="04"/>
    <s v="25.04.10"/>
    <s v="25.04.10"/>
    <n v="62"/>
  </r>
  <r>
    <s v="SNS"/>
    <s v="리서치애드"/>
    <s v="리치빔"/>
    <x v="27"/>
    <s v="서비스"/>
    <s v="음식/조리"/>
    <s v="기타 프렌차이즈점"/>
    <s v="facebook.com"/>
    <s v="커뮤니티(대)홈페이지(중)"/>
    <s v="동영상플레이어"/>
    <s v="-"/>
    <s v="25"/>
    <s v="04"/>
    <s v="25.04.20"/>
    <s v="25.04.20"/>
    <n v="62"/>
  </r>
  <r>
    <s v="SNS"/>
    <s v="리서치애드"/>
    <s v="리치빔"/>
    <x v="27"/>
    <s v="서비스"/>
    <s v="음식/조리"/>
    <s v="기타 프렌차이즈점"/>
    <s v="facebook.com"/>
    <s v="커뮤니티(대)홈페이지(중)"/>
    <s v="동영상플레이어"/>
    <s v="-"/>
    <s v="25"/>
    <s v="04"/>
    <s v="25.04.25"/>
    <s v="25.04.26"/>
    <n v="123"/>
  </r>
  <r>
    <s v="SNS"/>
    <s v="리서치애드"/>
    <s v="리치빔"/>
    <x v="27"/>
    <s v="서비스"/>
    <s v="음식/조리"/>
    <s v="기타 프렌차이즈점"/>
    <s v="facebook.com"/>
    <s v="커뮤니티(대)홈페이지(중)"/>
    <s v="동영상플레이어"/>
    <s v="-"/>
    <s v="25"/>
    <s v="04"/>
    <s v="25.04.28"/>
    <s v="25.04.29"/>
    <n v="123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1"/>
    <s v="25.01.11"/>
    <s v="25.01.11"/>
    <n v="62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2"/>
    <s v="25.02.20"/>
    <s v="25.02.23"/>
    <n v="247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3"/>
    <s v="25.03.20"/>
    <s v="25.03.20"/>
    <n v="62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3"/>
    <s v="25.03.26"/>
    <s v="25.03.26"/>
    <n v="62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4"/>
    <s v="25.04.02"/>
    <s v="25.04.05"/>
    <n v="247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4"/>
    <s v="25.04.07"/>
    <s v="25.04.07"/>
    <n v="62"/>
  </r>
  <r>
    <s v="SNS"/>
    <s v="리서치애드"/>
    <s v="리치빔"/>
    <x v="27"/>
    <s v="서비스"/>
    <s v="음식/조리"/>
    <s v="기타 프렌차이즈점"/>
    <s v="facebook.com"/>
    <s v="커뮤니티(대)홈페이지(중)"/>
    <s v="커뮤니케이션 기타"/>
    <s v="-"/>
    <s v="25"/>
    <s v="04"/>
    <s v="25.04.23"/>
    <s v="25.04.23"/>
    <n v="2118"/>
  </r>
  <r>
    <s v="GDN"/>
    <s v="리서치애드"/>
    <s v="멕시카나"/>
    <x v="28"/>
    <s v="서비스"/>
    <s v="음식/조리"/>
    <s v="기타 프렌차이즈점"/>
    <s v="daum.net"/>
    <s v="포털(대)포털(중)"/>
    <s v="뉴스"/>
    <s v="GDN"/>
    <s v="25"/>
    <s v="06"/>
    <s v="25.06.02"/>
    <s v="25.06.02"/>
    <n v="701"/>
  </r>
  <r>
    <s v="GDN"/>
    <s v="리서치애드"/>
    <s v="멕시카나"/>
    <x v="28"/>
    <s v="서비스"/>
    <s v="음식/조리"/>
    <s v="기타 프렌차이즈점"/>
    <s v="daum.net"/>
    <s v="포털(대)포털(중)"/>
    <s v="뉴스"/>
    <s v="GDN"/>
    <s v="25"/>
    <s v="06"/>
    <s v="25.06.11"/>
    <s v="25.06.15"/>
    <n v="3503"/>
  </r>
  <r>
    <s v="GDN"/>
    <s v="리서치애드"/>
    <s v="멕시카나"/>
    <x v="28"/>
    <s v="서비스"/>
    <s v="음식/조리"/>
    <s v="기타 프렌차이즈점"/>
    <s v="daum.net"/>
    <s v="포털(대)포털(중)"/>
    <s v="뉴스"/>
    <s v="GDN"/>
    <s v="25"/>
    <s v="07"/>
    <s v="25.07.06"/>
    <s v="25.07.06"/>
    <n v="701"/>
  </r>
  <r>
    <s v="GDN"/>
    <s v="리서치애드"/>
    <s v="멕시카나"/>
    <x v="28"/>
    <s v="서비스"/>
    <s v="음식/조리"/>
    <s v="기타 프렌차이즈점"/>
    <s v="daum.net"/>
    <s v="포털(대)포털(중)"/>
    <s v="뉴스"/>
    <s v="GDN"/>
    <s v="25"/>
    <s v="07"/>
    <s v="25.07.12"/>
    <s v="25.07.12"/>
    <n v="701"/>
  </r>
  <r>
    <s v="GDN"/>
    <s v="리서치애드"/>
    <s v="멕시카나"/>
    <x v="28"/>
    <s v="서비스"/>
    <s v="음식/조리"/>
    <s v="기타 프렌차이즈점"/>
    <s v="daum.net"/>
    <s v="포털(대)포털(중)"/>
    <s v="뉴스"/>
    <s v="GDN"/>
    <s v="25"/>
    <s v="07"/>
    <s v="25.07.17"/>
    <s v="25.07.17"/>
    <n v="701"/>
  </r>
  <r>
    <s v="GDN"/>
    <s v="리서치애드"/>
    <s v="멕시카나"/>
    <x v="28"/>
    <s v="서비스"/>
    <s v="음식/조리"/>
    <s v="기타 프렌차이즈점"/>
    <s v="nate.com"/>
    <s v="포털(대)포털(중)"/>
    <s v="뉴스"/>
    <s v="GDN"/>
    <s v="25"/>
    <s v="06"/>
    <s v="25.06.17"/>
    <s v="25.06.17"/>
    <n v="62"/>
  </r>
  <r>
    <s v="Dable"/>
    <s v="리서치애드"/>
    <s v="멕시카나"/>
    <x v="28"/>
    <s v="서비스"/>
    <s v="음식/조리"/>
    <s v="기타 프렌차이즈점"/>
    <s v="nate.com"/>
    <s v="포털(대)포털(중)"/>
    <s v="랭킹뉴스"/>
    <s v="Dable"/>
    <s v="25"/>
    <s v="01"/>
    <s v="25.01.15"/>
    <s v="25.01.15"/>
    <n v="40"/>
  </r>
  <r>
    <s v="Dable"/>
    <s v="리서치애드"/>
    <s v="멕시카나"/>
    <x v="28"/>
    <s v="서비스"/>
    <s v="음식/조리"/>
    <s v="기타 프렌차이즈점"/>
    <s v="nate.com"/>
    <s v="포털(대)포털(중)"/>
    <s v="랭킹뉴스"/>
    <s v="Dable"/>
    <s v="25"/>
    <s v="01"/>
    <s v="25.01.23"/>
    <s v="25.01.24"/>
    <n v="79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뉴스"/>
    <s v="GDN"/>
    <s v="25"/>
    <s v="08"/>
    <s v="25.08.05"/>
    <s v="25.08.08"/>
    <n v="366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뉴스"/>
    <s v="GDN"/>
    <s v="25"/>
    <s v="08"/>
    <s v="25.08.18"/>
    <s v="25.08.18"/>
    <n v="92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스포츠조선"/>
    <s v="GDN"/>
    <s v="25"/>
    <s v="06"/>
    <s v="25.06.23"/>
    <s v="25.06.25"/>
    <n v="186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스포츠조선"/>
    <s v="GDN"/>
    <s v="25"/>
    <s v="07"/>
    <s v="25.07.10"/>
    <s v="25.07.10"/>
    <n v="62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스포츠조선"/>
    <s v="GDN"/>
    <s v="25"/>
    <s v="07"/>
    <s v="25.07.15"/>
    <s v="25.07.15"/>
    <n v="62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스포츠조선"/>
    <s v="GDN"/>
    <s v="25"/>
    <s v="07"/>
    <s v="25.07.22"/>
    <s v="25.07.22"/>
    <n v="62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스포츠조선"/>
    <s v="GDN"/>
    <s v="25"/>
    <s v="07"/>
    <s v="25.07.28"/>
    <s v="25.07.31"/>
    <n v="248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여성조선"/>
    <s v="GDN"/>
    <s v="25"/>
    <s v="08"/>
    <s v="25.08.27"/>
    <s v="25.08.27"/>
    <n v="92"/>
  </r>
  <r>
    <s v="GDN"/>
    <s v="리서치애드"/>
    <s v="멕시카나"/>
    <x v="28"/>
    <s v="서비스"/>
    <s v="음식/조리"/>
    <s v="기타 프렌차이즈점"/>
    <s v="chosun.com"/>
    <s v="신문/잡지(대)종합일간지(중)"/>
    <s v="여성조선"/>
    <s v="GDN"/>
    <s v="25"/>
    <s v="12"/>
    <s v="25.12.10"/>
    <s v="25.12.11"/>
    <n v="162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연예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오피니언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sbs.co.kr"/>
    <s v="방송(대)방송국(중)"/>
    <s v="뉴스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sbs.co.kr"/>
    <s v="방송(대)방송국(중)"/>
    <s v="메인"/>
    <s v="GDN"/>
    <s v="25"/>
    <s v="06"/>
    <s v="25.06.19"/>
    <s v="25.06.19"/>
    <n v="62"/>
  </r>
  <r>
    <s v="GDN"/>
    <s v="리서치애드"/>
    <s v="멕시카나"/>
    <x v="28"/>
    <s v="서비스"/>
    <s v="음식/조리"/>
    <s v="기타 프렌차이즈점"/>
    <s v="sbs.co.kr"/>
    <s v="방송(대)방송국(중)"/>
    <s v="메인"/>
    <s v="GDN"/>
    <s v="25"/>
    <s v="08"/>
    <s v="25.08.27"/>
    <s v="25.08.27"/>
    <n v="92"/>
  </r>
  <r>
    <s v="Dable"/>
    <s v="리서치애드"/>
    <s v="멕시카나"/>
    <x v="28"/>
    <s v="서비스"/>
    <s v="음식/조리"/>
    <s v="기타 프렌차이즈점"/>
    <s v="sbs.co.kr"/>
    <s v="방송(대)방송국(중)"/>
    <s v="연예"/>
    <s v="Dable"/>
    <s v="25"/>
    <s v="01"/>
    <s v="25.01.14"/>
    <s v="25.01.19"/>
    <n v="237"/>
  </r>
  <r>
    <s v="Dable"/>
    <s v="리서치애드"/>
    <s v="멕시카나"/>
    <x v="28"/>
    <s v="서비스"/>
    <s v="음식/조리"/>
    <s v="기타 프렌차이즈점"/>
    <s v="imbc.com"/>
    <s v="방송(대)방송국(중)"/>
    <s v="뉴스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imbc.com"/>
    <s v="방송(대)방송국(중)"/>
    <s v="동영상플레이어"/>
    <s v="GDN"/>
    <s v="25"/>
    <s v="07"/>
    <s v="25.07.22"/>
    <s v="25.07.22"/>
    <n v="62"/>
  </r>
  <r>
    <s v="GDN"/>
    <s v="리서치애드"/>
    <s v="멕시카나"/>
    <x v="28"/>
    <s v="서비스"/>
    <s v="음식/조리"/>
    <s v="기타 프렌차이즈점"/>
    <s v="imbc.com"/>
    <s v="방송(대)방송국(중)"/>
    <s v="동영상플레이어"/>
    <s v="GDN"/>
    <s v="25"/>
    <s v="07"/>
    <s v="25.07.28"/>
    <s v="25.07.29"/>
    <n v="124"/>
  </r>
  <r>
    <s v="GDN"/>
    <s v="리서치애드"/>
    <s v="멕시카나"/>
    <x v="28"/>
    <s v="서비스"/>
    <s v="음식/조리"/>
    <s v="기타 프렌차이즈점"/>
    <s v="imbc.com"/>
    <s v="방송(대)방송국(중)"/>
    <s v="동영상플레이어"/>
    <s v="GDN"/>
    <s v="25"/>
    <s v="08"/>
    <s v="25.08.05"/>
    <s v="25.08.08"/>
    <n v="366"/>
  </r>
  <r>
    <s v="GDN"/>
    <s v="리서치애드"/>
    <s v="멕시카나"/>
    <x v="28"/>
    <s v="서비스"/>
    <s v="음식/조리"/>
    <s v="기타 프렌차이즈점"/>
    <s v="imbc.com"/>
    <s v="방송(대)방송국(중)"/>
    <s v="동영상플레이어"/>
    <s v="GDN"/>
    <s v="25"/>
    <s v="08"/>
    <s v="25.08.13"/>
    <s v="25.08.13"/>
    <n v="92"/>
  </r>
  <r>
    <s v="GDN"/>
    <s v="리서치애드"/>
    <s v="멕시카나"/>
    <x v="28"/>
    <s v="서비스"/>
    <s v="음식/조리"/>
    <s v="기타 프렌차이즈점"/>
    <s v="imbc.com"/>
    <s v="방송(대)방송국(중)"/>
    <s v="동영상플레이어"/>
    <s v="GDN"/>
    <s v="25"/>
    <s v="08"/>
    <s v="25.08.18"/>
    <s v="25.08.18"/>
    <n v="92"/>
  </r>
  <r>
    <s v="GDN"/>
    <s v="리서치애드"/>
    <s v="멕시카나"/>
    <x v="28"/>
    <s v="서비스"/>
    <s v="음식/조리"/>
    <s v="기타 프렌차이즈점"/>
    <s v="imbc.com"/>
    <s v="방송(대)방송국(중)"/>
    <s v="동영상플레이어"/>
    <s v="GDN"/>
    <s v="25"/>
    <s v="08"/>
    <s v="25.08.26"/>
    <s v="25.08.27"/>
    <n v="183"/>
  </r>
  <r>
    <s v="Dable"/>
    <s v="리서치애드"/>
    <s v="멕시카나"/>
    <x v="28"/>
    <s v="서비스"/>
    <s v="음식/조리"/>
    <s v="기타 프렌차이즈점"/>
    <s v="imbc.com"/>
    <s v="방송(대)방송국(중)"/>
    <s v="스포츠"/>
    <s v="Dable"/>
    <s v="25"/>
    <s v="01"/>
    <s v="25.01.15"/>
    <s v="25.01.19"/>
    <n v="198"/>
  </r>
  <r>
    <s v="GDN"/>
    <s v="리서치애드"/>
    <s v="멕시카나"/>
    <x v="28"/>
    <s v="서비스"/>
    <s v="음식/조리"/>
    <s v="기타 프렌차이즈점"/>
    <s v="sportsseoul.com"/>
    <s v="신문/잡지(대)스포츠신문(중)"/>
    <s v="경제"/>
    <s v="GDN"/>
    <s v="25"/>
    <s v="07"/>
    <s v="25.07.14"/>
    <s v="25.07.20"/>
    <n v="434"/>
  </r>
  <r>
    <s v="GDN"/>
    <s v="리서치애드"/>
    <s v="멕시카나"/>
    <x v="28"/>
    <s v="서비스"/>
    <s v="음식/조리"/>
    <s v="기타 프렌차이즈점"/>
    <s v="sportsseoul.com"/>
    <s v="신문/잡지(대)스포츠신문(중)"/>
    <s v="메인"/>
    <s v="GDN"/>
    <s v="25"/>
    <s v="08"/>
    <s v="25.08.27"/>
    <s v="25.08.27"/>
    <n v="92"/>
  </r>
  <r>
    <s v="GDN"/>
    <s v="리서치애드"/>
    <s v="멕시카나"/>
    <x v="28"/>
    <s v="서비스"/>
    <s v="음식/조리"/>
    <s v="기타 프렌차이즈점"/>
    <s v="sportsseoul.com"/>
    <s v="신문/잡지(대)스포츠신문(중)"/>
    <s v="알림"/>
    <s v="GDN"/>
    <s v="25"/>
    <s v="06"/>
    <s v="25.06.23"/>
    <s v="25.06.25"/>
    <n v="186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야구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sportsseoul.com"/>
    <s v="신문/잡지(대)스포츠신문(중)"/>
    <s v="야구"/>
    <s v="GDN"/>
    <s v="25"/>
    <s v="07"/>
    <s v="25.07.03"/>
    <s v="25.07.03"/>
    <n v="62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전국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스포츠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스포츠"/>
    <s v="Dable"/>
    <s v="25"/>
    <s v="01"/>
    <s v="25.01.21"/>
    <s v="25.01.23"/>
    <n v="119"/>
  </r>
  <r>
    <s v="GDN"/>
    <s v="리서치애드"/>
    <s v="멕시카나"/>
    <x v="28"/>
    <s v="서비스"/>
    <s v="음식/조리"/>
    <s v="기타 프렌차이즈점"/>
    <s v="donga.com"/>
    <s v="신문/잡지(대)종합일간지(중)"/>
    <s v="뉴스"/>
    <s v="GDN"/>
    <s v="25"/>
    <s v="07"/>
    <s v="25.07.03"/>
    <s v="25.07.03"/>
    <n v="62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스포츠동아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어린이동아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donga.com"/>
    <s v="신문/잡지(대)종합일간지(중)"/>
    <s v="어린이동아"/>
    <s v="GDN"/>
    <s v="25"/>
    <s v="06"/>
    <s v="25.06.14"/>
    <s v="25.06.14"/>
    <n v="62"/>
  </r>
  <r>
    <s v="GDN"/>
    <s v="리서치애드"/>
    <s v="멕시카나"/>
    <x v="28"/>
    <s v="서비스"/>
    <s v="음식/조리"/>
    <s v="기타 프렌차이즈점"/>
    <s v="donga.com"/>
    <s v="신문/잡지(대)종합일간지(중)"/>
    <s v="어린이동아"/>
    <s v="GDN"/>
    <s v="25"/>
    <s v="07"/>
    <s v="25.07.08"/>
    <s v="25.07.09"/>
    <n v="124"/>
  </r>
  <r>
    <s v="GDN"/>
    <s v="리서치애드"/>
    <s v="멕시카나"/>
    <x v="28"/>
    <s v="서비스"/>
    <s v="음식/조리"/>
    <s v="기타 프렌차이즈점"/>
    <s v="donga.com"/>
    <s v="신문/잡지(대)종합일간지(중)"/>
    <s v="어린이동아"/>
    <s v="GDN"/>
    <s v="25"/>
    <s v="07"/>
    <s v="25.07.14"/>
    <s v="25.07.20"/>
    <n v="434"/>
  </r>
  <r>
    <s v="Dable"/>
    <s v="리서치애드"/>
    <s v="멕시카나"/>
    <x v="28"/>
    <s v="서비스"/>
    <s v="음식/조리"/>
    <s v="기타 프렌차이즈점"/>
    <s v="hankooki.com"/>
    <s v="신문/잡지(대)종합일간지(중)"/>
    <s v="데일리한국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hankooki.com"/>
    <s v="신문/잡지(대)종합일간지(중)"/>
    <s v="데일리한국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hani.co.kr"/>
    <s v="신문/잡지(대)종합일간지(중)"/>
    <s v="오피니언"/>
    <s v="Dable"/>
    <s v="25"/>
    <s v="01"/>
    <s v="25.01.22"/>
    <s v="25.01.24"/>
    <n v="119"/>
  </r>
  <r>
    <s v="GDN"/>
    <s v="리서치애드"/>
    <s v="멕시카나"/>
    <x v="28"/>
    <s v="서비스"/>
    <s v="음식/조리"/>
    <s v="기타 프렌차이즈점"/>
    <s v="hani.co.kr"/>
    <s v="신문/잡지(대)종합일간지(중)"/>
    <s v="정치"/>
    <s v="GDN"/>
    <s v="25"/>
    <s v="05"/>
    <s v="25.05.21"/>
    <s v="25.05.21"/>
    <n v="62"/>
  </r>
  <r>
    <s v="Dable"/>
    <s v="리서치애드"/>
    <s v="멕시카나"/>
    <x v="28"/>
    <s v="서비스"/>
    <s v="음식/조리"/>
    <s v="기타 프렌차이즈점"/>
    <s v="hani.co.kr"/>
    <s v="신문/잡지(대)종합일간지(중)"/>
    <s v="포토"/>
    <s v="Dable"/>
    <s v="25"/>
    <s v="01"/>
    <s v="25.01.14"/>
    <s v="25.01.19"/>
    <n v="237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기획"/>
    <s v="GDN"/>
    <s v="25"/>
    <s v="07"/>
    <s v="25.07.12"/>
    <s v="25.07.12"/>
    <n v="62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리뷰"/>
    <s v="GDN"/>
    <s v="25"/>
    <s v="06"/>
    <s v="25.06.15"/>
    <s v="25.06.15"/>
    <n v="62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리뷰"/>
    <s v="GDN"/>
    <s v="25"/>
    <s v="06"/>
    <s v="25.06.20"/>
    <s v="25.06.20"/>
    <n v="62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리뷰"/>
    <s v="GDN"/>
    <s v="25"/>
    <s v="06"/>
    <s v="25.06.25"/>
    <s v="25.06.25"/>
    <n v="62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리뷰"/>
    <s v="GDN"/>
    <s v="25"/>
    <s v="07"/>
    <s v="25.07.14"/>
    <s v="25.07.17"/>
    <n v="248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시리즈"/>
    <s v="GDN"/>
    <s v="25"/>
    <s v="11"/>
    <s v="25.11.03"/>
    <s v="25.11.03"/>
    <n v="92"/>
  </r>
  <r>
    <s v="GDN"/>
    <s v="리서치애드"/>
    <s v="멕시카나"/>
    <x v="28"/>
    <s v="서비스"/>
    <s v="음식/조리"/>
    <s v="기타 프렌차이즈점"/>
    <s v="maxmovie.com"/>
    <s v="엔터테인먼트(대)영화/공연(중)"/>
    <s v="인터뷰"/>
    <s v="GDN"/>
    <s v="25"/>
    <s v="12"/>
    <s v="25.12.05"/>
    <s v="25.12.05"/>
    <n v="81"/>
  </r>
  <r>
    <s v="Dable"/>
    <s v="리서치애드"/>
    <s v="멕시카나"/>
    <x v="28"/>
    <s v="서비스"/>
    <s v="음식/조리"/>
    <s v="기타 프렌차이즈점"/>
    <s v="maxmovie.com"/>
    <s v="엔터테인먼트(대)영화/공연(중)"/>
    <s v="포토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maxmovie.com"/>
    <s v="엔터테인먼트(대)영화/공연(중)"/>
    <s v="홈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ohmynews.com"/>
    <s v="신문/잡지(대)온라인뉴스(중)"/>
    <s v="여행"/>
    <s v="Dable"/>
    <s v="25"/>
    <s v="01"/>
    <s v="25.01.13"/>
    <s v="25.01.19"/>
    <n v="276"/>
  </r>
  <r>
    <s v="GDN"/>
    <s v="리서치애드"/>
    <s v="멕시카나"/>
    <x v="28"/>
    <s v="서비스"/>
    <s v="음식/조리"/>
    <s v="기타 프렌차이즈점"/>
    <s v="ohmynews.com"/>
    <s v="신문/잡지(대)온라인뉴스(중)"/>
    <s v="영화"/>
    <s v="GDN"/>
    <s v="25"/>
    <s v="06"/>
    <s v="25.06.25"/>
    <s v="25.06.25"/>
    <n v="62"/>
  </r>
  <r>
    <s v="Dable"/>
    <s v="리서치애드"/>
    <s v="멕시카나"/>
    <x v="28"/>
    <s v="서비스"/>
    <s v="음식/조리"/>
    <s v="기타 프렌차이즈점"/>
    <s v="ohmynews.com"/>
    <s v="신문/잡지(대)온라인뉴스(중)"/>
    <s v="오마이스타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ohmynews.com"/>
    <s v="신문/잡지(대)온라인뉴스(중)"/>
    <s v="오마이스타"/>
    <s v="GDN"/>
    <s v="25"/>
    <s v="07"/>
    <s v="25.07.14"/>
    <s v="25.07.16"/>
    <n v="186"/>
  </r>
  <r>
    <s v="GDN"/>
    <s v="리서치애드"/>
    <s v="멕시카나"/>
    <x v="28"/>
    <s v="서비스"/>
    <s v="음식/조리"/>
    <s v="기타 프렌차이즈점"/>
    <s v="ohmynews.com"/>
    <s v="신문/잡지(대)온라인뉴스(중)"/>
    <s v="오마이스타"/>
    <s v="GDN"/>
    <s v="25"/>
    <s v="07"/>
    <s v="25.07.31"/>
    <s v="25.07.31"/>
    <n v="62"/>
  </r>
  <r>
    <s v="GDN"/>
    <s v="리서치애드"/>
    <s v="멕시카나"/>
    <x v="28"/>
    <s v="서비스"/>
    <s v="음식/조리"/>
    <s v="기타 프렌차이즈점"/>
    <s v="ohmynews.com"/>
    <s v="신문/잡지(대)온라인뉴스(중)"/>
    <s v="오마이스타"/>
    <s v="GDN"/>
    <s v="25"/>
    <s v="08"/>
    <s v="25.08.26"/>
    <s v="25.08.28"/>
    <n v="275"/>
  </r>
  <r>
    <s v="GDN"/>
    <s v="리서치애드"/>
    <s v="멕시카나"/>
    <x v="28"/>
    <s v="서비스"/>
    <s v="음식/조리"/>
    <s v="기타 프렌차이즈점"/>
    <s v="ohmynews.com"/>
    <s v="신문/잡지(대)온라인뉴스(중)"/>
    <s v="오마이스타"/>
    <s v="GDN"/>
    <s v="25"/>
    <s v="12"/>
    <s v="25.12.05"/>
    <s v="25.12.05"/>
    <n v="81"/>
  </r>
  <r>
    <s v="GDN"/>
    <s v="리서치애드"/>
    <s v="멕시카나"/>
    <x v="28"/>
    <s v="서비스"/>
    <s v="음식/조리"/>
    <s v="기타 프렌차이즈점"/>
    <s v="mk.co.kr"/>
    <s v="신문/잡지(대)경제신문(중)"/>
    <s v="뉴스"/>
    <s v="GDN"/>
    <s v="25"/>
    <s v="06"/>
    <s v="25.06.13"/>
    <s v="25.06.13"/>
    <n v="62"/>
  </r>
  <r>
    <s v="GDN"/>
    <s v="리서치애드"/>
    <s v="멕시카나"/>
    <x v="28"/>
    <s v="서비스"/>
    <s v="음식/조리"/>
    <s v="기타 프렌차이즈점"/>
    <s v="mk.co.kr"/>
    <s v="신문/잡지(대)경제신문(중)"/>
    <s v="뉴스"/>
    <s v="GDN"/>
    <s v="25"/>
    <s v="06"/>
    <s v="25.06.20"/>
    <s v="25.06.20"/>
    <n v="62"/>
  </r>
  <r>
    <s v="GDN"/>
    <s v="리서치애드"/>
    <s v="멕시카나"/>
    <x v="28"/>
    <s v="서비스"/>
    <s v="음식/조리"/>
    <s v="기타 프렌차이즈점"/>
    <s v="mk.co.kr"/>
    <s v="신문/잡지(대)경제신문(중)"/>
    <s v="뉴스"/>
    <s v="GDN"/>
    <s v="25"/>
    <s v="06"/>
    <s v="25.06.23"/>
    <s v="25.06.23"/>
    <n v="62"/>
  </r>
  <r>
    <s v="GDN"/>
    <s v="리서치애드"/>
    <s v="멕시카나"/>
    <x v="28"/>
    <s v="서비스"/>
    <s v="음식/조리"/>
    <s v="기타 프렌차이즈점"/>
    <s v="mk.co.kr"/>
    <s v="신문/잡지(대)경제신문(중)"/>
    <s v="뉴스"/>
    <s v="GDN"/>
    <s v="25"/>
    <s v="07"/>
    <s v="25.07.18"/>
    <s v="25.07.18"/>
    <n v="62"/>
  </r>
  <r>
    <s v="GDN"/>
    <s v="리서치애드"/>
    <s v="멕시카나"/>
    <x v="28"/>
    <s v="서비스"/>
    <s v="음식/조리"/>
    <s v="기타 프렌차이즈점"/>
    <s v="mk.co.kr"/>
    <s v="신문/잡지(대)경제신문(중)"/>
    <s v="뉴스"/>
    <s v="GDN"/>
    <s v="25"/>
    <s v="07"/>
    <s v="25.07.28"/>
    <s v="25.07.28"/>
    <n v="62"/>
  </r>
  <r>
    <s v="Dable"/>
    <s v="리서치애드"/>
    <s v="멕시카나"/>
    <x v="28"/>
    <s v="서비스"/>
    <s v="음식/조리"/>
    <s v="기타 프렌차이즈점"/>
    <s v="mk.co.kr"/>
    <s v="신문/잡지(대)경제신문(중)"/>
    <s v="동영상플레이어"/>
    <s v="Dable"/>
    <s v="25"/>
    <s v="01"/>
    <s v="25.01.19"/>
    <s v="25.01.19"/>
    <n v="40"/>
  </r>
  <r>
    <s v="Dable"/>
    <s v="리서치애드"/>
    <s v="멕시카나"/>
    <x v="28"/>
    <s v="서비스"/>
    <s v="음식/조리"/>
    <s v="기타 프렌차이즈점"/>
    <s v="mk.co.kr"/>
    <s v="신문/잡지(대)경제신문(중)"/>
    <s v="레이더P"/>
    <s v="Dable"/>
    <s v="25"/>
    <s v="01"/>
    <s v="25.01.20"/>
    <s v="25.01.23"/>
    <n v="158"/>
  </r>
  <r>
    <s v="Dable"/>
    <s v="리서치애드"/>
    <s v="멕시카나"/>
    <x v="28"/>
    <s v="서비스"/>
    <s v="음식/조리"/>
    <s v="기타 프렌차이즈점"/>
    <s v="dcinside.com"/>
    <s v="생활정보(대)쇼핑/가격정보(중)"/>
    <s v="뉴스"/>
    <s v="Dable"/>
    <s v="25"/>
    <s v="01"/>
    <s v="25.01.14"/>
    <s v="25.01.14"/>
    <n v="14"/>
  </r>
  <r>
    <s v="Dable"/>
    <s v="리서치애드"/>
    <s v="멕시카나"/>
    <x v="28"/>
    <s v="서비스"/>
    <s v="음식/조리"/>
    <s v="기타 프렌차이즈점"/>
    <s v="dcinside.com"/>
    <s v="생활정보(대)쇼핑/가격정보(중)"/>
    <s v="뉴스"/>
    <s v="Dable"/>
    <s v="25"/>
    <s v="01"/>
    <s v="25.01.20"/>
    <s v="25.01.24"/>
    <n v="69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스포츠"/>
    <s v="Dable"/>
    <s v="25"/>
    <s v="01"/>
    <s v="25.01.13"/>
    <s v="25.01.18"/>
    <n v="237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스포츠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yna.co.kr"/>
    <s v="신문/잡지(대)온라인뉴스(중)"/>
    <s v="전국"/>
    <s v="GDN"/>
    <s v="25"/>
    <s v="07"/>
    <s v="25.07.17"/>
    <s v="25.07.17"/>
    <n v="62"/>
  </r>
  <r>
    <s v="GDN"/>
    <s v="리서치애드"/>
    <s v="멕시카나"/>
    <x v="28"/>
    <s v="서비스"/>
    <s v="음식/조리"/>
    <s v="기타 프렌차이즈점"/>
    <s v="khan.co.kr"/>
    <s v="신문/잡지(대)종합일간지(중)"/>
    <s v="경제"/>
    <s v="GDN"/>
    <s v="25"/>
    <s v="07"/>
    <s v="25.07.22"/>
    <s v="25.07.22"/>
    <n v="62"/>
  </r>
  <r>
    <s v="GDN"/>
    <s v="리서치애드"/>
    <s v="멕시카나"/>
    <x v="28"/>
    <s v="서비스"/>
    <s v="음식/조리"/>
    <s v="기타 프렌차이즈점"/>
    <s v="khan.co.kr"/>
    <s v="신문/잡지(대)종합일간지(중)"/>
    <s v="경제"/>
    <s v="GDN"/>
    <s v="25"/>
    <s v="07"/>
    <s v="25.07.28"/>
    <s v="25.07.29"/>
    <n v="124"/>
  </r>
  <r>
    <s v="Dable"/>
    <s v="리서치애드"/>
    <s v="멕시카나"/>
    <x v="28"/>
    <s v="서비스"/>
    <s v="음식/조리"/>
    <s v="기타 프렌차이즈점"/>
    <s v="khan.co.kr"/>
    <s v="신문/잡지(대)종합일간지(중)"/>
    <s v="레이디경향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khan.co.kr"/>
    <s v="신문/잡지(대)종합일간지(중)"/>
    <s v="문화"/>
    <s v="GDN"/>
    <s v="25"/>
    <s v="06"/>
    <s v="25.06.23"/>
    <s v="25.06.25"/>
    <n v="186"/>
  </r>
  <r>
    <s v="GDN"/>
    <s v="리서치애드"/>
    <s v="멕시카나"/>
    <x v="28"/>
    <s v="서비스"/>
    <s v="음식/조리"/>
    <s v="기타 프렌차이즈점"/>
    <s v="khan.co.kr"/>
    <s v="신문/잡지(대)종합일간지(중)"/>
    <s v="문화"/>
    <s v="GDN"/>
    <s v="25"/>
    <s v="07"/>
    <s v="25.07.14"/>
    <s v="25.07.19"/>
    <n v="372"/>
  </r>
  <r>
    <s v="Dable"/>
    <s v="리서치애드"/>
    <s v="멕시카나"/>
    <x v="28"/>
    <s v="서비스"/>
    <s v="음식/조리"/>
    <s v="기타 프렌차이즈점"/>
    <s v="khan.co.kr"/>
    <s v="신문/잡지(대)종합일간지(중)"/>
    <s v="지역"/>
    <s v="Dable"/>
    <s v="25"/>
    <s v="01"/>
    <s v="25.01.13"/>
    <s v="25.01.19"/>
    <n v="276"/>
  </r>
  <r>
    <s v="GDN"/>
    <s v="리서치애드"/>
    <s v="멕시카나"/>
    <x v="28"/>
    <s v="서비스"/>
    <s v="음식/조리"/>
    <s v="기타 프렌차이즈점"/>
    <s v="khan.co.kr"/>
    <s v="신문/잡지(대)종합일간지(중)"/>
    <s v="포토영상"/>
    <s v="GDN"/>
    <s v="25"/>
    <s v="08"/>
    <s v="25.08.27"/>
    <s v="25.08.27"/>
    <n v="92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사회"/>
    <s v="GDN"/>
    <s v="25"/>
    <s v="08"/>
    <s v="25.08.26"/>
    <s v="25.08.26"/>
    <n v="92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스포츠"/>
    <s v="GDN"/>
    <s v="25"/>
    <s v="07"/>
    <s v="25.07.28"/>
    <s v="25.07.30"/>
    <n v="186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스포츠"/>
    <s v="GDN"/>
    <s v="25"/>
    <s v="12"/>
    <s v="25.12.05"/>
    <s v="25.12.05"/>
    <n v="81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피플"/>
    <s v="GDN"/>
    <s v="25"/>
    <s v="07"/>
    <s v="25.07.17"/>
    <s v="25.07.17"/>
    <n v="62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피플"/>
    <s v="GDN"/>
    <s v="25"/>
    <s v="07"/>
    <s v="25.07.22"/>
    <s v="25.07.22"/>
    <n v="62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피플"/>
    <s v="GDN"/>
    <s v="25"/>
    <s v="09"/>
    <s v="25.09.09"/>
    <s v="25.09.09"/>
    <n v="92"/>
  </r>
  <r>
    <s v="GDN"/>
    <s v="리서치애드"/>
    <s v="멕시카나"/>
    <x v="28"/>
    <s v="서비스"/>
    <s v="음식/조리"/>
    <s v="기타 프렌차이즈점"/>
    <s v="munhwa.com"/>
    <s v="신문/잡지(대)종합일간지(중)"/>
    <s v="피플"/>
    <s v="GDN"/>
    <s v="25"/>
    <s v="10"/>
    <s v="25.10.27"/>
    <s v="25.10.27"/>
    <n v="92"/>
  </r>
  <r>
    <s v="Dable"/>
    <s v="리서치애드"/>
    <s v="멕시카나"/>
    <x v="28"/>
    <s v="서비스"/>
    <s v="음식/조리"/>
    <s v="기타 프렌차이즈점"/>
    <s v="hankyung.com"/>
    <s v="신문/잡지(대)경제신문(중)"/>
    <s v="골프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hankyung.com"/>
    <s v="신문/잡지(대)경제신문(중)"/>
    <s v="국제"/>
    <s v="Dable"/>
    <s v="25"/>
    <s v="01"/>
    <s v="25.01.13"/>
    <s v="25.01.19"/>
    <n v="276"/>
  </r>
  <r>
    <s v="GDN"/>
    <s v="리서치애드"/>
    <s v="멕시카나"/>
    <x v="28"/>
    <s v="서비스"/>
    <s v="음식/조리"/>
    <s v="기타 프렌차이즈점"/>
    <s v="hankyung.com"/>
    <s v="신문/잡지(대)경제신문(중)"/>
    <s v="금융"/>
    <s v="GDN"/>
    <s v="25"/>
    <s v="07"/>
    <s v="25.07.13"/>
    <s v="25.07.13"/>
    <n v="62"/>
  </r>
  <r>
    <s v="GDN"/>
    <s v="리서치애드"/>
    <s v="멕시카나"/>
    <x v="28"/>
    <s v="서비스"/>
    <s v="음식/조리"/>
    <s v="기타 프렌차이즈점"/>
    <s v="hankyung.com"/>
    <s v="신문/잡지(대)경제신문(중)"/>
    <s v="금융"/>
    <s v="GDN"/>
    <s v="25"/>
    <s v="07"/>
    <s v="25.07.18"/>
    <s v="25.07.20"/>
    <n v="186"/>
  </r>
  <r>
    <s v="GDN"/>
    <s v="리서치애드"/>
    <s v="멕시카나"/>
    <x v="28"/>
    <s v="서비스"/>
    <s v="음식/조리"/>
    <s v="기타 프렌차이즈점"/>
    <s v="hankyung.com"/>
    <s v="신문/잡지(대)경제신문(중)"/>
    <s v="금융"/>
    <s v="GDN"/>
    <s v="25"/>
    <s v="07"/>
    <s v="25.07.28"/>
    <s v="25.07.30"/>
    <n v="186"/>
  </r>
  <r>
    <s v="GDN"/>
    <s v="리서치애드"/>
    <s v="멕시카나"/>
    <x v="28"/>
    <s v="서비스"/>
    <s v="음식/조리"/>
    <s v="기타 프렌차이즈점"/>
    <s v="hankyung.com"/>
    <s v="신문/잡지(대)경제신문(중)"/>
    <s v="금융"/>
    <s v="GDN"/>
    <s v="25"/>
    <s v="11"/>
    <s v="25.11.04"/>
    <s v="25.11.04"/>
    <n v="92"/>
  </r>
  <r>
    <s v="GDN"/>
    <s v="리서치애드"/>
    <s v="멕시카나"/>
    <x v="28"/>
    <s v="서비스"/>
    <s v="음식/조리"/>
    <s v="기타 프렌차이즈점"/>
    <s v="hankyung.com"/>
    <s v="신문/잡지(대)경제신문(중)"/>
    <s v="메인"/>
    <s v="GDN"/>
    <s v="25"/>
    <s v="08"/>
    <s v="25.08.12"/>
    <s v="25.08.12"/>
    <n v="92"/>
  </r>
  <r>
    <s v="GDN"/>
    <s v="리서치애드"/>
    <s v="멕시카나"/>
    <x v="28"/>
    <s v="서비스"/>
    <s v="음식/조리"/>
    <s v="기타 프렌차이즈점"/>
    <s v="hankyung.com"/>
    <s v="신문/잡지(대)경제신문(중)"/>
    <s v="메인"/>
    <s v="GDN"/>
    <s v="25"/>
    <s v="08"/>
    <s v="25.08.28"/>
    <s v="25.08.28"/>
    <n v="92"/>
  </r>
  <r>
    <s v="GDN"/>
    <s v="리서치애드"/>
    <s v="멕시카나"/>
    <x v="28"/>
    <s v="서비스"/>
    <s v="음식/조리"/>
    <s v="기타 프렌차이즈점"/>
    <s v="hankyung.com"/>
    <s v="신문/잡지(대)경제신문(중)"/>
    <s v="사회"/>
    <s v="GDN"/>
    <s v="25"/>
    <s v="07"/>
    <s v="25.07.21"/>
    <s v="25.07.26"/>
    <n v="372"/>
  </r>
  <r>
    <s v="GDN"/>
    <s v="리서치애드"/>
    <s v="멕시카나"/>
    <x v="28"/>
    <s v="서비스"/>
    <s v="음식/조리"/>
    <s v="기타 프렌차이즈점"/>
    <s v="hankyung.com"/>
    <s v="신문/잡지(대)경제신문(중)"/>
    <s v="스포츠"/>
    <s v="GDN"/>
    <s v="25"/>
    <s v="08"/>
    <s v="25.08.04"/>
    <s v="25.08.08"/>
    <n v="458"/>
  </r>
  <r>
    <s v="GDN"/>
    <s v="리서치애드"/>
    <s v="멕시카나"/>
    <x v="28"/>
    <s v="서비스"/>
    <s v="음식/조리"/>
    <s v="기타 프렌차이즈점"/>
    <s v="hankyung.com"/>
    <s v="신문/잡지(대)경제신문(중)"/>
    <s v="스포츠"/>
    <s v="GDN"/>
    <s v="25"/>
    <s v="08"/>
    <s v="25.08.19"/>
    <s v="25.08.20"/>
    <n v="183"/>
  </r>
  <r>
    <s v="GDN"/>
    <s v="리서치애드"/>
    <s v="멕시카나"/>
    <x v="28"/>
    <s v="서비스"/>
    <s v="음식/조리"/>
    <s v="기타 프렌차이즈점"/>
    <s v="hankyung.com"/>
    <s v="신문/잡지(대)경제신문(중)"/>
    <s v="스포츠"/>
    <s v="GDN"/>
    <s v="25"/>
    <s v="09"/>
    <s v="25.09.02"/>
    <s v="25.09.05"/>
    <n v="366"/>
  </r>
  <r>
    <s v="GDN"/>
    <s v="리서치애드"/>
    <s v="멕시카나"/>
    <x v="28"/>
    <s v="서비스"/>
    <s v="음식/조리"/>
    <s v="기타 프렌차이즈점"/>
    <s v="hankyung.com"/>
    <s v="신문/잡지(대)경제신문(중)"/>
    <s v="스포츠"/>
    <s v="GDN"/>
    <s v="25"/>
    <s v="12"/>
    <s v="25.12.05"/>
    <s v="25.12.05"/>
    <n v="81"/>
  </r>
  <r>
    <s v="GDN"/>
    <s v="리서치애드"/>
    <s v="멕시카나"/>
    <x v="28"/>
    <s v="서비스"/>
    <s v="음식/조리"/>
    <s v="기타 프렌차이즈점"/>
    <s v="hankyung.com"/>
    <s v="신문/잡지(대)경제신문(중)"/>
    <s v="연예"/>
    <s v="GDN"/>
    <s v="25"/>
    <s v="10"/>
    <s v="25.10.27"/>
    <s v="25.10.27"/>
    <n v="92"/>
  </r>
  <r>
    <s v="GDN"/>
    <s v="리서치애드"/>
    <s v="멕시카나"/>
    <x v="28"/>
    <s v="서비스"/>
    <s v="음식/조리"/>
    <s v="기타 프렌차이즈점"/>
    <s v="pressian.com"/>
    <s v="신문/잡지(대)온라인뉴스(중)"/>
    <s v="메인"/>
    <s v="GDN"/>
    <s v="25"/>
    <s v="07"/>
    <s v="25.07.29"/>
    <s v="25.07.29"/>
    <n v="62"/>
  </r>
  <r>
    <s v="GDN"/>
    <s v="리서치애드"/>
    <s v="멕시카나"/>
    <x v="28"/>
    <s v="서비스"/>
    <s v="음식/조리"/>
    <s v="기타 프렌차이즈점"/>
    <s v="pressian.com"/>
    <s v="신문/잡지(대)온라인뉴스(중)"/>
    <s v="세계"/>
    <s v="GDN"/>
    <s v="25"/>
    <s v="07"/>
    <s v="25.07.14"/>
    <s v="25.07.20"/>
    <n v="434"/>
  </r>
  <r>
    <s v="GDN"/>
    <s v="리서치애드"/>
    <s v="멕시카나"/>
    <x v="28"/>
    <s v="서비스"/>
    <s v="음식/조리"/>
    <s v="기타 프렌차이즈점"/>
    <s v="pressian.com"/>
    <s v="신문/잡지(대)온라인뉴스(중)"/>
    <s v="함께자리"/>
    <s v="GDN"/>
    <s v="25"/>
    <s v="08"/>
    <s v="25.08.07"/>
    <s v="25.08.07"/>
    <n v="92"/>
  </r>
  <r>
    <s v="Dable"/>
    <s v="리서치애드"/>
    <s v="멕시카나"/>
    <x v="28"/>
    <s v="서비스"/>
    <s v="음식/조리"/>
    <s v="기타 프렌차이즈점"/>
    <s v="fnnews.com"/>
    <s v="신문/잡지(대)경제신문(중)"/>
    <s v="국제"/>
    <s v="Dable"/>
    <s v="25"/>
    <s v="01"/>
    <s v="25.01.16"/>
    <s v="25.01.19"/>
    <n v="158"/>
  </r>
  <r>
    <s v="Dable"/>
    <s v="리서치애드"/>
    <s v="멕시카나"/>
    <x v="28"/>
    <s v="서비스"/>
    <s v="음식/조리"/>
    <s v="기타 프렌차이즈점"/>
    <s v="fnnews.com"/>
    <s v="신문/잡지(대)경제신문(중)"/>
    <s v="사회"/>
    <s v="Dable"/>
    <s v="25"/>
    <s v="01"/>
    <s v="25.01.24"/>
    <s v="25.01.24"/>
    <n v="40"/>
  </r>
  <r>
    <s v="Dable"/>
    <s v="리서치애드"/>
    <s v="멕시카나"/>
    <x v="28"/>
    <s v="서비스"/>
    <s v="음식/조리"/>
    <s v="기타 프렌차이즈점"/>
    <s v="cine21.com"/>
    <s v="신문/잡지(대)잡지(중)"/>
    <s v="기사"/>
    <s v="Dable"/>
    <s v="25"/>
    <s v="01"/>
    <s v="25.01.14"/>
    <s v="25.01.18"/>
    <n v="198"/>
  </r>
  <r>
    <s v="Dable"/>
    <s v="리서치애드"/>
    <s v="멕시카나"/>
    <x v="28"/>
    <s v="서비스"/>
    <s v="음식/조리"/>
    <s v="기타 프렌차이즈점"/>
    <s v="cine21.com"/>
    <s v="신문/잡지(대)잡지(중)"/>
    <s v="기사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오피니언"/>
    <s v="Dable"/>
    <s v="25"/>
    <s v="01"/>
    <s v="25.01.14"/>
    <s v="25.01.19"/>
    <n v="237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이슈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kmib.co.kr"/>
    <s v="신문/잡지(대)종합일간지(중)"/>
    <s v="정치"/>
    <s v="GDN"/>
    <s v="25"/>
    <s v="06"/>
    <s v="25.06.25"/>
    <s v="25.06.25"/>
    <n v="62"/>
  </r>
  <r>
    <s v="GDN"/>
    <s v="리서치애드"/>
    <s v="멕시카나"/>
    <x v="28"/>
    <s v="서비스"/>
    <s v="음식/조리"/>
    <s v="기타 프렌차이즈점"/>
    <s v="zdnet.co.kr"/>
    <s v="신문/잡지(대)IT관련 뉴스(중)"/>
    <s v="뉴스"/>
    <s v="GDN"/>
    <s v="25"/>
    <s v="09"/>
    <s v="25.09.09"/>
    <s v="25.09.09"/>
    <n v="92"/>
  </r>
  <r>
    <s v="Dable"/>
    <s v="리서치애드"/>
    <s v="멕시카나"/>
    <x v="28"/>
    <s v="서비스"/>
    <s v="음식/조리"/>
    <s v="기타 프렌차이즈점"/>
    <s v="zdnet.co.kr"/>
    <s v="신문/잡지(대)IT관련 뉴스(중)"/>
    <s v="포토"/>
    <s v="Dable"/>
    <s v="25"/>
    <s v="01"/>
    <s v="25.01.19"/>
    <s v="25.01.19"/>
    <n v="40"/>
  </r>
  <r>
    <s v="Dable"/>
    <s v="리서치애드"/>
    <s v="멕시카나"/>
    <x v="28"/>
    <s v="서비스"/>
    <s v="음식/조리"/>
    <s v="기타 프렌차이즈점"/>
    <s v="zdnet.co.kr"/>
    <s v="신문/잡지(대)IT관련 뉴스(중)"/>
    <s v="포토"/>
    <s v="Dable"/>
    <s v="25"/>
    <s v="01"/>
    <s v="25.01.20"/>
    <s v="25.01.22"/>
    <n v="119"/>
  </r>
  <r>
    <s v="Dable"/>
    <s v="리서치애드"/>
    <s v="멕시카나"/>
    <x v="28"/>
    <s v="서비스"/>
    <s v="음식/조리"/>
    <s v="기타 프렌차이즈점"/>
    <s v="etnews.com"/>
    <s v="신문/잡지(대)IT관련 뉴스(중)"/>
    <s v="뉴스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etnews.com"/>
    <s v="신문/잡지(대)IT관련 뉴스(중)"/>
    <s v="뉴스"/>
    <s v="GDN"/>
    <s v="25"/>
    <s v="06"/>
    <s v="25.06.20"/>
    <s v="25.06.20"/>
    <n v="62"/>
  </r>
  <r>
    <s v="GDN"/>
    <s v="리서치애드"/>
    <s v="멕시카나"/>
    <x v="28"/>
    <s v="서비스"/>
    <s v="음식/조리"/>
    <s v="기타 프렌차이즈점"/>
    <s v="etnews.com"/>
    <s v="신문/잡지(대)IT관련 뉴스(중)"/>
    <s v="뉴스"/>
    <s v="GDN"/>
    <s v="25"/>
    <s v="06"/>
    <s v="25.06.25"/>
    <s v="25.06.25"/>
    <n v="62"/>
  </r>
  <r>
    <s v="Dable"/>
    <s v="리서치애드"/>
    <s v="멕시카나"/>
    <x v="28"/>
    <s v="서비스"/>
    <s v="음식/조리"/>
    <s v="기타 프렌차이즈점"/>
    <s v="etnews.com"/>
    <s v="신문/잡지(대)IT관련 뉴스(중)"/>
    <s v="특집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mt.co.kr"/>
    <s v="신문/잡지(대)경제신문(중)"/>
    <s v="뉴스"/>
    <s v="Dable"/>
    <s v="25"/>
    <s v="01"/>
    <s v="25.01.14"/>
    <s v="25.01.19"/>
    <n v="237"/>
  </r>
  <r>
    <s v="GDN"/>
    <s v="리서치애드"/>
    <s v="멕시카나"/>
    <x v="28"/>
    <s v="서비스"/>
    <s v="음식/조리"/>
    <s v="기타 프렌차이즈점"/>
    <s v="mt.co.kr"/>
    <s v="신문/잡지(대)경제신문(중)"/>
    <s v="뉴스"/>
    <s v="GDN"/>
    <s v="25"/>
    <s v="06"/>
    <s v="25.06.25"/>
    <s v="25.06.25"/>
    <n v="62"/>
  </r>
  <r>
    <s v="GDN"/>
    <s v="리서치애드"/>
    <s v="멕시카나"/>
    <x v="28"/>
    <s v="서비스"/>
    <s v="음식/조리"/>
    <s v="기타 프렌차이즈점"/>
    <s v="mt.co.kr"/>
    <s v="신문/잡지(대)경제신문(중)"/>
    <s v="뉴스"/>
    <s v="GDN"/>
    <s v="25"/>
    <s v="07"/>
    <s v="25.07.01"/>
    <s v="25.07.01"/>
    <n v="62"/>
  </r>
  <r>
    <s v="GDN"/>
    <s v="리서치애드"/>
    <s v="멕시카나"/>
    <x v="28"/>
    <s v="서비스"/>
    <s v="음식/조리"/>
    <s v="기타 프렌차이즈점"/>
    <s v="mt.co.kr"/>
    <s v="신문/잡지(대)경제신문(중)"/>
    <s v="뉴스"/>
    <s v="GDN"/>
    <s v="25"/>
    <s v="07"/>
    <s v="25.07.21"/>
    <s v="25.07.21"/>
    <n v="62"/>
  </r>
  <r>
    <s v="Dable"/>
    <s v="리서치애드"/>
    <s v="멕시카나"/>
    <x v="28"/>
    <s v="서비스"/>
    <s v="음식/조리"/>
    <s v="기타 프렌차이즈점"/>
    <s v="mt.co.kr"/>
    <s v="신문/잡지(대)경제신문(중)"/>
    <s v="포토/영상"/>
    <s v="Dable"/>
    <s v="25"/>
    <s v="01"/>
    <s v="25.01.20"/>
    <s v="25.01.23"/>
    <n v="158"/>
  </r>
  <r>
    <s v="GDN"/>
    <s v="리서치애드"/>
    <s v="멕시카나"/>
    <x v="28"/>
    <s v="서비스"/>
    <s v="음식/조리"/>
    <s v="기타 프렌차이즈점"/>
    <s v="ytn.co.kr"/>
    <s v="방송(대)케이블/위성방송(중)"/>
    <s v="과학"/>
    <s v="GDN"/>
    <s v="25"/>
    <s v="08"/>
    <s v="25.08.05"/>
    <s v="25.08.07"/>
    <n v="275"/>
  </r>
  <r>
    <s v="GDN"/>
    <s v="리서치애드"/>
    <s v="멕시카나"/>
    <x v="28"/>
    <s v="서비스"/>
    <s v="음식/조리"/>
    <s v="기타 프렌차이즈점"/>
    <s v="ytn.co.kr"/>
    <s v="방송(대)케이블/위성방송(중)"/>
    <s v="날씨"/>
    <s v="GDN"/>
    <s v="25"/>
    <s v="12"/>
    <s v="25.12.05"/>
    <s v="25.12.05"/>
    <n v="81"/>
  </r>
  <r>
    <s v="Dable"/>
    <s v="리서치애드"/>
    <s v="멕시카나"/>
    <x v="28"/>
    <s v="서비스"/>
    <s v="음식/조리"/>
    <s v="기타 프렌차이즈점"/>
    <s v="ytn.co.kr"/>
    <s v="방송(대)케이블/위성방송(중)"/>
    <s v="문화"/>
    <s v="Dable"/>
    <s v="25"/>
    <s v="01"/>
    <s v="25.01.14"/>
    <s v="25.01.19"/>
    <n v="237"/>
  </r>
  <r>
    <s v="Dable"/>
    <s v="리서치애드"/>
    <s v="멕시카나"/>
    <x v="28"/>
    <s v="서비스"/>
    <s v="음식/조리"/>
    <s v="기타 프렌차이즈점"/>
    <s v="ytn.co.kr"/>
    <s v="방송(대)케이블/위성방송(중)"/>
    <s v="문화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ytn.co.kr"/>
    <s v="방송(대)케이블/위성방송(중)"/>
    <s v="정치"/>
    <s v="GDN"/>
    <s v="25"/>
    <s v="01"/>
    <s v="25.01.14"/>
    <s v="25.01.14"/>
    <n v="52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부동산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사회"/>
    <s v="Dable"/>
    <s v="25"/>
    <s v="01"/>
    <s v="25.01.13"/>
    <s v="25.01.19"/>
    <n v="276"/>
  </r>
  <r>
    <s v="GDN"/>
    <s v="리서치애드"/>
    <s v="멕시카나"/>
    <x v="28"/>
    <s v="서비스"/>
    <s v="음식/조리"/>
    <s v="기타 프렌차이즈점"/>
    <s v="inews24.com"/>
    <s v="신문/잡지(대)IT관련 뉴스(중)"/>
    <s v="게임"/>
    <s v="GDN"/>
    <s v="25"/>
    <s v="08"/>
    <s v="25.08.07"/>
    <s v="25.08.07"/>
    <n v="92"/>
  </r>
  <r>
    <s v="GDN"/>
    <s v="리서치애드"/>
    <s v="멕시카나"/>
    <x v="28"/>
    <s v="서비스"/>
    <s v="음식/조리"/>
    <s v="기타 프렌차이즈점"/>
    <s v="inews24.com"/>
    <s v="신문/잡지(대)IT관련 뉴스(중)"/>
    <s v="게임"/>
    <s v="GDN"/>
    <s v="25"/>
    <s v="08"/>
    <s v="25.08.27"/>
    <s v="25.08.27"/>
    <n v="92"/>
  </r>
  <r>
    <s v="GDN"/>
    <s v="리서치애드"/>
    <s v="멕시카나"/>
    <x v="28"/>
    <s v="서비스"/>
    <s v="음식/조리"/>
    <s v="기타 프렌차이즈점"/>
    <s v="inews24.com"/>
    <s v="신문/잡지(대)IT관련 뉴스(중)"/>
    <s v="뉴스"/>
    <s v="GDN"/>
    <s v="25"/>
    <s v="07"/>
    <s v="25.07.05"/>
    <s v="25.07.05"/>
    <n v="62"/>
  </r>
  <r>
    <s v="GDN"/>
    <s v="리서치애드"/>
    <s v="멕시카나"/>
    <x v="28"/>
    <s v="서비스"/>
    <s v="음식/조리"/>
    <s v="기타 프렌차이즈점"/>
    <s v="inews24.com"/>
    <s v="신문/잡지(대)IT관련 뉴스(중)"/>
    <s v="뉴스"/>
    <s v="GDN"/>
    <s v="25"/>
    <s v="07"/>
    <s v="25.07.14"/>
    <s v="25.07.19"/>
    <n v="372"/>
  </r>
  <r>
    <s v="GDN"/>
    <s v="리서치애드"/>
    <s v="멕시카나"/>
    <x v="28"/>
    <s v="서비스"/>
    <s v="음식/조리"/>
    <s v="기타 프렌차이즈점"/>
    <s v="inews24.com"/>
    <s v="신문/잡지(대)IT관련 뉴스(중)"/>
    <s v="뉴스"/>
    <s v="GDN"/>
    <s v="25"/>
    <s v="07"/>
    <s v="25.07.24"/>
    <s v="25.07.26"/>
    <n v="186"/>
  </r>
  <r>
    <s v="GDN"/>
    <s v="리서치애드"/>
    <s v="멕시카나"/>
    <x v="28"/>
    <s v="서비스"/>
    <s v="음식/조리"/>
    <s v="기타 프렌차이즈점"/>
    <s v="inews24.com"/>
    <s v="신문/잡지(대)IT관련 뉴스(중)"/>
    <s v="뉴스"/>
    <s v="GDN"/>
    <s v="25"/>
    <s v="09"/>
    <s v="25.09.10"/>
    <s v="25.09.10"/>
    <n v="92"/>
  </r>
  <r>
    <s v="GDN"/>
    <s v="리서치애드"/>
    <s v="멕시카나"/>
    <x v="28"/>
    <s v="서비스"/>
    <s v="음식/조리"/>
    <s v="기타 프렌차이즈점"/>
    <s v="kbs.co.kr"/>
    <s v="방송(대)방송국(중)"/>
    <s v="동영상플레이어"/>
    <s v="GDN"/>
    <s v="25"/>
    <s v="05"/>
    <s v="25.05.28"/>
    <s v="25.05.28"/>
    <n v="62"/>
  </r>
  <r>
    <s v="GDN"/>
    <s v="리서치애드"/>
    <s v="멕시카나"/>
    <x v="28"/>
    <s v="서비스"/>
    <s v="음식/조리"/>
    <s v="기타 프렌차이즈점"/>
    <s v="kbs.co.kr"/>
    <s v="방송(대)방송국(중)"/>
    <s v="동영상플레이어"/>
    <s v="GDN"/>
    <s v="25"/>
    <s v="06"/>
    <s v="25.06.13"/>
    <s v="25.06.15"/>
    <n v="186"/>
  </r>
  <r>
    <s v="GDN"/>
    <s v="리서치애드"/>
    <s v="멕시카나"/>
    <x v="28"/>
    <s v="서비스"/>
    <s v="음식/조리"/>
    <s v="기타 프렌차이즈점"/>
    <s v="kbs.co.kr"/>
    <s v="방송(대)방송국(중)"/>
    <s v="동영상플레이어"/>
    <s v="GDN"/>
    <s v="25"/>
    <s v="06"/>
    <s v="25.06.17"/>
    <s v="25.06.19"/>
    <n v="186"/>
  </r>
  <r>
    <s v="GDN"/>
    <s v="리서치애드"/>
    <s v="멕시카나"/>
    <x v="28"/>
    <s v="서비스"/>
    <s v="음식/조리"/>
    <s v="기타 프렌차이즈점"/>
    <s v="kbs.co.kr"/>
    <s v="방송(대)방송국(중)"/>
    <s v="메인"/>
    <s v="GDN"/>
    <s v="25"/>
    <s v="11"/>
    <s v="25.11.28"/>
    <s v="25.11.28"/>
    <n v="92"/>
  </r>
  <r>
    <s v="GDN"/>
    <s v="리서치애드"/>
    <s v="멕시카나"/>
    <x v="28"/>
    <s v="서비스"/>
    <s v="음식/조리"/>
    <s v="기타 프렌차이즈점"/>
    <s v="dt.co.kr"/>
    <s v="신문/잡지(대)IT관련 뉴스(중)"/>
    <s v="사회"/>
    <s v="GDN"/>
    <s v="25"/>
    <s v="07"/>
    <s v="25.07.22"/>
    <s v="25.07.22"/>
    <n v="62"/>
  </r>
  <r>
    <s v="GDN"/>
    <s v="리서치애드"/>
    <s v="멕시카나"/>
    <x v="28"/>
    <s v="서비스"/>
    <s v="음식/조리"/>
    <s v="기타 프렌차이즈점"/>
    <s v="dt.co.kr"/>
    <s v="신문/잡지(대)IT관련 뉴스(중)"/>
    <s v="사회"/>
    <s v="GDN"/>
    <s v="25"/>
    <s v="07"/>
    <s v="25.07.28"/>
    <s v="25.07.28"/>
    <n v="62"/>
  </r>
  <r>
    <s v="Dable"/>
    <s v="리서치애드"/>
    <s v="멕시카나"/>
    <x v="28"/>
    <s v="서비스"/>
    <s v="음식/조리"/>
    <s v="기타 프렌차이즈점"/>
    <s v="mediatoday.co.kr"/>
    <s v="신문/잡지(대)잡지(중)"/>
    <s v="경제"/>
    <s v="Dable"/>
    <s v="25"/>
    <s v="01"/>
    <s v="25.01.13"/>
    <s v="25.01.18"/>
    <n v="237"/>
  </r>
  <r>
    <s v="Dable"/>
    <s v="리서치애드"/>
    <s v="멕시카나"/>
    <x v="28"/>
    <s v="서비스"/>
    <s v="음식/조리"/>
    <s v="기타 프렌차이즈점"/>
    <s v="mediatoday.co.kr"/>
    <s v="신문/잡지(대)잡지(중)"/>
    <s v="TV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문화"/>
    <s v="Dable"/>
    <s v="25"/>
    <s v="01"/>
    <s v="25.01.13"/>
    <s v="25.01.19"/>
    <n v="116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문화"/>
    <s v="Dable"/>
    <s v="25"/>
    <s v="01"/>
    <s v="25.01.20"/>
    <s v="25.01.24"/>
    <n v="83"/>
  </r>
  <r>
    <s v="GDN"/>
    <s v="리서치애드"/>
    <s v="멕시카나"/>
    <x v="28"/>
    <s v="서비스"/>
    <s v="음식/조리"/>
    <s v="기타 프렌차이즈점"/>
    <s v="nocutnews.co.kr"/>
    <s v="신문/잡지(대)온라인뉴스(중)"/>
    <s v="문화"/>
    <s v="GDN"/>
    <s v="25"/>
    <s v="06"/>
    <s v="25.06.23"/>
    <s v="25.06.23"/>
    <n v="26"/>
  </r>
  <r>
    <s v="GDN"/>
    <s v="리서치애드"/>
    <s v="멕시카나"/>
    <x v="28"/>
    <s v="서비스"/>
    <s v="음식/조리"/>
    <s v="기타 프렌차이즈점"/>
    <s v="nocutnews.co.kr"/>
    <s v="신문/잡지(대)온라인뉴스(중)"/>
    <s v="전국"/>
    <s v="GDN"/>
    <s v="25"/>
    <s v="12"/>
    <s v="25.12.05"/>
    <s v="25.12.05"/>
    <n v="34"/>
  </r>
  <r>
    <s v="GDN"/>
    <s v="리서치애드"/>
    <s v="멕시카나"/>
    <x v="28"/>
    <s v="서비스"/>
    <s v="음식/조리"/>
    <s v="기타 프렌차이즈점"/>
    <s v="joseilbo.com"/>
    <s v="신문/잡지(대)온라인뉴스(중)"/>
    <s v="뉴스"/>
    <s v="GDN"/>
    <s v="25"/>
    <s v="06"/>
    <s v="25.06.13"/>
    <s v="25.06.13"/>
    <n v="62"/>
  </r>
  <r>
    <s v="GDN"/>
    <s v="리서치애드"/>
    <s v="멕시카나"/>
    <x v="28"/>
    <s v="서비스"/>
    <s v="음식/조리"/>
    <s v="기타 프렌차이즈점"/>
    <s v="diodeo.com"/>
    <s v="방송(대)방송기타(중)"/>
    <s v="메인"/>
    <s v="GDN"/>
    <s v="25"/>
    <s v="06"/>
    <s v="25.06.10"/>
    <s v="25.06.10"/>
    <n v="62"/>
  </r>
  <r>
    <s v="GDN"/>
    <s v="리서치애드"/>
    <s v="멕시카나"/>
    <x v="28"/>
    <s v="서비스"/>
    <s v="음식/조리"/>
    <s v="기타 프렌차이즈점"/>
    <s v="diodeo.com"/>
    <s v="방송(대)방송기타(중)"/>
    <s v="메인"/>
    <s v="GDN"/>
    <s v="25"/>
    <s v="07"/>
    <s v="25.07.10"/>
    <s v="25.07.12"/>
    <n v="186"/>
  </r>
  <r>
    <s v="GDN"/>
    <s v="리서치애드"/>
    <s v="멕시카나"/>
    <x v="28"/>
    <s v="서비스"/>
    <s v="음식/조리"/>
    <s v="기타 프렌차이즈점"/>
    <s v="diodeo.com"/>
    <s v="방송(대)방송기타(중)"/>
    <s v="메인"/>
    <s v="GDN"/>
    <s v="25"/>
    <s v="07"/>
    <s v="25.07.14"/>
    <s v="25.07.14"/>
    <n v="62"/>
  </r>
  <r>
    <s v="Dable"/>
    <s v="리서치애드"/>
    <s v="멕시카나"/>
    <x v="28"/>
    <s v="서비스"/>
    <s v="음식/조리"/>
    <s v="기타 프렌차이즈점"/>
    <s v="diodeo.com"/>
    <s v="방송(대)방송기타(중)"/>
    <s v="사회"/>
    <s v="Dable"/>
    <s v="25"/>
    <s v="01"/>
    <s v="25.01.14"/>
    <s v="25.01.19"/>
    <n v="237"/>
  </r>
  <r>
    <s v="Dable"/>
    <s v="리서치애드"/>
    <s v="멕시카나"/>
    <x v="28"/>
    <s v="서비스"/>
    <s v="음식/조리"/>
    <s v="기타 프렌차이즈점"/>
    <s v="diodeo.com"/>
    <s v="방송(대)방송기타(중)"/>
    <s v="정치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jjang0u.com"/>
    <s v="엔터테인먼트(대)엔터테인먼트 기타(중)"/>
    <s v="취미창작"/>
    <s v="GDN"/>
    <s v="25"/>
    <s v="06"/>
    <s v="25.06.23"/>
    <s v="25.06.23"/>
    <n v="62"/>
  </r>
  <r>
    <s v="GDN"/>
    <s v="리서치애드"/>
    <s v="멕시카나"/>
    <x v="28"/>
    <s v="서비스"/>
    <s v="음식/조리"/>
    <s v="기타 프렌차이즈점"/>
    <s v="mydaily.co.kr"/>
    <s v="신문/잡지(대)온라인뉴스(중)"/>
    <s v="게임"/>
    <s v="GDN"/>
    <s v="25"/>
    <s v="07"/>
    <s v="25.07.13"/>
    <s v="25.07.13"/>
    <n v="62"/>
  </r>
  <r>
    <s v="GDN"/>
    <s v="리서치애드"/>
    <s v="멕시카나"/>
    <x v="28"/>
    <s v="서비스"/>
    <s v="음식/조리"/>
    <s v="기타 프렌차이즈점"/>
    <s v="mydaily.co.kr"/>
    <s v="신문/잡지(대)온라인뉴스(중)"/>
    <s v="금융"/>
    <s v="GDN"/>
    <s v="25"/>
    <s v="07"/>
    <s v="25.07.28"/>
    <s v="25.07.30"/>
    <n v="186"/>
  </r>
  <r>
    <s v="GDN"/>
    <s v="리서치애드"/>
    <s v="멕시카나"/>
    <x v="28"/>
    <s v="서비스"/>
    <s v="음식/조리"/>
    <s v="기타 프렌차이즈점"/>
    <s v="mydaily.co.kr"/>
    <s v="신문/잡지(대)온라인뉴스(중)"/>
    <s v="산업경제"/>
    <s v="GDN"/>
    <s v="25"/>
    <s v="08"/>
    <s v="25.08.06"/>
    <s v="25.08.06"/>
    <n v="92"/>
  </r>
  <r>
    <s v="GDN"/>
    <s v="리서치애드"/>
    <s v="멕시카나"/>
    <x v="28"/>
    <s v="서비스"/>
    <s v="음식/조리"/>
    <s v="기타 프렌차이즈점"/>
    <s v="mydaily.co.kr"/>
    <s v="신문/잡지(대)온라인뉴스(중)"/>
    <s v="패션"/>
    <s v="GDN"/>
    <s v="25"/>
    <s v="06"/>
    <s v="25.06.25"/>
    <s v="25.06.25"/>
    <n v="62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경제"/>
    <s v="Dable"/>
    <s v="25"/>
    <s v="01"/>
    <s v="25.01.13"/>
    <s v="25.01.19"/>
    <n v="119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경제"/>
    <s v="Dable"/>
    <s v="25"/>
    <s v="01"/>
    <s v="25.01.20"/>
    <s v="25.01.24"/>
    <n v="85"/>
  </r>
  <r>
    <s v="GDN"/>
    <s v="리서치애드"/>
    <s v="멕시카나"/>
    <x v="28"/>
    <s v="서비스"/>
    <s v="음식/조리"/>
    <s v="기타 프렌차이즈점"/>
    <s v="newdaily.co.kr"/>
    <s v="신문/잡지(대)온라인뉴스(중)"/>
    <s v="연예"/>
    <s v="GDN"/>
    <s v="25"/>
    <s v="08"/>
    <s v="25.08.24"/>
    <s v="25.08.24"/>
    <n v="92"/>
  </r>
  <r>
    <s v="GDN"/>
    <s v="리서치애드"/>
    <s v="멕시카나"/>
    <x v="28"/>
    <s v="서비스"/>
    <s v="음식/조리"/>
    <s v="기타 프렌차이즈점"/>
    <s v="newdaily.co.kr"/>
    <s v="신문/잡지(대)온라인뉴스(중)"/>
    <s v="연예"/>
    <s v="GDN"/>
    <s v="25"/>
    <s v="08"/>
    <s v="25.08.28"/>
    <s v="25.08.28"/>
    <n v="92"/>
  </r>
  <r>
    <s v="GDN"/>
    <s v="리서치애드"/>
    <s v="멕시카나"/>
    <x v="28"/>
    <s v="서비스"/>
    <s v="음식/조리"/>
    <s v="기타 프렌차이즈점"/>
    <s v="newdaily.co.kr"/>
    <s v="신문/잡지(대)온라인뉴스(중)"/>
    <s v="연예"/>
    <s v="GDN"/>
    <s v="25"/>
    <s v="11"/>
    <s v="25.11.03"/>
    <s v="25.11.03"/>
    <n v="92"/>
  </r>
  <r>
    <s v="GDN"/>
    <s v="리서치애드"/>
    <s v="멕시카나"/>
    <x v="28"/>
    <s v="서비스"/>
    <s v="음식/조리"/>
    <s v="기타 프렌차이즈점"/>
    <s v="newdaily.co.kr"/>
    <s v="신문/잡지(대)온라인뉴스(중)"/>
    <s v="연예"/>
    <s v="GDN"/>
    <s v="25"/>
    <s v="12"/>
    <s v="25.12.05"/>
    <s v="25.12.05"/>
    <n v="81"/>
  </r>
  <r>
    <s v="GDN"/>
    <s v="리서치애드"/>
    <s v="멕시카나"/>
    <x v="28"/>
    <s v="서비스"/>
    <s v="음식/조리"/>
    <s v="기타 프렌차이즈점"/>
    <s v="newdaily.co.kr"/>
    <s v="신문/잡지(대)온라인뉴스(중)"/>
    <s v="연예"/>
    <s v="GDN"/>
    <s v="25"/>
    <s v="12"/>
    <s v="25.12.29"/>
    <s v="25.12.29"/>
    <n v="81"/>
  </r>
  <r>
    <s v="Dable"/>
    <s v="리서치애드"/>
    <s v="멕시카나"/>
    <x v="28"/>
    <s v="서비스"/>
    <s v="음식/조리"/>
    <s v="기타 프렌차이즈점"/>
    <s v="newdaily.co.kr"/>
    <s v="신문/잡지(대)온라인뉴스(중)"/>
    <s v="정치"/>
    <s v="Dable"/>
    <s v="25"/>
    <s v="01"/>
    <s v="25.01.20"/>
    <s v="25.01.23"/>
    <n v="158"/>
  </r>
  <r>
    <s v="GDN"/>
    <s v="리서치애드"/>
    <s v="멕시카나"/>
    <x v="28"/>
    <s v="서비스"/>
    <s v="음식/조리"/>
    <s v="기타 프렌차이즈점"/>
    <s v="kbench.com"/>
    <s v="생활정보(대)쇼핑/가격정보(중)"/>
    <s v="검색"/>
    <s v="GDN"/>
    <s v="25"/>
    <s v="07"/>
    <s v="25.07.08"/>
    <s v="25.07.08"/>
    <n v="62"/>
  </r>
  <r>
    <s v="GDN"/>
    <s v="리서치애드"/>
    <s v="멕시카나"/>
    <x v="28"/>
    <s v="서비스"/>
    <s v="음식/조리"/>
    <s v="기타 프렌차이즈점"/>
    <s v="kbench.com"/>
    <s v="생활정보(대)쇼핑/가격정보(중)"/>
    <s v="다운로드"/>
    <s v="GDN"/>
    <s v="25"/>
    <s v="07"/>
    <s v="25.07.22"/>
    <s v="25.07.24"/>
    <n v="186"/>
  </r>
  <r>
    <s v="GDN"/>
    <s v="리서치애드"/>
    <s v="멕시카나"/>
    <x v="28"/>
    <s v="서비스"/>
    <s v="음식/조리"/>
    <s v="기타 프렌차이즈점"/>
    <s v="kbench.com"/>
    <s v="생활정보(대)쇼핑/가격정보(중)"/>
    <s v="메인"/>
    <s v="GDN"/>
    <s v="25"/>
    <s v="06"/>
    <s v="25.06.23"/>
    <s v="25.06.23"/>
    <n v="62"/>
  </r>
  <r>
    <s v="GDN"/>
    <s v="리서치애드"/>
    <s v="멕시카나"/>
    <x v="28"/>
    <s v="서비스"/>
    <s v="음식/조리"/>
    <s v="기타 프렌차이즈점"/>
    <s v="kbench.com"/>
    <s v="생활정보(대)쇼핑/가격정보(중)"/>
    <s v="회사소개"/>
    <s v="GDN"/>
    <s v="25"/>
    <s v="07"/>
    <s v="25.07.30"/>
    <s v="25.07.30"/>
    <n v="62"/>
  </r>
  <r>
    <s v="GDN"/>
    <s v="리서치애드"/>
    <s v="멕시카나"/>
    <x v="28"/>
    <s v="서비스"/>
    <s v="음식/조리"/>
    <s v="기타 프렌차이즈점"/>
    <s v="kbench.com"/>
    <s v="생활정보(대)쇼핑/가격정보(중)"/>
    <s v="회사소개"/>
    <s v="GDN"/>
    <s v="25"/>
    <s v="08"/>
    <s v="25.08.27"/>
    <s v="25.08.27"/>
    <n v="92"/>
  </r>
  <r>
    <s v="SNS"/>
    <s v="리서치애드"/>
    <s v="멕시카나"/>
    <x v="28"/>
    <s v="서비스"/>
    <s v="음식/조리"/>
    <s v="기타 프렌차이즈점"/>
    <s v="facebook.com"/>
    <s v="커뮤니티(대)홈페이지(중)"/>
    <s v="동영상플레이어"/>
    <s v="-"/>
    <s v="25"/>
    <s v="05"/>
    <s v="25.05.14"/>
    <s v="25.05.14"/>
    <n v="62"/>
  </r>
  <r>
    <s v="SNS"/>
    <s v="리서치애드"/>
    <s v="멕시카나"/>
    <x v="28"/>
    <s v="서비스"/>
    <s v="음식/조리"/>
    <s v="기타 프렌차이즈점"/>
    <s v="facebook.com"/>
    <s v="커뮤니티(대)홈페이지(중)"/>
    <s v="동영상플레이어"/>
    <s v="-"/>
    <s v="25"/>
    <s v="06"/>
    <s v="25.06.18"/>
    <s v="25.06.18"/>
    <n v="62"/>
  </r>
  <r>
    <s v="SNS"/>
    <s v="리서치애드"/>
    <s v="멕시카나"/>
    <x v="28"/>
    <s v="서비스"/>
    <s v="음식/조리"/>
    <s v="기타 프렌차이즈점"/>
    <s v="facebook.com"/>
    <s v="커뮤니티(대)홈페이지(중)"/>
    <s v="커뮤니케이션 기타"/>
    <s v="-"/>
    <s v="25"/>
    <s v="07"/>
    <s v="25.07.10"/>
    <s v="25.07.10"/>
    <n v="62"/>
  </r>
  <r>
    <s v="SNS"/>
    <s v="리서치애드"/>
    <s v="멕시카나"/>
    <x v="28"/>
    <s v="서비스"/>
    <s v="음식/조리"/>
    <s v="기타 프렌차이즈점"/>
    <s v="facebook.com"/>
    <s v="커뮤니티(대)홈페이지(중)"/>
    <s v="커뮤니케이션 기타"/>
    <s v="-"/>
    <s v="25"/>
    <s v="09"/>
    <s v="25.09.29"/>
    <s v="25.09.29"/>
    <n v="62"/>
  </r>
  <r>
    <s v="SNS"/>
    <s v="리서치애드"/>
    <s v="멕시카나"/>
    <x v="28"/>
    <s v="서비스"/>
    <s v="음식/조리"/>
    <s v="기타 프렌차이즈점"/>
    <s v="facebook.com"/>
    <s v="커뮤니티(대)홈페이지(중)"/>
    <s v="커뮤니케이션 기타"/>
    <s v="-"/>
    <s v="25"/>
    <s v="09"/>
    <s v="25.09.13"/>
    <s v="25.09.13"/>
    <n v="1531"/>
  </r>
  <r>
    <s v="SNS"/>
    <s v="리서치애드"/>
    <s v="멕시카나"/>
    <x v="28"/>
    <s v="서비스"/>
    <s v="음식/조리"/>
    <s v="기타 프렌차이즈점"/>
    <s v="facebook.com"/>
    <s v="커뮤니티(대)홈페이지(중)"/>
    <s v="커뮤니케이션 기타"/>
    <s v="-"/>
    <s v="25"/>
    <s v="09"/>
    <s v="25.09.19"/>
    <s v="25.09.19"/>
    <n v="1531"/>
  </r>
  <r>
    <s v="SNS"/>
    <s v="리서치애드"/>
    <s v="멕시카나"/>
    <x v="28"/>
    <s v="서비스"/>
    <s v="음식/조리"/>
    <s v="기타 프렌차이즈점"/>
    <s v="facebook.com"/>
    <s v="커뮤니티(대)홈페이지(중)"/>
    <s v="커뮤니케이션 기타"/>
    <s v="-"/>
    <s v="25"/>
    <s v="10"/>
    <s v="25.10.26"/>
    <s v="25.10.26"/>
    <n v="1143"/>
  </r>
  <r>
    <s v="GDN"/>
    <s v="리서치애드"/>
    <s v="멕시카나"/>
    <x v="28"/>
    <s v="서비스"/>
    <s v="음식/조리"/>
    <s v="기타 프렌차이즈점"/>
    <s v="bloter.net"/>
    <s v="신문/잡지(대)IT관련 뉴스(중)"/>
    <s v="메인"/>
    <s v="GDN"/>
    <s v="25"/>
    <s v="06"/>
    <s v="25.06.11"/>
    <s v="25.06.11"/>
    <n v="62"/>
  </r>
  <r>
    <s v="GDN"/>
    <s v="리서치애드"/>
    <s v="멕시카나"/>
    <x v="28"/>
    <s v="서비스"/>
    <s v="음식/조리"/>
    <s v="기타 프렌차이즈점"/>
    <s v="bloter.net"/>
    <s v="신문/잡지(대)IT관련 뉴스(중)"/>
    <s v="산업"/>
    <s v="GDN"/>
    <s v="25"/>
    <s v="08"/>
    <s v="25.08.07"/>
    <s v="25.08.07"/>
    <n v="92"/>
  </r>
  <r>
    <s v="Dable"/>
    <s v="리서치애드"/>
    <s v="멕시카나"/>
    <x v="28"/>
    <s v="서비스"/>
    <s v="음식/조리"/>
    <s v="기타 프렌차이즈점"/>
    <s v="tf.co.kr"/>
    <s v="신문/잡지(대)스포츠신문(중)"/>
    <s v="비즈포커스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tf.co.kr"/>
    <s v="신문/잡지(대)스포츠신문(중)"/>
    <s v="정치"/>
    <s v="Dable"/>
    <s v="25"/>
    <s v="01"/>
    <s v="25.01.13"/>
    <s v="25.01.18"/>
    <n v="237"/>
  </r>
  <r>
    <s v="Dable"/>
    <s v="리서치애드"/>
    <s v="멕시카나"/>
    <x v="28"/>
    <s v="서비스"/>
    <s v="음식/조리"/>
    <s v="기타 프렌차이즈점"/>
    <s v="zum.com"/>
    <s v="포털(대)포털(중)"/>
    <s v="뉴스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zum.com"/>
    <s v="포털(대)포털(중)"/>
    <s v="뉴스"/>
    <s v="GDN"/>
    <s v="25"/>
    <s v="08"/>
    <s v="25.08.19"/>
    <s v="25.08.20"/>
    <n v="183"/>
  </r>
  <r>
    <s v="Dable"/>
    <s v="리서치애드"/>
    <s v="멕시카나"/>
    <x v="28"/>
    <s v="서비스"/>
    <s v="음식/조리"/>
    <s v="기타 프렌차이즈점"/>
    <s v="zum.com"/>
    <s v="포털(대)포털(중)"/>
    <s v="동영상플레이어"/>
    <s v="Dable"/>
    <s v="25"/>
    <s v="01"/>
    <s v="25.01.13"/>
    <s v="25.01.19"/>
    <n v="276"/>
  </r>
  <r>
    <s v="GDN"/>
    <s v="리서치애드"/>
    <s v="멕시카나"/>
    <x v="28"/>
    <s v="서비스"/>
    <s v="음식/조리"/>
    <s v="기타 프렌차이즈점"/>
    <s v="zum.com"/>
    <s v="포털(대)포털(중)"/>
    <s v="동영상플레이어"/>
    <s v="GDN"/>
    <s v="25"/>
    <s v="07"/>
    <s v="25.07.01"/>
    <s v="25.07.06"/>
    <n v="372"/>
  </r>
  <r>
    <s v="GDN"/>
    <s v="리서치애드"/>
    <s v="멕시카나"/>
    <x v="28"/>
    <s v="서비스"/>
    <s v="음식/조리"/>
    <s v="기타 프렌차이즈점"/>
    <s v="zum.com"/>
    <s v="포털(대)포털(중)"/>
    <s v="동영상플레이어"/>
    <s v="GDN"/>
    <s v="25"/>
    <s v="07"/>
    <s v="25.07.08"/>
    <s v="25.07.13"/>
    <n v="372"/>
  </r>
  <r>
    <s v="GDN"/>
    <s v="리서치애드"/>
    <s v="멕시카나"/>
    <x v="28"/>
    <s v="서비스"/>
    <s v="음식/조리"/>
    <s v="기타 프렌차이즈점"/>
    <s v="zum.com"/>
    <s v="포털(대)포털(중)"/>
    <s v="동영상플레이어"/>
    <s v="GDN"/>
    <s v="25"/>
    <s v="07"/>
    <s v="25.07.14"/>
    <s v="25.07.20"/>
    <n v="434"/>
  </r>
  <r>
    <s v="GDN"/>
    <s v="리서치애드"/>
    <s v="멕시카나"/>
    <x v="28"/>
    <s v="서비스"/>
    <s v="음식/조리"/>
    <s v="기타 프렌차이즈점"/>
    <s v="zum.com"/>
    <s v="포털(대)포털(중)"/>
    <s v="동영상플레이어"/>
    <s v="GDN"/>
    <s v="25"/>
    <s v="07"/>
    <s v="25.07.21"/>
    <s v="25.07.27"/>
    <n v="434"/>
  </r>
  <r>
    <s v="GDN"/>
    <s v="리서치애드"/>
    <s v="멕시카나"/>
    <x v="28"/>
    <s v="서비스"/>
    <s v="음식/조리"/>
    <s v="기타 프렌차이즈점"/>
    <s v="zum.com"/>
    <s v="포털(대)포털(중)"/>
    <s v="메인"/>
    <s v="GDN"/>
    <s v="25"/>
    <s v="09"/>
    <s v="25.09.02"/>
    <s v="25.09.02"/>
    <n v="92"/>
  </r>
  <r>
    <s v="Dable"/>
    <s v="리서치애드"/>
    <s v="멕시카나"/>
    <x v="28"/>
    <s v="서비스"/>
    <s v="음식/조리"/>
    <s v="기타 프렌차이즈점"/>
    <s v="thisisgame.com"/>
    <s v="엔터테인먼트(대)게임(중)"/>
    <s v="뉴스센터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thisisgame.com"/>
    <s v="엔터테인먼트(대)게임(중)"/>
    <s v="연재/카툰"/>
    <s v="Dable"/>
    <s v="25"/>
    <s v="01"/>
    <s v="25.01.20"/>
    <s v="25.01.20"/>
    <n v="40"/>
  </r>
  <r>
    <s v="GDN"/>
    <s v="리서치애드"/>
    <s v="멕시카나"/>
    <x v="28"/>
    <s v="서비스"/>
    <s v="음식/조리"/>
    <s v="기타 프렌차이즈점"/>
    <s v="etoday.co.kr"/>
    <s v="신문/잡지(대)온라인뉴스(중)"/>
    <s v="뉴스발전소"/>
    <s v="GDN"/>
    <s v="25"/>
    <s v="07"/>
    <s v="25.07.20"/>
    <s v="25.07.20"/>
    <n v="62"/>
  </r>
  <r>
    <s v="GDN"/>
    <s v="리서치애드"/>
    <s v="멕시카나"/>
    <x v="28"/>
    <s v="서비스"/>
    <s v="음식/조리"/>
    <s v="기타 프렌차이즈점"/>
    <s v="etoday.co.kr"/>
    <s v="신문/잡지(대)온라인뉴스(중)"/>
    <s v="자동차"/>
    <s v="GDN"/>
    <s v="25"/>
    <s v="07"/>
    <s v="25.07.21"/>
    <s v="25.07.21"/>
    <n v="62"/>
  </r>
  <r>
    <s v="GDN"/>
    <s v="리서치애드"/>
    <s v="멕시카나"/>
    <x v="28"/>
    <s v="서비스"/>
    <s v="음식/조리"/>
    <s v="기타 프렌차이즈점"/>
    <s v="etoday.co.kr"/>
    <s v="신문/잡지(대)온라인뉴스(중)"/>
    <s v="증권/금융"/>
    <s v="GDN"/>
    <s v="25"/>
    <s v="06"/>
    <s v="25.06.25"/>
    <s v="25.06.25"/>
    <n v="62"/>
  </r>
  <r>
    <s v="Dable"/>
    <s v="리서치애드"/>
    <s v="멕시카나"/>
    <x v="28"/>
    <s v="서비스"/>
    <s v="음식/조리"/>
    <s v="기타 프렌차이즈점"/>
    <s v="ichannela.com"/>
    <s v="방송(대)방송기타(중)"/>
    <s v="경제"/>
    <s v="Dable"/>
    <s v="25"/>
    <s v="01"/>
    <s v="25.01.20"/>
    <s v="25.01.24"/>
    <n v="198"/>
  </r>
  <r>
    <s v="Dable"/>
    <s v="리서치애드"/>
    <s v="멕시카나"/>
    <x v="28"/>
    <s v="서비스"/>
    <s v="음식/조리"/>
    <s v="기타 프렌차이즈점"/>
    <s v="ichannela.com"/>
    <s v="방송(대)방송기타(중)"/>
    <s v="동영상플레이어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tvchosun.com"/>
    <s v="방송(대)방송기타(중)"/>
    <s v="뉴스"/>
    <s v="Dable"/>
    <s v="25"/>
    <s v="01"/>
    <s v="25.01.13"/>
    <s v="25.01.19"/>
    <n v="276"/>
  </r>
  <r>
    <s v="Dable"/>
    <s v="리서치애드"/>
    <s v="멕시카나"/>
    <x v="28"/>
    <s v="서비스"/>
    <s v="음식/조리"/>
    <s v="기타 프렌차이즈점"/>
    <s v="tvchosun.com"/>
    <s v="방송(대)방송기타(중)"/>
    <s v="뉴스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tvchosun.com"/>
    <s v="방송(대)방송기타(중)"/>
    <s v="뉴스"/>
    <s v="GDN"/>
    <s v="25"/>
    <s v="06"/>
    <s v="25.06.13"/>
    <s v="25.06.13"/>
    <n v="62"/>
  </r>
  <r>
    <s v="GDN"/>
    <s v="리서치애드"/>
    <s v="멕시카나"/>
    <x v="28"/>
    <s v="서비스"/>
    <s v="음식/조리"/>
    <s v="기타 프렌차이즈점"/>
    <s v="tvchosun.com"/>
    <s v="방송(대)방송기타(중)"/>
    <s v="동영상플레이어"/>
    <s v="GDN"/>
    <s v="25"/>
    <s v="06"/>
    <s v="25.06.25"/>
    <s v="25.06.25"/>
    <n v="62"/>
  </r>
  <r>
    <s v="GDN"/>
    <s v="리서치애드"/>
    <s v="멕시카나"/>
    <x v="28"/>
    <s v="서비스"/>
    <s v="음식/조리"/>
    <s v="기타 프렌차이즈점"/>
    <s v="isplus.com"/>
    <s v="신문/잡지(대)스포츠신문(중)"/>
    <s v="경제"/>
    <s v="GDN"/>
    <s v="25"/>
    <s v="06"/>
    <s v="25.06.14"/>
    <s v="25.06.14"/>
    <n v="62"/>
  </r>
  <r>
    <s v="GDN"/>
    <s v="리서치애드"/>
    <s v="멕시카나"/>
    <x v="28"/>
    <s v="서비스"/>
    <s v="음식/조리"/>
    <s v="기타 프렌차이즈점"/>
    <s v="isplus.com"/>
    <s v="신문/잡지(대)스포츠신문(중)"/>
    <s v="경제"/>
    <s v="GDN"/>
    <s v="25"/>
    <s v="07"/>
    <s v="25.07.17"/>
    <s v="25.07.19"/>
    <n v="186"/>
  </r>
  <r>
    <s v="GDN"/>
    <s v="리서치애드"/>
    <s v="멕시카나"/>
    <x v="28"/>
    <s v="서비스"/>
    <s v="음식/조리"/>
    <s v="기타 프렌차이즈점"/>
    <s v="isplus.com"/>
    <s v="신문/잡지(대)스포츠신문(중)"/>
    <s v="경제"/>
    <s v="GDN"/>
    <s v="25"/>
    <s v="07"/>
    <s v="25.07.22"/>
    <s v="25.07.22"/>
    <n v="62"/>
  </r>
  <r>
    <s v="Dable"/>
    <s v="리서치애드"/>
    <s v="멕시카나"/>
    <x v="28"/>
    <s v="서비스"/>
    <s v="음식/조리"/>
    <s v="기타 프렌차이즈점"/>
    <s v="isplus.com"/>
    <s v="신문/잡지(대)스포츠신문(중)"/>
    <s v="부동산"/>
    <s v="Dable"/>
    <s v="25"/>
    <s v="01"/>
    <s v="25.01.20"/>
    <s v="25.01.23"/>
    <n v="158"/>
  </r>
  <r>
    <s v="Dable"/>
    <s v="리서치애드"/>
    <s v="멕시카나"/>
    <x v="28"/>
    <s v="서비스"/>
    <s v="음식/조리"/>
    <s v="기타 프렌차이즈점"/>
    <s v="isplus.com"/>
    <s v="신문/잡지(대)스포츠신문(중)"/>
    <s v="오피니언"/>
    <s v="Dable"/>
    <s v="25"/>
    <s v="01"/>
    <s v="25.01.13"/>
    <s v="25.01.19"/>
    <n v="276"/>
  </r>
  <r>
    <s v="GDN"/>
    <s v="리서치애드"/>
    <s v="멕시카나"/>
    <x v="28"/>
    <s v="서비스"/>
    <s v="음식/조리"/>
    <s v="기타 프렌차이즈점"/>
    <s v="joongang.co.kr"/>
    <s v="신문/잡지(대)종합일간지(중)"/>
    <s v="경제"/>
    <s v="GDN"/>
    <s v="25"/>
    <s v="08"/>
    <s v="25.08.28"/>
    <s v="25.08.28"/>
    <n v="92"/>
  </r>
  <r>
    <s v="GDN"/>
    <s v="리서치애드"/>
    <s v="멕시카나"/>
    <x v="28"/>
    <s v="서비스"/>
    <s v="음식/조리"/>
    <s v="기타 프렌차이즈점"/>
    <s v="joongang.co.kr"/>
    <s v="신문/잡지(대)종합일간지(중)"/>
    <s v="부동산"/>
    <s v="GDN"/>
    <s v="25"/>
    <s v="07"/>
    <s v="25.07.20"/>
    <s v="25.07.20"/>
    <n v="62"/>
  </r>
  <r>
    <s v="GDN"/>
    <s v="리서치애드"/>
    <s v="멕시카나"/>
    <x v="28"/>
    <s v="서비스"/>
    <s v="음식/조리"/>
    <s v="기타 프렌차이즈점"/>
    <s v="joongang.co.kr"/>
    <s v="신문/잡지(대)종합일간지(중)"/>
    <s v="부동산"/>
    <s v="GDN"/>
    <s v="25"/>
    <s v="07"/>
    <s v="25.07.28"/>
    <s v="25.07.28"/>
    <n v="62"/>
  </r>
  <r>
    <s v="GDN"/>
    <s v="리서치애드"/>
    <s v="멕시카나"/>
    <x v="28"/>
    <s v="서비스"/>
    <s v="음식/조리"/>
    <s v="기타 프렌차이즈점"/>
    <s v="joongang.co.kr"/>
    <s v="신문/잡지(대)종합일간지(중)"/>
    <s v="정치"/>
    <s v="GDN"/>
    <s v="25"/>
    <s v="06"/>
    <s v="25.06.25"/>
    <s v="25.06.25"/>
    <n v="62"/>
  </r>
  <r>
    <s v="Dable"/>
    <s v="리서치애드"/>
    <s v="멕시카나"/>
    <x v="28"/>
    <s v="서비스"/>
    <s v="음식/조리"/>
    <s v="기타 프렌차이즈점"/>
    <s v="joongang.co.kr"/>
    <s v="신문/잡지(대)종합일간지(중)"/>
    <s v="중앙선데이"/>
    <s v="Dable"/>
    <s v="25"/>
    <s v="01"/>
    <s v="25.01.14"/>
    <s v="25.01.19"/>
    <n v="237"/>
  </r>
  <r>
    <s v="Dable"/>
    <s v="리서치애드"/>
    <s v="멕시카나"/>
    <x v="28"/>
    <s v="서비스"/>
    <s v="음식/조리"/>
    <s v="기타 프렌차이즈점"/>
    <s v="joongang.co.kr"/>
    <s v="신문/잡지(대)종합일간지(중)"/>
    <s v="중앙선데이"/>
    <s v="Dable"/>
    <s v="25"/>
    <s v="01"/>
    <s v="25.01.20"/>
    <s v="25.01.24"/>
    <n v="198"/>
  </r>
  <r>
    <s v="GDN"/>
    <s v="리서치애드"/>
    <s v="멕시카나"/>
    <x v="28"/>
    <s v="서비스"/>
    <s v="음식/조리"/>
    <s v="기타 프렌차이즈점"/>
    <s v="joongang.co.kr"/>
    <s v="신문/잡지(대)종합일간지(중)"/>
    <s v="중앙선데이"/>
    <s v="GDN"/>
    <s v="25"/>
    <s v="07"/>
    <s v="25.07.22"/>
    <s v="25.07.25"/>
    <n v="248"/>
  </r>
  <r>
    <s v="GDN"/>
    <s v="리서치애드"/>
    <s v="멕시카나"/>
    <x v="28"/>
    <s v="서비스"/>
    <s v="음식/조리"/>
    <s v="기타 프렌차이즈점"/>
    <s v="joongang.co.kr"/>
    <s v="신문/잡지(대)종합일간지(중)"/>
    <s v="피플"/>
    <s v="GDN"/>
    <s v="25"/>
    <s v="06"/>
    <s v="25.06.13"/>
    <s v="25.06.13"/>
    <n v="62"/>
  </r>
  <r>
    <s v="GDN"/>
    <s v="리서치애드"/>
    <s v="멕시카나"/>
    <x v="28"/>
    <s v="서비스"/>
    <s v="음식/조리"/>
    <s v="기타 프렌차이즈점"/>
    <s v="jtbc.co.kr"/>
    <s v="방송(대)방송기타(중)"/>
    <s v="뉴스"/>
    <s v="GDN"/>
    <s v="25"/>
    <s v="07"/>
    <s v="25.07.10"/>
    <s v="25.07.13"/>
    <n v="248"/>
  </r>
  <r>
    <s v="GDN"/>
    <s v="리서치애드"/>
    <s v="멕시카나"/>
    <x v="28"/>
    <s v="서비스"/>
    <s v="음식/조리"/>
    <s v="기타 프렌차이즈점"/>
    <s v="jtbc.co.kr"/>
    <s v="방송(대)방송기타(중)"/>
    <s v="뉴스"/>
    <s v="GDN"/>
    <s v="25"/>
    <s v="07"/>
    <s v="25.07.14"/>
    <s v="25.07.17"/>
    <n v="248"/>
  </r>
  <r>
    <s v="GDN"/>
    <s v="리서치애드"/>
    <s v="멕시카나"/>
    <x v="28"/>
    <s v="서비스"/>
    <s v="음식/조리"/>
    <s v="기타 프렌차이즈점"/>
    <s v="jtbc.co.kr"/>
    <s v="방송(대)방송기타(중)"/>
    <s v="동영상플레이어"/>
    <s v="GDN"/>
    <s v="25"/>
    <s v="06"/>
    <s v="25.06.17"/>
    <s v="25.06.17"/>
    <n v="62"/>
  </r>
  <r>
    <s v="GDN"/>
    <s v="리서치애드"/>
    <s v="멕시카나"/>
    <x v="28"/>
    <s v="서비스"/>
    <s v="음식/조리"/>
    <s v="기타 프렌차이즈점"/>
    <s v="jtbc.co.kr"/>
    <s v="방송(대)방송기타(중)"/>
    <s v="동영상플레이어"/>
    <s v="GDN"/>
    <s v="25"/>
    <s v="06"/>
    <s v="25.06.25"/>
    <s v="25.06.25"/>
    <n v="62"/>
  </r>
  <r>
    <s v="GDN"/>
    <s v="리서치애드"/>
    <s v="멕시카나"/>
    <x v="28"/>
    <s v="서비스"/>
    <s v="음식/조리"/>
    <s v="기타 프렌차이즈점"/>
    <s v="jtbc.co.kr"/>
    <s v="방송(대)방송기타(중)"/>
    <s v="동영상플레이어"/>
    <s v="GDN"/>
    <s v="25"/>
    <s v="07"/>
    <s v="25.07.03"/>
    <s v="25.07.03"/>
    <n v="62"/>
  </r>
  <r>
    <s v="GDN"/>
    <s v="리서치애드"/>
    <s v="멕시카나"/>
    <x v="28"/>
    <s v="서비스"/>
    <s v="음식/조리"/>
    <s v="기타 프렌차이즈점"/>
    <s v="jtbc.co.kr"/>
    <s v="방송(대)방송기타(중)"/>
    <s v="동영상플레이어"/>
    <s v="GDN"/>
    <s v="25"/>
    <s v="07"/>
    <s v="25.07.26"/>
    <s v="25.07.26"/>
    <n v="62"/>
  </r>
  <r>
    <s v="GDN"/>
    <s v="리서치애드"/>
    <s v="멕시카나"/>
    <x v="28"/>
    <s v="서비스"/>
    <s v="음식/조리"/>
    <s v="기타 프렌차이즈점"/>
    <s v="jtbc.co.kr"/>
    <s v="방송(대)방송기타(중)"/>
    <s v="동영상플레이어"/>
    <s v="GDN"/>
    <s v="25"/>
    <s v="08"/>
    <s v="25.08.05"/>
    <s v="25.08.05"/>
    <n v="92"/>
  </r>
  <r>
    <s v="GDN"/>
    <s v="리서치애드"/>
    <s v="멕시카나"/>
    <x v="28"/>
    <s v="서비스"/>
    <s v="음식/조리"/>
    <s v="기타 프렌차이즈점"/>
    <s v="jtbc.co.kr"/>
    <s v="방송(대)방송기타(중)"/>
    <s v="동영상플레이어"/>
    <s v="GDN"/>
    <s v="25"/>
    <s v="08"/>
    <s v="25.08.26"/>
    <s v="25.08.28"/>
    <n v="275"/>
  </r>
  <r>
    <s v="GDN"/>
    <s v="리서치애드"/>
    <s v="한국일오삼농산"/>
    <x v="29"/>
    <s v="서비스"/>
    <s v="음식/조리"/>
    <s v="기타 프렌차이즈점"/>
    <s v="dreamwiz.com"/>
    <s v="포털(대)포털(중)"/>
    <s v="뉴스"/>
    <s v="GDN"/>
    <s v="25"/>
    <s v="04"/>
    <s v="25.04.03"/>
    <s v="25.04.03"/>
    <n v="62"/>
  </r>
  <r>
    <s v="GDN"/>
    <s v="리서치애드"/>
    <s v="한국일오삼농산"/>
    <x v="29"/>
    <s v="서비스"/>
    <s v="음식/조리"/>
    <s v="기타 프렌차이즈점"/>
    <s v="dreamwiz.com"/>
    <s v="포털(대)포털(중)"/>
    <s v="뉴스"/>
    <s v="GDN"/>
    <s v="25"/>
    <s v="04"/>
    <s v="25.04.19"/>
    <s v="25.04.19"/>
    <n v="62"/>
  </r>
  <r>
    <s v="GDN"/>
    <s v="리서치애드"/>
    <s v="한국일오삼농산"/>
    <x v="29"/>
    <s v="서비스"/>
    <s v="음식/조리"/>
    <s v="기타 프렌차이즈점"/>
    <s v="chosun.com"/>
    <s v="신문/잡지(대)종합일간지(중)"/>
    <s v="뉴스"/>
    <s v="GDN"/>
    <s v="25"/>
    <s v="09"/>
    <s v="25.09.13"/>
    <s v="25.09.13"/>
    <n v="92"/>
  </r>
  <r>
    <s v="GDN"/>
    <s v="리서치애드"/>
    <s v="한국일오삼농산"/>
    <x v="29"/>
    <s v="서비스"/>
    <s v="음식/조리"/>
    <s v="기타 프렌차이즈점"/>
    <s v="chosun.com"/>
    <s v="신문/잡지(대)종합일간지(중)"/>
    <s v="스포츠조선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sbs.co.kr"/>
    <s v="방송(대)방송국(중)"/>
    <s v="뉴스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sbs.co.kr"/>
    <s v="방송(대)방송국(중)"/>
    <s v="뉴스"/>
    <s v="GDN"/>
    <s v="25"/>
    <s v="05"/>
    <s v="25.05.27"/>
    <s v="25.05.30"/>
    <n v="248"/>
  </r>
  <r>
    <s v="GDN"/>
    <s v="리서치애드"/>
    <s v="한국일오삼농산"/>
    <x v="29"/>
    <s v="서비스"/>
    <s v="음식/조리"/>
    <s v="기타 프렌차이즈점"/>
    <s v="sbs.co.kr"/>
    <s v="방송(대)방송국(중)"/>
    <s v="동영상플레이어"/>
    <s v="GDN"/>
    <s v="25"/>
    <s v="02"/>
    <s v="25.02.14"/>
    <s v="25.02.16"/>
    <n v="156"/>
  </r>
  <r>
    <s v="GDN"/>
    <s v="리서치애드"/>
    <s v="한국일오삼농산"/>
    <x v="29"/>
    <s v="서비스"/>
    <s v="음식/조리"/>
    <s v="기타 프렌차이즈점"/>
    <s v="sbs.co.kr"/>
    <s v="방송(대)방송국(중)"/>
    <s v="메인"/>
    <s v="GDN"/>
    <s v="25"/>
    <s v="03"/>
    <s v="25.03.17"/>
    <s v="25.03.19"/>
    <n v="156"/>
  </r>
  <r>
    <s v="GDN"/>
    <s v="리서치애드"/>
    <s v="한국일오삼농산"/>
    <x v="29"/>
    <s v="서비스"/>
    <s v="음식/조리"/>
    <s v="기타 프렌차이즈점"/>
    <s v="sbs.co.kr"/>
    <s v="방송(대)방송국(중)"/>
    <s v="메인"/>
    <s v="GDN"/>
    <s v="25"/>
    <s v="07"/>
    <s v="25.07.23"/>
    <s v="25.07.27"/>
    <n v="310"/>
  </r>
  <r>
    <s v="GDN"/>
    <s v="리서치애드"/>
    <s v="한국일오삼농산"/>
    <x v="29"/>
    <s v="서비스"/>
    <s v="음식/조리"/>
    <s v="기타 프렌차이즈점"/>
    <s v="sbs.co.kr"/>
    <s v="방송(대)방송국(중)"/>
    <s v="메인"/>
    <s v="GDN"/>
    <s v="25"/>
    <s v="07"/>
    <s v="25.07.28"/>
    <s v="25.07.28"/>
    <n v="62"/>
  </r>
  <r>
    <s v="GDN"/>
    <s v="리서치애드"/>
    <s v="한국일오삼농산"/>
    <x v="29"/>
    <s v="서비스"/>
    <s v="음식/조리"/>
    <s v="기타 프렌차이즈점"/>
    <s v="sportsseoul.com"/>
    <s v="신문/잡지(대)스포츠신문(중)"/>
    <s v="메인"/>
    <s v="GDN"/>
    <s v="25"/>
    <s v="02"/>
    <s v="25.02.09"/>
    <s v="25.02.09"/>
    <n v="52"/>
  </r>
  <r>
    <s v="GDN"/>
    <s v="리서치애드"/>
    <s v="한국일오삼농산"/>
    <x v="29"/>
    <s v="서비스"/>
    <s v="음식/조리"/>
    <s v="기타 프렌차이즈점"/>
    <s v="sportsseoul.com"/>
    <s v="신문/잡지(대)스포츠신문(중)"/>
    <s v="메인"/>
    <s v="GDN"/>
    <s v="25"/>
    <s v="02"/>
    <s v="25.02.13"/>
    <s v="25.02.14"/>
    <n v="104"/>
  </r>
  <r>
    <s v="GDN"/>
    <s v="리서치애드"/>
    <s v="한국일오삼농산"/>
    <x v="29"/>
    <s v="서비스"/>
    <s v="음식/조리"/>
    <s v="기타 프렌차이즈점"/>
    <s v="stoo.com"/>
    <s v="신문/잡지(대)스포츠신문(중)"/>
    <s v="라이프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donga.com"/>
    <s v="신문/잡지(대)종합일간지(중)"/>
    <s v="연예"/>
    <s v="GDN"/>
    <s v="25"/>
    <s v="02"/>
    <s v="25.02.15"/>
    <s v="25.02.15"/>
    <n v="52"/>
  </r>
  <r>
    <s v="GDN"/>
    <s v="리서치애드"/>
    <s v="한국일오삼농산"/>
    <x v="29"/>
    <s v="서비스"/>
    <s v="음식/조리"/>
    <s v="기타 프렌차이즈점"/>
    <s v="gajai.com"/>
    <s v="검색/저장(대)검색/저장 기타(중)"/>
    <s v="메인"/>
    <s v="GDN"/>
    <s v="25"/>
    <s v="04"/>
    <s v="25.04.25"/>
    <s v="25.04.25"/>
    <n v="62"/>
  </r>
  <r>
    <s v="GDN"/>
    <s v="리서치애드"/>
    <s v="한국일오삼농산"/>
    <x v="29"/>
    <s v="서비스"/>
    <s v="음식/조리"/>
    <s v="기타 프렌차이즈점"/>
    <s v="hani.co.kr"/>
    <s v="신문/잡지(대)종합일간지(중)"/>
    <s v="정치"/>
    <s v="GDN"/>
    <s v="25"/>
    <s v="02"/>
    <s v="25.02.15"/>
    <s v="25.02.15"/>
    <n v="52"/>
  </r>
  <r>
    <s v="GDN"/>
    <s v="리서치애드"/>
    <s v="한국일오삼농산"/>
    <x v="29"/>
    <s v="서비스"/>
    <s v="음식/조리"/>
    <s v="기타 프렌차이즈점"/>
    <s v="hani.co.kr"/>
    <s v="신문/잡지(대)종합일간지(중)"/>
    <s v="한겨레21"/>
    <s v="GDN"/>
    <s v="25"/>
    <s v="12"/>
    <s v="25.12.26"/>
    <s v="25.12.26"/>
    <n v="81"/>
  </r>
  <r>
    <s v="GDN"/>
    <s v="리서치애드"/>
    <s v="한국일오삼농산"/>
    <x v="29"/>
    <s v="서비스"/>
    <s v="음식/조리"/>
    <s v="기타 프렌차이즈점"/>
    <s v="maxmovie.com"/>
    <s v="엔터테인먼트(대)영화/공연(중)"/>
    <s v="시리즈"/>
    <s v="GDN"/>
    <s v="25"/>
    <s v="09"/>
    <s v="25.09.12"/>
    <s v="25.09.13"/>
    <n v="183"/>
  </r>
  <r>
    <s v="GDN"/>
    <s v="리서치애드"/>
    <s v="한국일오삼농산"/>
    <x v="29"/>
    <s v="서비스"/>
    <s v="음식/조리"/>
    <s v="기타 프렌차이즈점"/>
    <s v="maxmovie.com"/>
    <s v="엔터테인먼트(대)영화/공연(중)"/>
    <s v="시리즈"/>
    <s v="GDN"/>
    <s v="25"/>
    <s v="12"/>
    <s v="25.12.14"/>
    <s v="25.12.14"/>
    <n v="81"/>
  </r>
  <r>
    <s v="GDN"/>
    <s v="리서치애드"/>
    <s v="한국일오삼농산"/>
    <x v="29"/>
    <s v="서비스"/>
    <s v="음식/조리"/>
    <s v="기타 프렌차이즈점"/>
    <s v="maxmovie.com"/>
    <s v="엔터테인먼트(대)영화/공연(중)"/>
    <s v="인터뷰"/>
    <s v="GDN"/>
    <s v="25"/>
    <s v="11"/>
    <s v="25.11.20"/>
    <s v="25.11.20"/>
    <n v="92"/>
  </r>
  <r>
    <s v="GDN"/>
    <s v="리서치애드"/>
    <s v="한국일오삼농산"/>
    <x v="29"/>
    <s v="서비스"/>
    <s v="음식/조리"/>
    <s v="기타 프렌차이즈점"/>
    <s v="ohmynews.com"/>
    <s v="신문/잡지(대)온라인뉴스(중)"/>
    <s v="오마이스타"/>
    <s v="GDN"/>
    <s v="25"/>
    <s v="12"/>
    <s v="25.12.14"/>
    <s v="25.12.14"/>
    <n v="81"/>
  </r>
  <r>
    <s v="GDN"/>
    <s v="리서치애드"/>
    <s v="한국일오삼농산"/>
    <x v="29"/>
    <s v="서비스"/>
    <s v="음식/조리"/>
    <s v="기타 프렌차이즈점"/>
    <s v="ohmynews.com"/>
    <s v="신문/잡지(대)온라인뉴스(중)"/>
    <s v="오마이스타"/>
    <s v="GDN"/>
    <s v="25"/>
    <s v="12"/>
    <s v="25.12.25"/>
    <s v="25.12.26"/>
    <n v="162"/>
  </r>
  <r>
    <s v="GDN"/>
    <s v="리서치애드"/>
    <s v="한국일오삼농산"/>
    <x v="29"/>
    <s v="서비스"/>
    <s v="음식/조리"/>
    <s v="기타 프렌차이즈점"/>
    <s v="mk.co.kr"/>
    <s v="신문/잡지(대)경제신문(중)"/>
    <s v="게임"/>
    <s v="GDN"/>
    <s v="25"/>
    <s v="02"/>
    <s v="25.02.12"/>
    <s v="25.02.12"/>
    <n v="52"/>
  </r>
  <r>
    <s v="GDN"/>
    <s v="리서치애드"/>
    <s v="한국일오삼농산"/>
    <x v="29"/>
    <s v="서비스"/>
    <s v="음식/조리"/>
    <s v="기타 프렌차이즈점"/>
    <s v="mk.co.kr"/>
    <s v="신문/잡지(대)경제신문(중)"/>
    <s v="증권"/>
    <s v="GDN"/>
    <s v="25"/>
    <s v="02"/>
    <s v="25.02.09"/>
    <s v="25.02.09"/>
    <n v="52"/>
  </r>
  <r>
    <s v="GDN"/>
    <s v="리서치애드"/>
    <s v="한국일오삼농산"/>
    <x v="29"/>
    <s v="서비스"/>
    <s v="음식/조리"/>
    <s v="기타 프렌차이즈점"/>
    <s v="dcinside.com"/>
    <s v="생활정보(대)쇼핑/가격정보(중)"/>
    <s v="뉴스"/>
    <s v="GDN"/>
    <s v="25"/>
    <s v="02"/>
    <s v="25.02.08"/>
    <s v="25.02.08"/>
    <n v="18"/>
  </r>
  <r>
    <s v="GDN"/>
    <s v="리서치애드"/>
    <s v="한국일오삼농산"/>
    <x v="29"/>
    <s v="서비스"/>
    <s v="음식/조리"/>
    <s v="기타 프렌차이즈점"/>
    <s v="yna.co.kr"/>
    <s v="신문/잡지(대)온라인뉴스(중)"/>
    <s v="검색"/>
    <s v="GDN"/>
    <s v="25"/>
    <s v="05"/>
    <s v="25.05.19"/>
    <s v="25.05.19"/>
    <n v="62"/>
  </r>
  <r>
    <s v="GDN"/>
    <s v="리서치애드"/>
    <s v="한국일오삼농산"/>
    <x v="29"/>
    <s v="서비스"/>
    <s v="음식/조리"/>
    <s v="기타 프렌차이즈점"/>
    <s v="khan.co.kr"/>
    <s v="신문/잡지(대)종합일간지(중)"/>
    <s v="레이디경향"/>
    <s v="GDN"/>
    <s v="25"/>
    <s v="12"/>
    <s v="25.12.28"/>
    <s v="25.12.28"/>
    <n v="81"/>
  </r>
  <r>
    <s v="GDN"/>
    <s v="리서치애드"/>
    <s v="한국일오삼농산"/>
    <x v="29"/>
    <s v="서비스"/>
    <s v="음식/조리"/>
    <s v="기타 프렌차이즈점"/>
    <s v="khan.co.kr"/>
    <s v="신문/잡지(대)종합일간지(중)"/>
    <s v="정치"/>
    <s v="GDN"/>
    <s v="25"/>
    <s v="02"/>
    <s v="25.02.15"/>
    <s v="25.02.16"/>
    <n v="104"/>
  </r>
  <r>
    <s v="GDN"/>
    <s v="리서치애드"/>
    <s v="한국일오삼농산"/>
    <x v="29"/>
    <s v="서비스"/>
    <s v="음식/조리"/>
    <s v="기타 프렌차이즈점"/>
    <s v="khan.co.kr"/>
    <s v="신문/잡지(대)종합일간지(중)"/>
    <s v="주간경향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khan.co.kr"/>
    <s v="신문/잡지(대)종합일간지(중)"/>
    <s v="지역"/>
    <s v="GDN"/>
    <s v="25"/>
    <s v="11"/>
    <s v="25.11.18"/>
    <s v="25.11.19"/>
    <n v="183"/>
  </r>
  <r>
    <s v="GDN"/>
    <s v="리서치애드"/>
    <s v="한국일오삼농산"/>
    <x v="29"/>
    <s v="서비스"/>
    <s v="음식/조리"/>
    <s v="기타 프렌차이즈점"/>
    <s v="munhwa.com"/>
    <s v="신문/잡지(대)종합일간지(중)"/>
    <s v="피플"/>
    <s v="GDN"/>
    <s v="25"/>
    <s v="12"/>
    <s v="25.12.28"/>
    <s v="25.12.28"/>
    <n v="81"/>
  </r>
  <r>
    <s v="GDN"/>
    <s v="리서치애드"/>
    <s v="한국일오삼농산"/>
    <x v="29"/>
    <s v="서비스"/>
    <s v="음식/조리"/>
    <s v="기타 프렌차이즈점"/>
    <s v="hankyung.com"/>
    <s v="신문/잡지(대)경제신문(중)"/>
    <s v="연예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moneta.co.kr"/>
    <s v="금융/비즈니스(대)금융정보(중)"/>
    <s v="뉴스"/>
    <s v="GDN"/>
    <s v="25"/>
    <s v="02"/>
    <s v="25.02.16"/>
    <s v="25.02.16"/>
    <n v="52"/>
  </r>
  <r>
    <s v="GDN"/>
    <s v="리서치애드"/>
    <s v="한국일오삼농산"/>
    <x v="29"/>
    <s v="서비스"/>
    <s v="음식/조리"/>
    <s v="기타 프렌차이즈점"/>
    <s v="moneta.co.kr"/>
    <s v="금융/비즈니스(대)금융정보(중)"/>
    <s v="미니가계부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etnews.com"/>
    <s v="신문/잡지(대)IT관련 뉴스(중)"/>
    <s v="특집"/>
    <s v="GDN"/>
    <s v="25"/>
    <s v="02"/>
    <s v="25.02.09"/>
    <s v="25.02.09"/>
    <n v="52"/>
  </r>
  <r>
    <s v="GDN"/>
    <s v="리서치애드"/>
    <s v="한국일오삼농산"/>
    <x v="29"/>
    <s v="서비스"/>
    <s v="음식/조리"/>
    <s v="기타 프렌차이즈점"/>
    <s v="etnews.com"/>
    <s v="신문/잡지(대)IT관련 뉴스(중)"/>
    <s v="특집"/>
    <s v="GDN"/>
    <s v="25"/>
    <s v="02"/>
    <s v="25.02.14"/>
    <s v="25.02.16"/>
    <n v="156"/>
  </r>
  <r>
    <s v="GDN"/>
    <s v="리서치애드"/>
    <s v="한국일오삼농산"/>
    <x v="29"/>
    <s v="서비스"/>
    <s v="음식/조리"/>
    <s v="기타 프렌차이즈점"/>
    <s v="mt.co.kr"/>
    <s v="신문/잡지(대)경제신문(중)"/>
    <s v="뉴스"/>
    <s v="GDN"/>
    <s v="25"/>
    <s v="05"/>
    <s v="25.05.19"/>
    <s v="25.05.19"/>
    <n v="62"/>
  </r>
  <r>
    <s v="GDN"/>
    <s v="리서치애드"/>
    <s v="한국일오삼농산"/>
    <x v="29"/>
    <s v="서비스"/>
    <s v="음식/조리"/>
    <s v="기타 프렌차이즈점"/>
    <s v="edaily.co.kr"/>
    <s v="신문/잡지(대)신문/잡지 기타(중)"/>
    <s v="연예"/>
    <s v="GDN"/>
    <s v="25"/>
    <s v="03"/>
    <s v="25.03.29"/>
    <s v="25.03.29"/>
    <n v="52"/>
  </r>
  <r>
    <s v="GDN"/>
    <s v="리서치애드"/>
    <s v="한국일오삼농산"/>
    <x v="29"/>
    <s v="서비스"/>
    <s v="음식/조리"/>
    <s v="기타 프렌차이즈점"/>
    <s v="edaily.co.kr"/>
    <s v="신문/잡지(대)신문/잡지 기타(중)"/>
    <s v="연예"/>
    <s v="GDN"/>
    <s v="25"/>
    <s v="04"/>
    <s v="25.04.02"/>
    <s v="25.04.02"/>
    <n v="62"/>
  </r>
  <r>
    <s v="GDN"/>
    <s v="리서치애드"/>
    <s v="한국일오삼농산"/>
    <x v="29"/>
    <s v="서비스"/>
    <s v="음식/조리"/>
    <s v="기타 프렌차이즈점"/>
    <s v="edaily.co.kr"/>
    <s v="신문/잡지(대)신문/잡지 기타(중)"/>
    <s v="정치"/>
    <s v="GDN"/>
    <s v="25"/>
    <s v="03"/>
    <s v="25.03.21"/>
    <s v="25.03.23"/>
    <n v="156"/>
  </r>
  <r>
    <s v="GDN"/>
    <s v="리서치애드"/>
    <s v="한국일오삼농산"/>
    <x v="29"/>
    <s v="서비스"/>
    <s v="음식/조리"/>
    <s v="기타 프렌차이즈점"/>
    <s v="inews24.com"/>
    <s v="신문/잡지(대)IT관련 뉴스(중)"/>
    <s v="전국"/>
    <s v="GDN"/>
    <s v="25"/>
    <s v="02"/>
    <s v="25.02.15"/>
    <s v="25.02.15"/>
    <n v="52"/>
  </r>
  <r>
    <s v="GDN"/>
    <s v="리서치애드"/>
    <s v="한국일오삼농산"/>
    <x v="29"/>
    <s v="서비스"/>
    <s v="음식/조리"/>
    <s v="기타 프렌차이즈점"/>
    <s v="kbs.co.kr"/>
    <s v="방송(대)방송국(중)"/>
    <s v="동영상플레이어"/>
    <s v="GDN"/>
    <s v="25"/>
    <s v="11"/>
    <s v="25.11.20"/>
    <s v="25.11.20"/>
    <n v="92"/>
  </r>
  <r>
    <s v="GDN"/>
    <s v="리서치애드"/>
    <s v="한국일오삼농산"/>
    <x v="29"/>
    <s v="서비스"/>
    <s v="음식/조리"/>
    <s v="기타 프렌차이즈점"/>
    <s v="kbs.co.kr"/>
    <s v="방송(대)방송국(중)"/>
    <s v="동영상플레이어"/>
    <s v="GDN"/>
    <s v="25"/>
    <s v="12"/>
    <s v="25.12.28"/>
    <s v="25.12.28"/>
    <n v="81"/>
  </r>
  <r>
    <s v="GDN"/>
    <s v="리서치애드"/>
    <s v="한국일오삼농산"/>
    <x v="29"/>
    <s v="서비스"/>
    <s v="음식/조리"/>
    <s v="기타 프렌차이즈점"/>
    <s v="kbs.co.kr"/>
    <s v="방송(대)방송국(중)"/>
    <s v="라디오"/>
    <s v="GDN"/>
    <s v="25"/>
    <s v="12"/>
    <s v="25.12.09"/>
    <s v="25.12.09"/>
    <n v="81"/>
  </r>
  <r>
    <s v="GDN"/>
    <s v="리서치애드"/>
    <s v="한국일오삼농산"/>
    <x v="29"/>
    <s v="서비스"/>
    <s v="음식/조리"/>
    <s v="기타 프렌차이즈점"/>
    <s v="kbs.co.kr"/>
    <s v="방송(대)방송국(중)"/>
    <s v="메인"/>
    <s v="GDN"/>
    <s v="25"/>
    <s v="05"/>
    <s v="25.05.24"/>
    <s v="25.05.24"/>
    <n v="62"/>
  </r>
  <r>
    <s v="GDN"/>
    <s v="리서치애드"/>
    <s v="한국일오삼농산"/>
    <x v="29"/>
    <s v="서비스"/>
    <s v="음식/조리"/>
    <s v="기타 프렌차이즈점"/>
    <s v="kbs.co.kr"/>
    <s v="방송(대)방송국(중)"/>
    <s v="메인"/>
    <s v="GDN"/>
    <s v="25"/>
    <s v="05"/>
    <s v="25.05.27"/>
    <s v="25.05.29"/>
    <n v="186"/>
  </r>
  <r>
    <s v="GDN"/>
    <s v="리서치애드"/>
    <s v="한국일오삼농산"/>
    <x v="29"/>
    <s v="서비스"/>
    <s v="음식/조리"/>
    <s v="기타 프렌차이즈점"/>
    <s v="kbs.co.kr"/>
    <s v="방송(대)방송국(중)"/>
    <s v="메인"/>
    <s v="GDN"/>
    <s v="25"/>
    <s v="07"/>
    <s v="25.07.25"/>
    <s v="25.07.27"/>
    <n v="186"/>
  </r>
  <r>
    <s v="GDN"/>
    <s v="리서치애드"/>
    <s v="한국일오삼농산"/>
    <x v="29"/>
    <s v="서비스"/>
    <s v="음식/조리"/>
    <s v="기타 프렌차이즈점"/>
    <s v="kbs.co.kr"/>
    <s v="방송(대)방송국(중)"/>
    <s v="메인"/>
    <s v="GDN"/>
    <s v="25"/>
    <s v="07"/>
    <s v="25.07.28"/>
    <s v="25.07.31"/>
    <n v="248"/>
  </r>
  <r>
    <s v="GDN"/>
    <s v="리서치애드"/>
    <s v="한국일오삼농산"/>
    <x v="29"/>
    <s v="서비스"/>
    <s v="음식/조리"/>
    <s v="기타 프렌차이즈점"/>
    <s v="kbs.co.kr"/>
    <s v="방송(대)방송국(중)"/>
    <s v="메인"/>
    <s v="GDN"/>
    <s v="25"/>
    <s v="09"/>
    <s v="25.09.17"/>
    <s v="25.09.17"/>
    <n v="92"/>
  </r>
  <r>
    <s v="GDN"/>
    <s v="리서치애드"/>
    <s v="한국일오삼농산"/>
    <x v="29"/>
    <s v="서비스"/>
    <s v="음식/조리"/>
    <s v="기타 프렌차이즈점"/>
    <s v="dt.co.kr"/>
    <s v="신문/잡지(대)IT관련 뉴스(중)"/>
    <s v="부동산"/>
    <s v="GDN"/>
    <s v="25"/>
    <s v="02"/>
    <s v="25.02.16"/>
    <s v="25.02.16"/>
    <n v="52"/>
  </r>
  <r>
    <s v="GDN"/>
    <s v="리서치애드"/>
    <s v="한국일오삼농산"/>
    <x v="29"/>
    <s v="서비스"/>
    <s v="음식/조리"/>
    <s v="기타 프렌차이즈점"/>
    <s v="mediatoday.co.kr"/>
    <s v="신문/잡지(대)잡지(중)"/>
    <s v="메인"/>
    <s v="GDN"/>
    <s v="25"/>
    <s v="03"/>
    <s v="25.03.22"/>
    <s v="25.03.22"/>
    <n v="52"/>
  </r>
  <r>
    <s v="GDN"/>
    <s v="리서치애드"/>
    <s v="한국일오삼농산"/>
    <x v="29"/>
    <s v="서비스"/>
    <s v="음식/조리"/>
    <s v="기타 프렌차이즈점"/>
    <s v="nocutnews.co.kr"/>
    <s v="신문/잡지(대)온라인뉴스(중)"/>
    <s v="경제"/>
    <s v="GDN"/>
    <s v="25"/>
    <s v="11"/>
    <s v="25.11.19"/>
    <s v="25.11.21"/>
    <n v="115"/>
  </r>
  <r>
    <s v="GDN"/>
    <s v="리서치애드"/>
    <s v="한국일오삼농산"/>
    <x v="29"/>
    <s v="서비스"/>
    <s v="음식/조리"/>
    <s v="기타 프렌차이즈점"/>
    <s v="nocutnews.co.kr"/>
    <s v="신문/잡지(대)온라인뉴스(중)"/>
    <s v="노컷TV"/>
    <s v="GDN"/>
    <s v="25"/>
    <s v="02"/>
    <s v="25.02.15"/>
    <s v="25.02.15"/>
    <n v="22"/>
  </r>
  <r>
    <s v="GDN"/>
    <s v="리서치애드"/>
    <s v="한국일오삼농산"/>
    <x v="29"/>
    <s v="서비스"/>
    <s v="음식/조리"/>
    <s v="기타 프렌차이즈점"/>
    <s v="nocutnews.co.kr"/>
    <s v="신문/잡지(대)온라인뉴스(중)"/>
    <s v="메인"/>
    <s v="GDN"/>
    <s v="25"/>
    <s v="02"/>
    <s v="25.02.08"/>
    <s v="25.02.08"/>
    <n v="22"/>
  </r>
  <r>
    <s v="GDN"/>
    <s v="리서치애드"/>
    <s v="한국일오삼농산"/>
    <x v="29"/>
    <s v="서비스"/>
    <s v="음식/조리"/>
    <s v="기타 프렌차이즈점"/>
    <s v="jjang0u.com"/>
    <s v="엔터테인먼트(대)엔터테인먼트 기타(중)"/>
    <s v="취미창작"/>
    <s v="GDN"/>
    <s v="25"/>
    <s v="05"/>
    <s v="25.05.16"/>
    <s v="25.05.16"/>
    <n v="62"/>
  </r>
  <r>
    <s v="GDN"/>
    <s v="리서치애드"/>
    <s v="한국일오삼농산"/>
    <x v="29"/>
    <s v="서비스"/>
    <s v="음식/조리"/>
    <s v="기타 프렌차이즈점"/>
    <s v="mydaily.co.kr"/>
    <s v="신문/잡지(대)온라인뉴스(중)"/>
    <s v="금융"/>
    <s v="GDN"/>
    <s v="25"/>
    <s v="02"/>
    <s v="25.02.13"/>
    <s v="25.02.13"/>
    <n v="52"/>
  </r>
  <r>
    <s v="GDN"/>
    <s v="리서치애드"/>
    <s v="한국일오삼농산"/>
    <x v="29"/>
    <s v="서비스"/>
    <s v="음식/조리"/>
    <s v="기타 프렌차이즈점"/>
    <s v="asiae.co.kr"/>
    <s v="신문/잡지(대)경제신문(중)"/>
    <s v="부동산"/>
    <s v="GDN"/>
    <s v="25"/>
    <s v="05"/>
    <s v="25.05.19"/>
    <s v="25.05.19"/>
    <n v="27"/>
  </r>
  <r>
    <s v="GDN"/>
    <s v="리서치애드"/>
    <s v="한국일오삼농산"/>
    <x v="29"/>
    <s v="서비스"/>
    <s v="음식/조리"/>
    <s v="기타 프렌차이즈점"/>
    <s v="asiae.co.kr"/>
    <s v="신문/잡지(대)경제신문(중)"/>
    <s v="IT/산업"/>
    <s v="GDN"/>
    <s v="25"/>
    <s v="02"/>
    <s v="25.02.08"/>
    <s v="25.02.08"/>
    <n v="22"/>
  </r>
  <r>
    <s v="GDN"/>
    <s v="리서치애드"/>
    <s v="한국일오삼농산"/>
    <x v="29"/>
    <s v="서비스"/>
    <s v="음식/조리"/>
    <s v="기타 프렌차이즈점"/>
    <s v="thinkpool.com"/>
    <s v="금융/비즈니스(대)증권정보(중)"/>
    <s v="뉴스"/>
    <s v="GDN"/>
    <s v="25"/>
    <s v="03"/>
    <s v="25.03.22"/>
    <s v="25.03.22"/>
    <n v="52"/>
  </r>
  <r>
    <s v="GDN"/>
    <s v="리서치애드"/>
    <s v="한국일오삼농산"/>
    <x v="29"/>
    <s v="서비스"/>
    <s v="음식/조리"/>
    <s v="기타 프렌차이즈점"/>
    <s v="thinkpool.com"/>
    <s v="금융/비즈니스(대)증권정보(중)"/>
    <s v="토론실"/>
    <s v="GDN"/>
    <s v="25"/>
    <s v="02"/>
    <s v="25.02.14"/>
    <s v="25.02.14"/>
    <n v="52"/>
  </r>
  <r>
    <s v="GDN"/>
    <s v="리서치애드"/>
    <s v="한국일오삼농산"/>
    <x v="29"/>
    <s v="서비스"/>
    <s v="음식/조리"/>
    <s v="기타 프렌차이즈점"/>
    <s v="ruliweb.com"/>
    <s v="커뮤니티(대)게시판(중)"/>
    <s v="게임이야기"/>
    <s v="GDN"/>
    <s v="25"/>
    <s v="02"/>
    <s v="25.02.14"/>
    <s v="25.02.14"/>
    <n v="52"/>
  </r>
  <r>
    <s v="GDN"/>
    <s v="리서치애드"/>
    <s v="한국일오삼농산"/>
    <x v="29"/>
    <s v="서비스"/>
    <s v="음식/조리"/>
    <s v="기타 프렌차이즈점"/>
    <s v="zum.com"/>
    <s v="포털(대)포털(중)"/>
    <s v="동영상플레이어"/>
    <s v="GDN"/>
    <s v="25"/>
    <s v="02"/>
    <s v="25.02.08"/>
    <s v="25.02.08"/>
    <n v="52"/>
  </r>
  <r>
    <s v="GDN"/>
    <s v="리서치애드"/>
    <s v="한국일오삼농산"/>
    <x v="29"/>
    <s v="서비스"/>
    <s v="음식/조리"/>
    <s v="기타 프렌차이즈점"/>
    <s v="zum.com"/>
    <s v="포털(대)포털(중)"/>
    <s v="동영상플레이어"/>
    <s v="GDN"/>
    <s v="25"/>
    <s v="02"/>
    <s v="25.02.16"/>
    <s v="25.02.16"/>
    <n v="52"/>
  </r>
  <r>
    <s v="GDN"/>
    <s v="리서치애드"/>
    <s v="한국일오삼농산"/>
    <x v="29"/>
    <s v="서비스"/>
    <s v="음식/조리"/>
    <s v="기타 프렌차이즈점"/>
    <s v="zum.com"/>
    <s v="포털(대)포털(중)"/>
    <s v="동영상플레이어"/>
    <s v="GDN"/>
    <s v="25"/>
    <s v="11"/>
    <s v="25.11.19"/>
    <s v="25.11.20"/>
    <n v="183"/>
  </r>
  <r>
    <s v="GDN"/>
    <s v="리서치애드"/>
    <s v="한국일오삼농산"/>
    <x v="29"/>
    <s v="서비스"/>
    <s v="음식/조리"/>
    <s v="기타 프렌차이즈점"/>
    <s v="ichannela.com"/>
    <s v="방송(대)방송기타(중)"/>
    <s v="동영상플레이어"/>
    <s v="GDN"/>
    <s v="25"/>
    <s v="05"/>
    <s v="25.05.29"/>
    <s v="25.05.29"/>
    <n v="62"/>
  </r>
  <r>
    <s v="GDN"/>
    <s v="리서치애드"/>
    <s v="한국일오삼농산"/>
    <x v="29"/>
    <s v="서비스"/>
    <s v="음식/조리"/>
    <s v="기타 프렌차이즈점"/>
    <s v="ichannela.com"/>
    <s v="방송(대)방송기타(중)"/>
    <s v="동영상플레이어"/>
    <s v="GDN"/>
    <s v="25"/>
    <s v="11"/>
    <s v="25.11.13"/>
    <s v="25.11.16"/>
    <n v="366"/>
  </r>
  <r>
    <s v="GDN"/>
    <s v="리서치애드"/>
    <s v="한국일오삼농산"/>
    <x v="29"/>
    <s v="서비스"/>
    <s v="음식/조리"/>
    <s v="기타 프렌차이즈점"/>
    <s v="ichannela.com"/>
    <s v="방송(대)방송기타(중)"/>
    <s v="동영상플레이어"/>
    <s v="GDN"/>
    <s v="25"/>
    <s v="11"/>
    <s v="25.11.17"/>
    <s v="25.11.23"/>
    <n v="640"/>
  </r>
  <r>
    <s v="GDN"/>
    <s v="리서치애드"/>
    <s v="한국일오삼농산"/>
    <x v="29"/>
    <s v="서비스"/>
    <s v="음식/조리"/>
    <s v="기타 프렌차이즈점"/>
    <s v="ichannela.com"/>
    <s v="방송(대)방송기타(중)"/>
    <s v="동영상플레이어"/>
    <s v="GDN"/>
    <s v="25"/>
    <s v="12"/>
    <s v="25.12.13"/>
    <s v="25.12.14"/>
    <n v="162"/>
  </r>
  <r>
    <s v="GDN"/>
    <s v="리서치애드"/>
    <s v="한국일오삼농산"/>
    <x v="29"/>
    <s v="서비스"/>
    <s v="음식/조리"/>
    <s v="기타 프렌차이즈점"/>
    <s v="ichannela.com"/>
    <s v="방송(대)방송기타(중)"/>
    <s v="동영상플레이어"/>
    <s v="GDN"/>
    <s v="25"/>
    <s v="12"/>
    <s v="25.12.28"/>
    <s v="25.12.28"/>
    <n v="81"/>
  </r>
  <r>
    <s v="GDN"/>
    <s v="리서치애드"/>
    <s v="한국일오삼농산"/>
    <x v="29"/>
    <s v="서비스"/>
    <s v="음식/조리"/>
    <s v="기타 프렌차이즈점"/>
    <s v="joongang.co.kr"/>
    <s v="신문/잡지(대)종합일간지(중)"/>
    <s v="사회"/>
    <s v="GDN"/>
    <s v="25"/>
    <s v="02"/>
    <s v="25.02.14"/>
    <s v="25.02.15"/>
    <n v="104"/>
  </r>
  <r>
    <s v="GDN"/>
    <s v="리서치애드"/>
    <s v="한국일오삼농산"/>
    <x v="29"/>
    <s v="서비스"/>
    <s v="음식/조리"/>
    <s v="기타 프렌차이즈점"/>
    <s v="jtbc.co.kr"/>
    <s v="방송(대)방송기타(중)"/>
    <s v="동영상플레이어"/>
    <s v="GDN"/>
    <s v="25"/>
    <s v="05"/>
    <s v="25.05.29"/>
    <s v="25.05.29"/>
    <n v="62"/>
  </r>
  <r>
    <s v="GDN"/>
    <s v="리서치애드"/>
    <s v="한국일오삼농산"/>
    <x v="29"/>
    <s v="서비스"/>
    <s v="음식/조리"/>
    <s v="기타 프렌차이즈점"/>
    <s v="jtbc.co.kr"/>
    <s v="방송(대)방송기타(중)"/>
    <s v="동영상플레이어"/>
    <s v="GDN"/>
    <s v="25"/>
    <s v="09"/>
    <s v="25.09.27"/>
    <s v="25.09.27"/>
    <n v="92"/>
  </r>
  <r>
    <s v="GDN"/>
    <s v="리서치애드"/>
    <s v="한국일오삼농산"/>
    <x v="29"/>
    <s v="서비스"/>
    <s v="음식/조리"/>
    <s v="기타 프렌차이즈점"/>
    <s v="jtbc.co.kr"/>
    <s v="방송(대)방송기타(중)"/>
    <s v="동영상플레이어"/>
    <s v="GDN"/>
    <s v="25"/>
    <s v="10"/>
    <s v="25.10.25"/>
    <s v="25.10.25"/>
    <n v="92"/>
  </r>
  <r>
    <s v="GDN"/>
    <s v="리서치애드"/>
    <s v="티앤비코리아"/>
    <x v="30"/>
    <s v="서비스"/>
    <s v="음식/조리"/>
    <s v="기타 프렌차이즈점"/>
    <s v="donga.com"/>
    <s v="신문/잡지(대)종합일간지(중)"/>
    <s v="뉴스"/>
    <s v="GDN"/>
    <s v="25"/>
    <s v="01"/>
    <s v="25.01.10"/>
    <s v="25.01.10"/>
    <n v="52"/>
  </r>
  <r>
    <s v="GDN"/>
    <s v="리서치애드"/>
    <s v="티앤비코리아"/>
    <x v="30"/>
    <s v="서비스"/>
    <s v="음식/조리"/>
    <s v="기타 프렌차이즈점"/>
    <s v="mk.co.kr"/>
    <s v="신문/잡지(대)경제신문(중)"/>
    <s v="증권"/>
    <s v="GDN"/>
    <s v="25"/>
    <s v="01"/>
    <s v="25.01.18"/>
    <s v="25.01.18"/>
    <n v="52"/>
  </r>
  <r>
    <s v="모비온"/>
    <s v="리서치애드"/>
    <s v="티앤비코리아"/>
    <x v="30"/>
    <s v="서비스"/>
    <s v="음식/조리"/>
    <s v="기타 프렌차이즈점"/>
    <s v="etnews.com"/>
    <s v="신문/잡지(대)IT관련 뉴스(중)"/>
    <s v="특집"/>
    <s v="모비온"/>
    <s v="25"/>
    <s v="08"/>
    <s v="25.08.20"/>
    <s v="25.08.20"/>
    <n v="150"/>
  </r>
  <r>
    <s v="GDN"/>
    <s v="리서치애드"/>
    <s v="티앤비코리아"/>
    <x v="30"/>
    <s v="서비스"/>
    <s v="음식/조리"/>
    <s v="기타 프렌차이즈점"/>
    <s v="inews24.com"/>
    <s v="신문/잡지(대)IT관련 뉴스(중)"/>
    <s v="게임"/>
    <s v="GDN"/>
    <s v="25"/>
    <s v="03"/>
    <s v="25.03.05"/>
    <s v="25.03.05"/>
    <n v="52"/>
  </r>
  <r>
    <s v="GDN"/>
    <s v="리서치애드"/>
    <s v="티앤비코리아"/>
    <x v="30"/>
    <s v="서비스"/>
    <s v="음식/조리"/>
    <s v="기타 프렌차이즈점"/>
    <s v="inews24.com"/>
    <s v="신문/잡지(대)IT관련 뉴스(중)"/>
    <s v="IT정책"/>
    <s v="GDN"/>
    <s v="25"/>
    <s v="01"/>
    <s v="25.01.18"/>
    <s v="25.01.18"/>
    <n v="52"/>
  </r>
  <r>
    <s v="GDN"/>
    <s v="리서치애드"/>
    <s v="티앤비코리아"/>
    <x v="30"/>
    <s v="서비스"/>
    <s v="음식/조리"/>
    <s v="기타 프렌차이즈점"/>
    <s v="inews24.com"/>
    <s v="신문/잡지(대)IT관련 뉴스(중)"/>
    <s v="IT정책"/>
    <s v="GDN"/>
    <s v="25"/>
    <s v="01"/>
    <s v="25.01.28"/>
    <s v="25.01.28"/>
    <n v="52"/>
  </r>
  <r>
    <s v="GDN"/>
    <s v="리서치애드"/>
    <s v="티앤비코리아"/>
    <x v="30"/>
    <s v="서비스"/>
    <s v="음식/조리"/>
    <s v="기타 프렌차이즈점"/>
    <s v="inews24.com"/>
    <s v="신문/잡지(대)IT관련 뉴스(중)"/>
    <s v="IT정책"/>
    <s v="GDN"/>
    <s v="25"/>
    <s v="02"/>
    <s v="25.02.06"/>
    <s v="25.02.08"/>
    <n v="156"/>
  </r>
  <r>
    <s v="GDN"/>
    <s v="리서치애드"/>
    <s v="티앤비코리아"/>
    <x v="30"/>
    <s v="서비스"/>
    <s v="음식/조리"/>
    <s v="기타 프렌차이즈점"/>
    <s v="dt.co.kr"/>
    <s v="신문/잡지(대)IT관련 뉴스(중)"/>
    <s v="국제"/>
    <s v="GDN"/>
    <s v="25"/>
    <s v="01"/>
    <s v="25.01.21"/>
    <s v="25.01.21"/>
    <n v="52"/>
  </r>
  <r>
    <s v="모비온"/>
    <s v="리서치애드"/>
    <s v="티앤비코리아"/>
    <x v="30"/>
    <s v="서비스"/>
    <s v="음식/조리"/>
    <s v="기타 프렌차이즈점"/>
    <s v="jjang0u.com"/>
    <s v="엔터테인먼트(대)엔터테인먼트 기타(중)"/>
    <s v="공유실"/>
    <s v="모비온"/>
    <s v="25"/>
    <s v="08"/>
    <s v="25.08.20"/>
    <s v="25.08.20"/>
    <n v="150"/>
  </r>
  <r>
    <s v="GDN"/>
    <s v="리서치애드"/>
    <s v="티앤비코리아"/>
    <x v="30"/>
    <s v="서비스"/>
    <s v="음식/조리"/>
    <s v="기타 프렌차이즈점"/>
    <s v="kbench.com"/>
    <s v="생활정보(대)쇼핑/가격정보(중)"/>
    <s v="다운로드"/>
    <s v="GDN"/>
    <s v="25"/>
    <s v="01"/>
    <s v="25.01.21"/>
    <s v="25.01.21"/>
    <n v="52"/>
  </r>
  <r>
    <s v="GDN"/>
    <s v="리서치애드"/>
    <s v="티앤비코리아"/>
    <x v="30"/>
    <s v="서비스"/>
    <s v="음식/조리"/>
    <s v="기타 프렌차이즈점"/>
    <s v="tf.co.kr"/>
    <s v="신문/잡지(대)스포츠신문(중)"/>
    <s v="사회"/>
    <s v="GDN"/>
    <s v="25"/>
    <s v="10"/>
    <s v="25.10.03"/>
    <s v="25.10.03"/>
    <n v="92"/>
  </r>
  <r>
    <s v="GDN"/>
    <s v="리서치애드"/>
    <s v="티앤비코리아"/>
    <x v="30"/>
    <s v="서비스"/>
    <s v="음식/조리"/>
    <s v="기타 프렌차이즈점"/>
    <s v="zum.com"/>
    <s v="포털(대)포털(중)"/>
    <s v="동영상플레이어"/>
    <s v="GDN"/>
    <s v="25"/>
    <s v="02"/>
    <s v="25.02.19"/>
    <s v="25.02.19"/>
    <n v="52"/>
  </r>
  <r>
    <s v="GDN"/>
    <s v="리서치애드"/>
    <s v="티앤비코리아"/>
    <x v="30"/>
    <s v="서비스"/>
    <s v="음식/조리"/>
    <s v="기타 프렌차이즈점"/>
    <s v="ichannela.com"/>
    <s v="방송(대)방송기타(중)"/>
    <s v="동영상플레이어"/>
    <s v="GDN"/>
    <s v="25"/>
    <s v="01"/>
    <s v="25.01.13"/>
    <s v="25.01.13"/>
    <n v="52"/>
  </r>
  <r>
    <s v="GDN"/>
    <s v="리서치애드"/>
    <s v="티앤비코리아"/>
    <x v="30"/>
    <s v="서비스"/>
    <s v="음식/조리"/>
    <s v="기타 프렌차이즈점"/>
    <s v="joongang.co.kr"/>
    <s v="신문/잡지(대)종합일간지(중)"/>
    <s v="국제"/>
    <s v="GDN"/>
    <s v="25"/>
    <s v="01"/>
    <s v="25.01.10"/>
    <s v="25.01.10"/>
    <n v="52"/>
  </r>
  <r>
    <s v="GDN"/>
    <s v="리서치애드"/>
    <s v="아이더스에프앤비"/>
    <x v="31"/>
    <s v="서비스"/>
    <s v="음식/조리"/>
    <s v="기타 프렌차이즈점"/>
    <s v="nate.com"/>
    <s v="포털(대)포털(중)"/>
    <s v="뉴스"/>
    <s v="GDN"/>
    <s v="25"/>
    <s v="08"/>
    <s v="25.08.24"/>
    <s v="25.08.24"/>
    <n v="92"/>
  </r>
  <r>
    <s v="GDN"/>
    <s v="리서치애드"/>
    <s v="아이더스에프앤비"/>
    <x v="31"/>
    <s v="서비스"/>
    <s v="음식/조리"/>
    <s v="기타 프렌차이즈점"/>
    <s v="nate.com"/>
    <s v="포털(대)포털(중)"/>
    <s v="뉴스"/>
    <s v="GDN"/>
    <s v="25"/>
    <s v="08"/>
    <s v="25.08.27"/>
    <s v="25.08.29"/>
    <n v="275"/>
  </r>
  <r>
    <s v="GDN"/>
    <s v="리서치애드"/>
    <s v="아이더스에프앤비"/>
    <x v="31"/>
    <s v="서비스"/>
    <s v="음식/조리"/>
    <s v="기타 프렌차이즈점"/>
    <s v="sayclub.com"/>
    <s v="커뮤니케이션(대)채팅/메신저(중)"/>
    <s v="메인"/>
    <s v="GDN"/>
    <s v="25"/>
    <s v="08"/>
    <s v="25.08.29"/>
    <s v="25.08.29"/>
    <n v="92"/>
  </r>
  <r>
    <s v="GDN"/>
    <s v="리서치애드"/>
    <s v="아이더스에프앤비"/>
    <x v="31"/>
    <s v="서비스"/>
    <s v="음식/조리"/>
    <s v="기타 프렌차이즈점"/>
    <s v="chosun.com"/>
    <s v="신문/잡지(대)종합일간지(중)"/>
    <s v="뉴스"/>
    <s v="GDN"/>
    <s v="25"/>
    <s v="08"/>
    <s v="25.08.21"/>
    <s v="25.08.22"/>
    <n v="183"/>
  </r>
  <r>
    <s v="GDN"/>
    <s v="리서치애드"/>
    <s v="아이더스에프앤비"/>
    <x v="31"/>
    <s v="서비스"/>
    <s v="음식/조리"/>
    <s v="기타 프렌차이즈점"/>
    <s v="chosun.com"/>
    <s v="신문/잡지(대)종합일간지(중)"/>
    <s v="여성조선"/>
    <s v="GDN"/>
    <s v="25"/>
    <s v="08"/>
    <s v="25.08.26"/>
    <s v="25.08.29"/>
    <n v="366"/>
  </r>
  <r>
    <s v="GDN"/>
    <s v="리서치애드"/>
    <s v="아이더스에프앤비"/>
    <x v="31"/>
    <s v="서비스"/>
    <s v="음식/조리"/>
    <s v="기타 프렌차이즈점"/>
    <s v="chosun.com"/>
    <s v="신문/잡지(대)종합일간지(중)"/>
    <s v="여성조선"/>
    <s v="GDN"/>
    <s v="25"/>
    <s v="12"/>
    <s v="25.12.05"/>
    <s v="25.12.05"/>
    <n v="81"/>
  </r>
  <r>
    <s v="GDN"/>
    <s v="리서치애드"/>
    <s v="아이더스에프앤비"/>
    <x v="31"/>
    <s v="서비스"/>
    <s v="음식/조리"/>
    <s v="기타 프렌차이즈점"/>
    <s v="sbs.co.kr"/>
    <s v="방송(대)방송국(중)"/>
    <s v="SBS스포츠"/>
    <s v="GDN"/>
    <s v="25"/>
    <s v="08"/>
    <s v="25.08.20"/>
    <s v="25.08.21"/>
    <n v="183"/>
  </r>
  <r>
    <s v="GDN"/>
    <s v="리서치애드"/>
    <s v="아이더스에프앤비"/>
    <x v="31"/>
    <s v="서비스"/>
    <s v="음식/조리"/>
    <s v="기타 프렌차이즈점"/>
    <s v="sbs.co.kr"/>
    <s v="방송(대)방송국(중)"/>
    <s v="SBS스포츠"/>
    <s v="GDN"/>
    <s v="25"/>
    <s v="08"/>
    <s v="25.08.30"/>
    <s v="25.08.30"/>
    <n v="92"/>
  </r>
  <r>
    <s v="GDN"/>
    <s v="리서치애드"/>
    <s v="아이더스에프앤비"/>
    <x v="31"/>
    <s v="서비스"/>
    <s v="음식/조리"/>
    <s v="기타 프렌차이즈점"/>
    <s v="imbc.com"/>
    <s v="방송(대)방송국(중)"/>
    <s v="동영상플레이어"/>
    <s v="GDN"/>
    <s v="25"/>
    <s v="08"/>
    <s v="25.08.29"/>
    <s v="25.08.29"/>
    <n v="92"/>
  </r>
  <r>
    <s v="GDN"/>
    <s v="리서치애드"/>
    <s v="아이더스에프앤비"/>
    <x v="31"/>
    <s v="서비스"/>
    <s v="음식/조리"/>
    <s v="기타 프렌차이즈점"/>
    <s v="sportsseoul.com"/>
    <s v="신문/잡지(대)스포츠신문(중)"/>
    <s v="만화"/>
    <s v="GDN"/>
    <s v="25"/>
    <s v="08"/>
    <s v="25.08.24"/>
    <s v="25.08.24"/>
    <n v="92"/>
  </r>
  <r>
    <s v="GDN"/>
    <s v="리서치애드"/>
    <s v="아이더스에프앤비"/>
    <x v="31"/>
    <s v="서비스"/>
    <s v="음식/조리"/>
    <s v="기타 프렌차이즈점"/>
    <s v="sportsseoul.com"/>
    <s v="신문/잡지(대)스포츠신문(중)"/>
    <s v="만화"/>
    <s v="GDN"/>
    <s v="25"/>
    <s v="08"/>
    <s v="25.08.31"/>
    <s v="25.08.31"/>
    <n v="92"/>
  </r>
  <r>
    <s v="GDN"/>
    <s v="리서치애드"/>
    <s v="아이더스에프앤비"/>
    <x v="31"/>
    <s v="서비스"/>
    <s v="음식/조리"/>
    <s v="기타 프렌차이즈점"/>
    <s v="korea.com"/>
    <s v="포털(대)포털(중)"/>
    <s v="메인"/>
    <s v="GDN"/>
    <s v="25"/>
    <s v="08"/>
    <s v="25.08.24"/>
    <s v="25.08.24"/>
    <n v="92"/>
  </r>
  <r>
    <s v="GDN"/>
    <s v="리서치애드"/>
    <s v="아이더스에프앤비"/>
    <x v="31"/>
    <s v="서비스"/>
    <s v="음식/조리"/>
    <s v="기타 프렌차이즈점"/>
    <s v="donga.com"/>
    <s v="신문/잡지(대)종합일간지(중)"/>
    <s v="뉴스"/>
    <s v="GDN"/>
    <s v="25"/>
    <s v="08"/>
    <s v="25.08.20"/>
    <s v="25.08.24"/>
    <n v="458"/>
  </r>
  <r>
    <s v="GDN"/>
    <s v="리서치애드"/>
    <s v="아이더스에프앤비"/>
    <x v="31"/>
    <s v="서비스"/>
    <s v="음식/조리"/>
    <s v="기타 프렌차이즈점"/>
    <s v="ohmynews.com"/>
    <s v="신문/잡지(대)온라인뉴스(중)"/>
    <s v="오마이스타"/>
    <s v="GDN"/>
    <s v="25"/>
    <s v="08"/>
    <s v="25.08.31"/>
    <s v="25.08.31"/>
    <n v="92"/>
  </r>
  <r>
    <s v="GDN"/>
    <s v="리서치애드"/>
    <s v="아이더스에프앤비"/>
    <x v="31"/>
    <s v="서비스"/>
    <s v="음식/조리"/>
    <s v="기타 프렌차이즈점"/>
    <s v="khan.co.kr"/>
    <s v="신문/잡지(대)종합일간지(중)"/>
    <s v="지역"/>
    <s v="GDN"/>
    <s v="25"/>
    <s v="08"/>
    <s v="25.08.28"/>
    <s v="25.08.30"/>
    <n v="275"/>
  </r>
  <r>
    <s v="GDN"/>
    <s v="리서치애드"/>
    <s v="아이더스에프앤비"/>
    <x v="31"/>
    <s v="서비스"/>
    <s v="음식/조리"/>
    <s v="기타 프렌차이즈점"/>
    <s v="hankyung.com"/>
    <s v="신문/잡지(대)경제신문(중)"/>
    <s v="금융"/>
    <s v="GDN"/>
    <s v="25"/>
    <s v="08"/>
    <s v="25.08.28"/>
    <s v="25.08.28"/>
    <n v="92"/>
  </r>
  <r>
    <s v="GDN"/>
    <s v="리서치애드"/>
    <s v="아이더스에프앤비"/>
    <x v="31"/>
    <s v="서비스"/>
    <s v="음식/조리"/>
    <s v="기타 프렌차이즈점"/>
    <s v="hankyung.com"/>
    <s v="신문/잡지(대)경제신문(중)"/>
    <s v="스포츠"/>
    <s v="GDN"/>
    <s v="25"/>
    <s v="12"/>
    <s v="25.12.09"/>
    <s v="25.12.09"/>
    <n v="81"/>
  </r>
  <r>
    <s v="GDN"/>
    <s v="리서치애드"/>
    <s v="아이더스에프앤비"/>
    <x v="31"/>
    <s v="서비스"/>
    <s v="음식/조리"/>
    <s v="기타 프렌차이즈점"/>
    <s v="kbs.co.kr"/>
    <s v="방송(대)방송국(중)"/>
    <s v="TV"/>
    <s v="GDN"/>
    <s v="25"/>
    <s v="12"/>
    <s v="25.12.09"/>
    <s v="25.12.09"/>
    <n v="81"/>
  </r>
  <r>
    <s v="GDN"/>
    <s v="리서치애드"/>
    <s v="아이더스에프앤비"/>
    <x v="31"/>
    <s v="서비스"/>
    <s v="음식/조리"/>
    <s v="기타 프렌차이즈점"/>
    <s v="dt.co.kr"/>
    <s v="신문/잡지(대)IT관련 뉴스(중)"/>
    <s v="피플"/>
    <s v="GDN"/>
    <s v="25"/>
    <s v="08"/>
    <s v="25.08.20"/>
    <s v="25.08.20"/>
    <n v="92"/>
  </r>
  <r>
    <s v="GDN"/>
    <s v="리서치애드"/>
    <s v="아이더스에프앤비"/>
    <x v="31"/>
    <s v="서비스"/>
    <s v="음식/조리"/>
    <s v="기타 프렌차이즈점"/>
    <s v="diodeo.com"/>
    <s v="방송(대)방송기타(중)"/>
    <s v="메인"/>
    <s v="GDN"/>
    <s v="25"/>
    <s v="01"/>
    <s v="25.01.08"/>
    <s v="25.01.08"/>
    <n v="52"/>
  </r>
  <r>
    <s v="GDN"/>
    <s v="리서치애드"/>
    <s v="아이더스에프앤비"/>
    <x v="31"/>
    <s v="서비스"/>
    <s v="음식/조리"/>
    <s v="기타 프렌차이즈점"/>
    <s v="jjang0u.com"/>
    <s v="엔터테인먼트(대)엔터테인먼트 기타(중)"/>
    <s v="셀럽영상"/>
    <s v="GDN"/>
    <s v="25"/>
    <s v="09"/>
    <s v="25.09.01"/>
    <s v="25.09.01"/>
    <n v="92"/>
  </r>
  <r>
    <s v="디지털 영상"/>
    <s v="리서치애드"/>
    <s v="아이더스에프앤비"/>
    <x v="31"/>
    <s v="서비스"/>
    <s v="음식/조리"/>
    <s v="기타 프렌차이즈점"/>
    <s v="youtube.com"/>
    <s v="엔터테인먼트(대)엔터테인먼트 기타(중)"/>
    <s v="메인"/>
    <s v="-"/>
    <s v="25"/>
    <s v="11"/>
    <s v="25.11.22"/>
    <s v="25.11.22"/>
    <n v="20040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동영상플레이어"/>
    <s v="-"/>
    <s v="25"/>
    <s v="05"/>
    <s v="25.05.20"/>
    <s v="25.05.24"/>
    <n v="308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동영상플레이어"/>
    <s v="-"/>
    <s v="25"/>
    <s v="05"/>
    <s v="25.05.27"/>
    <s v="25.05.27"/>
    <n v="6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2"/>
    <s v="25.02.02"/>
    <s v="25.02.02"/>
    <n v="6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2"/>
    <s v="25.02.03"/>
    <s v="25.02.03"/>
    <n v="6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2"/>
    <s v="25.02.17"/>
    <s v="25.02.19"/>
    <n v="185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2"/>
    <s v="25.02.25"/>
    <s v="25.02.27"/>
    <n v="185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3"/>
    <s v="25.03.06"/>
    <s v="25.03.09"/>
    <n v="247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3"/>
    <s v="25.03.10"/>
    <s v="25.03.16"/>
    <n v="43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3"/>
    <s v="25.03.20"/>
    <s v="25.03.20"/>
    <n v="6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3"/>
    <s v="25.03.25"/>
    <s v="25.03.28"/>
    <n v="247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3"/>
    <s v="25.03.31"/>
    <s v="25.03.31"/>
    <n v="6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4"/>
    <s v="25.04.02"/>
    <s v="25.04.02"/>
    <n v="62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04"/>
    <s v="25.04.18"/>
    <s v="25.04.19"/>
    <n v="123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10"/>
    <s v="25.10.02"/>
    <s v="25.10.02"/>
    <n v="1143"/>
  </r>
  <r>
    <s v="SNS"/>
    <s v="리서치애드"/>
    <s v="아이더스에프앤비"/>
    <x v="31"/>
    <s v="서비스"/>
    <s v="음식/조리"/>
    <s v="기타 프렌차이즈점"/>
    <s v="facebook.com"/>
    <s v="커뮤니티(대)홈페이지(중)"/>
    <s v="커뮤니케이션 기타"/>
    <s v="-"/>
    <s v="25"/>
    <s v="10"/>
    <s v="25.10.14"/>
    <s v="25.10.14"/>
    <n v="1143"/>
  </r>
  <r>
    <s v="GDN"/>
    <s v="리서치애드"/>
    <s v="아이더스에프앤비"/>
    <x v="31"/>
    <s v="서비스"/>
    <s v="음식/조리"/>
    <s v="기타 프렌차이즈점"/>
    <s v="zum.com"/>
    <s v="포털(대)포털(중)"/>
    <s v="동영상플레이어"/>
    <s v="GDN"/>
    <s v="25"/>
    <s v="08"/>
    <s v="25.08.22"/>
    <s v="25.08.22"/>
    <n v="92"/>
  </r>
  <r>
    <s v="GDN"/>
    <s v="리서치애드"/>
    <s v="아이더스에프앤비"/>
    <x v="31"/>
    <s v="서비스"/>
    <s v="음식/조리"/>
    <s v="기타 프렌차이즈점"/>
    <s v="jtbc.co.kr"/>
    <s v="방송(대)방송기타(중)"/>
    <s v="동영상플레이어"/>
    <s v="GDN"/>
    <s v="25"/>
    <s v="12"/>
    <s v="25.12.09"/>
    <s v="25.12.09"/>
    <n v="81"/>
  </r>
  <r>
    <s v="GDN"/>
    <s v="리서치애드"/>
    <s v="아이더스에프앤비"/>
    <x v="32"/>
    <s v="서비스"/>
    <s v="음식/조리"/>
    <s v="기타 프렌차이즈점"/>
    <s v="pressian.com"/>
    <s v="신문/잡지(대)온라인뉴스(중)"/>
    <s v="세계"/>
    <s v="GDN"/>
    <s v="25"/>
    <s v="02"/>
    <s v="25.02.13"/>
    <s v="25.02.13"/>
    <n v="52"/>
  </r>
  <r>
    <s v="GDN"/>
    <s v="리서치애드"/>
    <s v="아이더스에프앤비"/>
    <x v="32"/>
    <s v="서비스"/>
    <s v="음식/조리"/>
    <s v="기타 프렌차이즈점"/>
    <s v="pressian.com"/>
    <s v="신문/잡지(대)온라인뉴스(중)"/>
    <s v="협동경제사회"/>
    <s v="GDN"/>
    <s v="25"/>
    <s v="02"/>
    <s v="25.02.17"/>
    <s v="25.02.18"/>
    <n v="104"/>
  </r>
  <r>
    <s v="GDN"/>
    <s v="리서치애드"/>
    <s v="아이더스에프앤비"/>
    <x v="32"/>
    <s v="서비스"/>
    <s v="음식/조리"/>
    <s v="기타 프렌차이즈점"/>
    <s v="kbench.com"/>
    <s v="생활정보(대)쇼핑/가격정보(중)"/>
    <s v="다운로드"/>
    <s v="GDN"/>
    <s v="25"/>
    <s v="03"/>
    <s v="25.03.01"/>
    <s v="25.03.01"/>
    <n v="52"/>
  </r>
  <r>
    <s v="GDN"/>
    <s v="리서치애드"/>
    <s v="아이더스에프앤비"/>
    <x v="32"/>
    <s v="서비스"/>
    <s v="음식/조리"/>
    <s v="기타 프렌차이즈점"/>
    <s v="zum.com"/>
    <s v="포털(대)포털(중)"/>
    <s v="동영상플레이어"/>
    <s v="GDN"/>
    <s v="25"/>
    <s v="01"/>
    <s v="25.01.24"/>
    <s v="25.01.24"/>
    <n v="52"/>
  </r>
  <r>
    <s v="GDN"/>
    <s v="리서치애드"/>
    <s v="아이더스에프앤비"/>
    <x v="32"/>
    <s v="서비스"/>
    <s v="음식/조리"/>
    <s v="기타 프렌차이즈점"/>
    <s v="ichannela.com"/>
    <s v="방송(대)방송기타(중)"/>
    <s v="동영상플레이어"/>
    <s v="GDN"/>
    <s v="25"/>
    <s v="01"/>
    <s v="25.01.24"/>
    <s v="25.01.24"/>
    <n v="52"/>
  </r>
  <r>
    <s v="GDN"/>
    <s v="리서치애드"/>
    <s v="노랑푸드노랑통닭"/>
    <x v="33"/>
    <s v="서비스"/>
    <s v="음식/조리"/>
    <s v="기타 프렌차이즈점"/>
    <s v="daum.net"/>
    <s v="포털(대)포털(중)"/>
    <s v="메인"/>
    <s v="GDN"/>
    <s v="25"/>
    <s v="02"/>
    <s v="25.02.27"/>
    <s v="25.02.27"/>
    <n v="588"/>
  </r>
  <r>
    <s v="GDN"/>
    <s v="리서치애드"/>
    <s v="노랑푸드노랑통닭"/>
    <x v="33"/>
    <s v="서비스"/>
    <s v="음식/조리"/>
    <s v="기타 프렌차이즈점"/>
    <s v="daum.net"/>
    <s v="포털(대)포털(중)"/>
    <s v="메인"/>
    <s v="GDN"/>
    <s v="25"/>
    <s v="03"/>
    <s v="25.03.02"/>
    <s v="25.03.02"/>
    <n v="588"/>
  </r>
  <r>
    <s v="GDN"/>
    <s v="리서치애드"/>
    <s v="노랑푸드노랑통닭"/>
    <x v="33"/>
    <s v="서비스"/>
    <s v="음식/조리"/>
    <s v="기타 프렌차이즈점"/>
    <s v="nate.com"/>
    <s v="포털(대)포털(중)"/>
    <s v="네이트뷰"/>
    <s v="GDN"/>
    <s v="25"/>
    <s v="03"/>
    <s v="25.03.01"/>
    <s v="25.03.01"/>
    <n v="52"/>
  </r>
  <r>
    <s v="GDN"/>
    <s v="리서치애드"/>
    <s v="노랑푸드노랑통닭"/>
    <x v="33"/>
    <s v="서비스"/>
    <s v="음식/조리"/>
    <s v="기타 프렌차이즈점"/>
    <s v="nate.com"/>
    <s v="포털(대)포털(중)"/>
    <s v="뉴스"/>
    <s v="GDN"/>
    <s v="25"/>
    <s v="01"/>
    <s v="25.01.12"/>
    <s v="25.01.12"/>
    <n v="52"/>
  </r>
  <r>
    <s v="GDN"/>
    <s v="리서치애드"/>
    <s v="노랑푸드노랑통닭"/>
    <x v="33"/>
    <s v="서비스"/>
    <s v="음식/조리"/>
    <s v="기타 프렌차이즈점"/>
    <s v="sbs.co.kr"/>
    <s v="방송(대)방송국(중)"/>
    <s v="동영상플레이어"/>
    <s v="GDN"/>
    <s v="25"/>
    <s v="01"/>
    <s v="25.01.14"/>
    <s v="25.01.18"/>
    <n v="260"/>
  </r>
  <r>
    <s v="GDN"/>
    <s v="리서치애드"/>
    <s v="노랑푸드노랑통닭"/>
    <x v="33"/>
    <s v="서비스"/>
    <s v="음식/조리"/>
    <s v="기타 프렌차이즈점"/>
    <s v="sbs.co.kr"/>
    <s v="방송(대)방송국(중)"/>
    <s v="동영상플레이어"/>
    <s v="GDN"/>
    <s v="25"/>
    <s v="01"/>
    <s v="25.01.20"/>
    <s v="25.01.20"/>
    <n v="52"/>
  </r>
  <r>
    <s v="언론사"/>
    <s v="리서치애드"/>
    <s v="노랑푸드노랑통닭"/>
    <x v="33"/>
    <s v="서비스"/>
    <s v="음식/조리"/>
    <s v="기타 프렌차이즈점"/>
    <s v="sportsseoul.com"/>
    <s v="신문/잡지(대)스포츠신문(중)"/>
    <s v="만화"/>
    <s v="-"/>
    <s v="25"/>
    <s v="02"/>
    <s v="25.02.24"/>
    <s v="25.02.24"/>
    <n v="46"/>
  </r>
  <r>
    <s v="GDN"/>
    <s v="리서치애드"/>
    <s v="노랑푸드노랑통닭"/>
    <x v="33"/>
    <s v="서비스"/>
    <s v="음식/조리"/>
    <s v="기타 프렌차이즈점"/>
    <s v="stoo.com"/>
    <s v="신문/잡지(대)스포츠신문(중)"/>
    <s v="스포츠"/>
    <s v="GDN"/>
    <s v="25"/>
    <s v="12"/>
    <s v="25.12.26"/>
    <s v="25.12.26"/>
    <n v="81"/>
  </r>
  <r>
    <s v="GDN"/>
    <s v="리서치애드"/>
    <s v="노랑푸드노랑통닭"/>
    <x v="33"/>
    <s v="서비스"/>
    <s v="음식/조리"/>
    <s v="기타 프렌차이즈점"/>
    <s v="hankooki.com"/>
    <s v="신문/잡지(대)종합일간지(중)"/>
    <s v="골프한국"/>
    <s v="GDN"/>
    <s v="25"/>
    <s v="12"/>
    <s v="25.12.26"/>
    <s v="25.12.26"/>
    <n v="81"/>
  </r>
  <r>
    <s v="GDN"/>
    <s v="리서치애드"/>
    <s v="노랑푸드노랑통닭"/>
    <x v="33"/>
    <s v="서비스"/>
    <s v="음식/조리"/>
    <s v="기타 프렌차이즈점"/>
    <s v="hankooki.com"/>
    <s v="신문/잡지(대)종합일간지(중)"/>
    <s v="메인"/>
    <s v="GDN"/>
    <s v="25"/>
    <s v="02"/>
    <s v="25.02.26"/>
    <s v="25.02.26"/>
    <n v="52"/>
  </r>
  <r>
    <s v="GDN"/>
    <s v="리서치애드"/>
    <s v="노랑푸드노랑통닭"/>
    <x v="33"/>
    <s v="서비스"/>
    <s v="음식/조리"/>
    <s v="기타 프렌차이즈점"/>
    <s v="ohmynews.com"/>
    <s v="신문/잡지(대)온라인뉴스(중)"/>
    <s v="경제"/>
    <s v="GDN"/>
    <s v="25"/>
    <s v="02"/>
    <s v="25.02.26"/>
    <s v="25.02.26"/>
    <n v="52"/>
  </r>
  <r>
    <s v="GDN"/>
    <s v="리서치애드"/>
    <s v="노랑푸드노랑통닭"/>
    <x v="33"/>
    <s v="서비스"/>
    <s v="음식/조리"/>
    <s v="기타 프렌차이즈점"/>
    <s v="ohmynews.com"/>
    <s v="신문/잡지(대)온라인뉴스(중)"/>
    <s v="책동네"/>
    <s v="GDN"/>
    <s v="25"/>
    <s v="12"/>
    <s v="25.12.31"/>
    <s v="25.12.31"/>
    <n v="81"/>
  </r>
  <r>
    <s v="GDN"/>
    <s v="리서치애드"/>
    <s v="노랑푸드노랑통닭"/>
    <x v="33"/>
    <s v="서비스"/>
    <s v="음식/조리"/>
    <s v="기타 프렌차이즈점"/>
    <s v="khan.co.kr"/>
    <s v="신문/잡지(대)종합일간지(중)"/>
    <s v="국제"/>
    <s v="GDN"/>
    <s v="25"/>
    <s v="01"/>
    <s v="25.01.15"/>
    <s v="25.01.15"/>
    <n v="52"/>
  </r>
  <r>
    <s v="GDN"/>
    <s v="리서치애드"/>
    <s v="노랑푸드노랑통닭"/>
    <x v="33"/>
    <s v="서비스"/>
    <s v="음식/조리"/>
    <s v="기타 프렌차이즈점"/>
    <s v="hankyung.com"/>
    <s v="신문/잡지(대)경제신문(중)"/>
    <s v="사회"/>
    <s v="GDN"/>
    <s v="25"/>
    <s v="12"/>
    <s v="25.12.26"/>
    <s v="25.12.26"/>
    <n v="81"/>
  </r>
  <r>
    <s v="GDN"/>
    <s v="리서치애드"/>
    <s v="노랑푸드노랑통닭"/>
    <x v="33"/>
    <s v="서비스"/>
    <s v="음식/조리"/>
    <s v="기타 프렌차이즈점"/>
    <s v="moneta.co.kr"/>
    <s v="금융/비즈니스(대)금융정보(중)"/>
    <s v="뉴스"/>
    <s v="GDN"/>
    <s v="25"/>
    <s v="01"/>
    <s v="25.01.14"/>
    <s v="25.01.14"/>
    <n v="52"/>
  </r>
  <r>
    <s v="GDN"/>
    <s v="리서치애드"/>
    <s v="노랑푸드노랑통닭"/>
    <x v="33"/>
    <s v="서비스"/>
    <s v="음식/조리"/>
    <s v="기타 프렌차이즈점"/>
    <s v="moneta.co.kr"/>
    <s v="금융/비즈니스(대)금융정보(중)"/>
    <s v="재테크"/>
    <s v="GDN"/>
    <s v="25"/>
    <s v="12"/>
    <s v="25.12.31"/>
    <s v="25.12.31"/>
    <n v="81"/>
  </r>
  <r>
    <s v="GDN"/>
    <s v="리서치애드"/>
    <s v="노랑푸드노랑통닭"/>
    <x v="33"/>
    <s v="서비스"/>
    <s v="음식/조리"/>
    <s v="기타 프렌차이즈점"/>
    <s v="seoul.co.kr"/>
    <s v="신문/잡지(대)종합일간지(중)"/>
    <s v="나우뉴스"/>
    <s v="GDN"/>
    <s v="25"/>
    <s v="01"/>
    <s v="25.01.16"/>
    <s v="25.01.16"/>
    <n v="52"/>
  </r>
  <r>
    <s v="GDN"/>
    <s v="리서치애드"/>
    <s v="노랑푸드노랑통닭"/>
    <x v="33"/>
    <s v="서비스"/>
    <s v="음식/조리"/>
    <s v="기타 프렌차이즈점"/>
    <s v="kmib.co.kr"/>
    <s v="신문/잡지(대)종합일간지(중)"/>
    <s v="이슈"/>
    <s v="GDN"/>
    <s v="25"/>
    <s v="01"/>
    <s v="25.01.16"/>
    <s v="25.01.16"/>
    <n v="52"/>
  </r>
  <r>
    <s v="GDN"/>
    <s v="리서치애드"/>
    <s v="노랑푸드노랑통닭"/>
    <x v="33"/>
    <s v="서비스"/>
    <s v="음식/조리"/>
    <s v="기타 프렌차이즈점"/>
    <s v="inews24.com"/>
    <s v="신문/잡지(대)IT관련 뉴스(중)"/>
    <s v="뉴스"/>
    <s v="GDN"/>
    <s v="25"/>
    <s v="02"/>
    <s v="25.02.25"/>
    <s v="25.02.25"/>
    <n v="52"/>
  </r>
  <r>
    <s v="GDN"/>
    <s v="리서치애드"/>
    <s v="노랑푸드노랑통닭"/>
    <x v="33"/>
    <s v="서비스"/>
    <s v="음식/조리"/>
    <s v="기타 프렌차이즈점"/>
    <s v="kbs.co.kr"/>
    <s v="방송(대)방송국(중)"/>
    <s v="동영상플레이어"/>
    <s v="GDN"/>
    <s v="25"/>
    <s v="01"/>
    <s v="25.01.21"/>
    <s v="25.01.21"/>
    <n v="52"/>
  </r>
  <r>
    <s v="GDN"/>
    <s v="리서치애드"/>
    <s v="노랑푸드노랑통닭"/>
    <x v="33"/>
    <s v="서비스"/>
    <s v="음식/조리"/>
    <s v="기타 프렌차이즈점"/>
    <s v="haeorum.com"/>
    <s v="생활정보(대)여성/육아(중)"/>
    <s v="메인"/>
    <s v="GDN"/>
    <s v="25"/>
    <s v="01"/>
    <s v="25.01.14"/>
    <s v="25.01.14"/>
    <n v="52"/>
  </r>
  <r>
    <s v="GDN"/>
    <s v="리서치애드"/>
    <s v="노랑푸드노랑통닭"/>
    <x v="33"/>
    <s v="서비스"/>
    <s v="음식/조리"/>
    <s v="기타 프렌차이즈점"/>
    <s v="joseilbo.com"/>
    <s v="신문/잡지(대)온라인뉴스(중)"/>
    <s v="여행"/>
    <s v="GDN"/>
    <s v="25"/>
    <s v="12"/>
    <s v="25.12.25"/>
    <s v="25.12.26"/>
    <n v="162"/>
  </r>
  <r>
    <s v="GDN"/>
    <s v="리서치애드"/>
    <s v="노랑푸드노랑통닭"/>
    <x v="33"/>
    <s v="서비스"/>
    <s v="음식/조리"/>
    <s v="기타 프렌차이즈점"/>
    <s v="thinkpool.com"/>
    <s v="금융/비즈니스(대)증권정보(중)"/>
    <s v="메인"/>
    <s v="GDN"/>
    <s v="25"/>
    <s v="05"/>
    <s v="25.05.27"/>
    <s v="25.05.27"/>
    <n v="62"/>
  </r>
  <r>
    <s v="GDN"/>
    <s v="리서치애드"/>
    <s v="노랑푸드노랑통닭"/>
    <x v="33"/>
    <s v="서비스"/>
    <s v="음식/조리"/>
    <s v="기타 프렌차이즈점"/>
    <s v="thinkpool.com"/>
    <s v="금융/비즈니스(대)증권정보(중)"/>
    <s v="메인"/>
    <s v="GDN"/>
    <s v="25"/>
    <s v="06"/>
    <s v="25.06.15"/>
    <s v="25.06.15"/>
    <n v="62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동영상플레이어"/>
    <s v="-"/>
    <s v="25"/>
    <s v="04"/>
    <s v="25.04.14"/>
    <s v="25.04.17"/>
    <n v="247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동영상플레이어"/>
    <s v="-"/>
    <s v="25"/>
    <s v="04"/>
    <s v="25.04.23"/>
    <s v="25.04.27"/>
    <n v="308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동영상플레이어"/>
    <s v="-"/>
    <s v="25"/>
    <s v="05"/>
    <s v="25.05.01"/>
    <s v="25.05.04"/>
    <n v="247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동영상플레이어"/>
    <s v="-"/>
    <s v="25"/>
    <s v="06"/>
    <s v="25.06.03"/>
    <s v="25.06.05"/>
    <n v="185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커뮤니케이션 기타"/>
    <s v="-"/>
    <s v="25"/>
    <s v="01"/>
    <s v="25.01.15"/>
    <s v="25.01.19"/>
    <n v="308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커뮤니케이션 기타"/>
    <s v="-"/>
    <s v="25"/>
    <s v="01"/>
    <s v="25.01.20"/>
    <s v="25.01.25"/>
    <n v="370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커뮤니케이션 기타"/>
    <s v="-"/>
    <s v="25"/>
    <s v="01"/>
    <s v="25.01.27"/>
    <s v="25.01.28"/>
    <n v="123"/>
  </r>
  <r>
    <s v="SNS"/>
    <s v="리서치애드"/>
    <s v="노랑푸드노랑통닭"/>
    <x v="33"/>
    <s v="서비스"/>
    <s v="음식/조리"/>
    <s v="기타 프렌차이즈점"/>
    <s v="facebook.com"/>
    <s v="커뮤니티(대)홈페이지(중)"/>
    <s v="커뮤니케이션 기타"/>
    <s v="-"/>
    <s v="25"/>
    <s v="05"/>
    <s v="25.05.19"/>
    <s v="25.05.24"/>
    <n v="370"/>
  </r>
  <r>
    <s v="GDN"/>
    <s v="리서치애드"/>
    <s v="노랑푸드노랑통닭"/>
    <x v="33"/>
    <s v="서비스"/>
    <s v="음식/조리"/>
    <s v="기타 프렌차이즈점"/>
    <s v="tvchosun.com"/>
    <s v="방송(대)방송기타(중)"/>
    <s v="동영상플레이어"/>
    <s v="GDN"/>
    <s v="25"/>
    <s v="05"/>
    <s v="25.05.28"/>
    <s v="25.05.28"/>
    <n v="62"/>
  </r>
  <r>
    <s v="GDN"/>
    <s v="리서치애드"/>
    <s v="노랑푸드노랑통닭"/>
    <x v="33"/>
    <s v="서비스"/>
    <s v="음식/조리"/>
    <s v="기타 프렌차이즈점"/>
    <s v="tvchosun.com"/>
    <s v="방송(대)방송기타(중)"/>
    <s v="스포츠"/>
    <s v="GDN"/>
    <s v="25"/>
    <s v="09"/>
    <s v="25.09.17"/>
    <s v="25.09.17"/>
    <n v="92"/>
  </r>
  <r>
    <s v="GDN"/>
    <s v="리서치애드"/>
    <s v="노랑푸드노랑통닭"/>
    <x v="33"/>
    <s v="서비스"/>
    <s v="음식/조리"/>
    <s v="기타 프렌차이즈점"/>
    <s v="joongang.co.kr"/>
    <s v="신문/잡지(대)종합일간지(중)"/>
    <s v="부동산"/>
    <s v="GDN"/>
    <s v="25"/>
    <s v="01"/>
    <s v="25.01.21"/>
    <s v="25.01.21"/>
    <n v="52"/>
  </r>
  <r>
    <s v="GDN"/>
    <s v="리서치애드"/>
    <s v="노랑푸드노랑통닭"/>
    <x v="33"/>
    <s v="서비스"/>
    <s v="음식/조리"/>
    <s v="기타 프렌차이즈점"/>
    <s v="jtbc.co.kr"/>
    <s v="방송(대)방송기타(중)"/>
    <s v="뉴스"/>
    <s v="GDN"/>
    <s v="25"/>
    <s v="03"/>
    <s v="25.03.02"/>
    <s v="25.03.02"/>
    <n v="52"/>
  </r>
  <r>
    <s v="GDN"/>
    <s v="리서치애드"/>
    <s v="노랑푸드노랑통닭"/>
    <x v="33"/>
    <s v="서비스"/>
    <s v="음식/조리"/>
    <s v="기타 프렌차이즈점"/>
    <s v="jtbc.co.kr"/>
    <s v="방송(대)방송기타(중)"/>
    <s v="동영상플레이어"/>
    <s v="GDN"/>
    <s v="25"/>
    <s v="01"/>
    <s v="25.01.24"/>
    <s v="25.01.24"/>
    <n v="52"/>
  </r>
  <r>
    <s v="GDN"/>
    <s v="리서치애드"/>
    <s v="노랑푸드노랑통닭"/>
    <x v="33"/>
    <s v="서비스"/>
    <s v="음식/조리"/>
    <s v="기타 프렌차이즈점"/>
    <s v="jtbc.co.kr"/>
    <s v="방송(대)방송기타(중)"/>
    <s v="동영상플레이어"/>
    <s v="GDN"/>
    <s v="25"/>
    <s v="02"/>
    <s v="25.02.26"/>
    <s v="25.02.26"/>
    <n v="52"/>
  </r>
  <r>
    <s v="GDN"/>
    <s v="리서치애드"/>
    <s v="노랑푸드노랑통닭"/>
    <x v="33"/>
    <s v="서비스"/>
    <s v="음식/조리"/>
    <s v="기타 프렌차이즈점"/>
    <s v="jtbc.co.kr"/>
    <s v="방송(대)방송기타(중)"/>
    <s v="동영상플레이어"/>
    <s v="GDN"/>
    <s v="25"/>
    <s v="03"/>
    <s v="25.03.03"/>
    <s v="25.03.07"/>
    <n v="260"/>
  </r>
  <r>
    <s v="Dable"/>
    <s v="리서치애드"/>
    <s v="티지와이"/>
    <x v="34"/>
    <s v="서비스"/>
    <s v="음식/조리"/>
    <s v="기타 프렌차이즈점"/>
    <s v="chosun.com"/>
    <s v="신문/잡지(대)종합일간지(중)"/>
    <s v="메인"/>
    <s v="Dable"/>
    <s v="25"/>
    <s v="04"/>
    <s v="25.04.04"/>
    <s v="25.04.05"/>
    <n v="79"/>
  </r>
  <r>
    <s v="Dable"/>
    <s v="리서치애드"/>
    <s v="티지와이"/>
    <x v="34"/>
    <s v="서비스"/>
    <s v="음식/조리"/>
    <s v="기타 프렌차이즈점"/>
    <s v="imbc.com"/>
    <s v="방송(대)방송국(중)"/>
    <s v="뉴스"/>
    <s v="Dable"/>
    <s v="25"/>
    <s v="04"/>
    <s v="25.04.04"/>
    <s v="25.04.06"/>
    <n v="119"/>
  </r>
  <r>
    <s v="Dable"/>
    <s v="리서치애드"/>
    <s v="티지와이"/>
    <x v="34"/>
    <s v="서비스"/>
    <s v="음식/조리"/>
    <s v="기타 프렌차이즈점"/>
    <s v="imbc.com"/>
    <s v="방송(대)방송국(중)"/>
    <s v="스포츠"/>
    <s v="Dable"/>
    <s v="25"/>
    <s v="04"/>
    <s v="25.04.07"/>
    <s v="25.04.09"/>
    <n v="119"/>
  </r>
  <r>
    <s v="Dable"/>
    <s v="리서치애드"/>
    <s v="티지와이"/>
    <x v="34"/>
    <s v="서비스"/>
    <s v="음식/조리"/>
    <s v="기타 프렌차이즈점"/>
    <s v="sportsseoul.com"/>
    <s v="신문/잡지(대)스포츠신문(중)"/>
    <s v="야구"/>
    <s v="Dable"/>
    <s v="25"/>
    <s v="04"/>
    <s v="25.04.07"/>
    <s v="25.04.09"/>
    <n v="119"/>
  </r>
  <r>
    <s v="Dable"/>
    <s v="리서치애드"/>
    <s v="티지와이"/>
    <x v="34"/>
    <s v="서비스"/>
    <s v="음식/조리"/>
    <s v="기타 프렌차이즈점"/>
    <s v="sportsseoul.com"/>
    <s v="신문/잡지(대)스포츠신문(중)"/>
    <s v="축구"/>
    <s v="Dable"/>
    <s v="25"/>
    <s v="04"/>
    <s v="25.04.03"/>
    <s v="25.04.06"/>
    <n v="158"/>
  </r>
  <r>
    <s v="Dable"/>
    <s v="리서치애드"/>
    <s v="티지와이"/>
    <x v="34"/>
    <s v="서비스"/>
    <s v="음식/조리"/>
    <s v="기타 프렌차이즈점"/>
    <s v="donga.com"/>
    <s v="신문/잡지(대)종합일간지(중)"/>
    <s v="스포츠동아"/>
    <s v="Dable"/>
    <s v="25"/>
    <s v="04"/>
    <s v="25.04.04"/>
    <s v="25.04.06"/>
    <n v="119"/>
  </r>
  <r>
    <s v="Dable"/>
    <s v="리서치애드"/>
    <s v="티지와이"/>
    <x v="34"/>
    <s v="서비스"/>
    <s v="음식/조리"/>
    <s v="기타 프렌차이즈점"/>
    <s v="maxmovie.com"/>
    <s v="엔터테인먼트(대)영화/공연(중)"/>
    <s v="홈"/>
    <s v="Dable"/>
    <s v="25"/>
    <s v="04"/>
    <s v="25.04.04"/>
    <s v="25.04.04"/>
    <n v="40"/>
  </r>
  <r>
    <s v="Dable"/>
    <s v="리서치애드"/>
    <s v="티지와이"/>
    <x v="34"/>
    <s v="서비스"/>
    <s v="음식/조리"/>
    <s v="기타 프렌차이즈점"/>
    <s v="ohmynews.com"/>
    <s v="신문/잡지(대)온라인뉴스(중)"/>
    <s v="여행"/>
    <s v="Dable"/>
    <s v="25"/>
    <s v="04"/>
    <s v="25.04.04"/>
    <s v="25.04.06"/>
    <n v="119"/>
  </r>
  <r>
    <s v="Dable"/>
    <s v="리서치애드"/>
    <s v="티지와이"/>
    <x v="34"/>
    <s v="서비스"/>
    <s v="음식/조리"/>
    <s v="기타 프렌차이즈점"/>
    <s v="ohmynews.com"/>
    <s v="신문/잡지(대)온라인뉴스(중)"/>
    <s v="여행"/>
    <s v="Dable"/>
    <s v="25"/>
    <s v="04"/>
    <s v="25.04.07"/>
    <s v="25.04.08"/>
    <n v="79"/>
  </r>
  <r>
    <s v="Dable"/>
    <s v="리서치애드"/>
    <s v="티지와이"/>
    <x v="34"/>
    <s v="서비스"/>
    <s v="음식/조리"/>
    <s v="기타 프렌차이즈점"/>
    <s v="hankyung.com"/>
    <s v="신문/잡지(대)경제신문(중)"/>
    <s v="국제"/>
    <s v="Dable"/>
    <s v="25"/>
    <s v="04"/>
    <s v="25.04.08"/>
    <s v="25.04.08"/>
    <n v="40"/>
  </r>
  <r>
    <s v="Dable"/>
    <s v="리서치애드"/>
    <s v="티지와이"/>
    <x v="34"/>
    <s v="서비스"/>
    <s v="음식/조리"/>
    <s v="기타 프렌차이즈점"/>
    <s v="kmib.co.kr"/>
    <s v="신문/잡지(대)종합일간지(중)"/>
    <s v="국제"/>
    <s v="Dable"/>
    <s v="25"/>
    <s v="04"/>
    <s v="25.04.04"/>
    <s v="25.04.05"/>
    <n v="79"/>
  </r>
  <r>
    <s v="Dable"/>
    <s v="리서치애드"/>
    <s v="티지와이"/>
    <x v="34"/>
    <s v="서비스"/>
    <s v="음식/조리"/>
    <s v="기타 프렌차이즈점"/>
    <s v="mt.co.kr"/>
    <s v="신문/잡지(대)경제신문(중)"/>
    <s v="증권"/>
    <s v="Dable"/>
    <s v="25"/>
    <s v="04"/>
    <s v="25.04.04"/>
    <s v="25.04.04"/>
    <n v="40"/>
  </r>
  <r>
    <s v="Dable"/>
    <s v="리서치애드"/>
    <s v="티지와이"/>
    <x v="34"/>
    <s v="서비스"/>
    <s v="음식/조리"/>
    <s v="기타 프렌차이즈점"/>
    <s v="ytn.co.kr"/>
    <s v="방송(대)케이블/위성방송(중)"/>
    <s v="문화"/>
    <s v="Dable"/>
    <s v="25"/>
    <s v="04"/>
    <s v="25.04.03"/>
    <s v="25.04.03"/>
    <n v="40"/>
  </r>
  <r>
    <s v="Dable"/>
    <s v="리서치애드"/>
    <s v="티지와이"/>
    <x v="34"/>
    <s v="서비스"/>
    <s v="음식/조리"/>
    <s v="기타 프렌차이즈점"/>
    <s v="edaily.co.kr"/>
    <s v="신문/잡지(대)신문/잡지 기타(중)"/>
    <s v="정치"/>
    <s v="Dable"/>
    <s v="25"/>
    <s v="04"/>
    <s v="25.04.05"/>
    <s v="25.04.05"/>
    <n v="40"/>
  </r>
  <r>
    <s v="Dable"/>
    <s v="리서치애드"/>
    <s v="티지와이"/>
    <x v="34"/>
    <s v="서비스"/>
    <s v="음식/조리"/>
    <s v="기타 프렌차이즈점"/>
    <s v="nocutnews.co.kr"/>
    <s v="신문/잡지(대)온라인뉴스(중)"/>
    <s v="스포츠"/>
    <s v="Dable"/>
    <s v="25"/>
    <s v="04"/>
    <s v="25.04.04"/>
    <s v="25.04.06"/>
    <n v="50"/>
  </r>
  <r>
    <s v="Dable"/>
    <s v="리서치애드"/>
    <s v="티지와이"/>
    <x v="34"/>
    <s v="서비스"/>
    <s v="음식/조리"/>
    <s v="기타 프렌차이즈점"/>
    <s v="nocutnews.co.kr"/>
    <s v="신문/잡지(대)온라인뉴스(중)"/>
    <s v="스포츠"/>
    <s v="Dable"/>
    <s v="25"/>
    <s v="04"/>
    <s v="25.04.07"/>
    <s v="25.04.09"/>
    <n v="50"/>
  </r>
  <r>
    <s v="Dable"/>
    <s v="리서치애드"/>
    <s v="티지와이"/>
    <x v="34"/>
    <s v="서비스"/>
    <s v="음식/조리"/>
    <s v="기타 프렌차이즈점"/>
    <s v="danawa.com"/>
    <s v="생활정보(대)쇼핑/가격정보(중)"/>
    <s v="Q&amp;A"/>
    <s v="Dable"/>
    <s v="25"/>
    <s v="04"/>
    <s v="25.04.04"/>
    <s v="25.04.06"/>
    <n v="119"/>
  </r>
  <r>
    <s v="Dable"/>
    <s v="리서치애드"/>
    <s v="티지와이"/>
    <x v="34"/>
    <s v="서비스"/>
    <s v="음식/조리"/>
    <s v="기타 프렌차이즈점"/>
    <s v="ruliweb.com"/>
    <s v="커뮤니티(대)게시판(중)"/>
    <s v="PS4"/>
    <s v="Dable"/>
    <s v="25"/>
    <s v="04"/>
    <s v="25.04.04"/>
    <s v="25.04.04"/>
    <n v="40"/>
  </r>
  <r>
    <s v="Dable"/>
    <s v="리서치애드"/>
    <s v="티지와이"/>
    <x v="34"/>
    <s v="서비스"/>
    <s v="음식/조리"/>
    <s v="기타 프렌차이즈점"/>
    <s v="zum.com"/>
    <s v="포털(대)포털(중)"/>
    <s v="동영상플레이어"/>
    <s v="Dable"/>
    <s v="25"/>
    <s v="04"/>
    <s v="25.04.03"/>
    <s v="25.04.06"/>
    <n v="158"/>
  </r>
  <r>
    <s v="Dable"/>
    <s v="리서치애드"/>
    <s v="티지와이"/>
    <x v="34"/>
    <s v="서비스"/>
    <s v="음식/조리"/>
    <s v="기타 프렌차이즈점"/>
    <s v="zum.com"/>
    <s v="포털(대)포털(중)"/>
    <s v="동영상플레이어"/>
    <s v="Dable"/>
    <s v="25"/>
    <s v="04"/>
    <s v="25.04.07"/>
    <s v="25.04.09"/>
    <n v="119"/>
  </r>
  <r>
    <s v="Dable"/>
    <s v="리서치애드"/>
    <s v="티지와이"/>
    <x v="34"/>
    <s v="서비스"/>
    <s v="음식/조리"/>
    <s v="기타 프렌차이즈점"/>
    <s v="ichannela.com"/>
    <s v="방송(대)방송기타(중)"/>
    <s v="경제"/>
    <s v="Dable"/>
    <s v="25"/>
    <s v="04"/>
    <s v="25.04.03"/>
    <s v="25.04.06"/>
    <n v="158"/>
  </r>
  <r>
    <s v="Dable"/>
    <s v="리서치애드"/>
    <s v="티지와이"/>
    <x v="34"/>
    <s v="서비스"/>
    <s v="음식/조리"/>
    <s v="기타 프렌차이즈점"/>
    <s v="ichannela.com"/>
    <s v="방송(대)방송기타(중)"/>
    <s v="경제"/>
    <s v="Dable"/>
    <s v="25"/>
    <s v="04"/>
    <s v="25.04.08"/>
    <s v="25.04.09"/>
    <n v="79"/>
  </r>
  <r>
    <s v="Dable"/>
    <s v="리서치애드"/>
    <s v="티지와이"/>
    <x v="34"/>
    <s v="서비스"/>
    <s v="음식/조리"/>
    <s v="기타 프렌차이즈점"/>
    <s v="tvchosun.com"/>
    <s v="방송(대)방송기타(중)"/>
    <s v="뉴스"/>
    <s v="Dable"/>
    <s v="25"/>
    <s v="04"/>
    <s v="25.04.04"/>
    <s v="25.04.05"/>
    <n v="79"/>
  </r>
  <r>
    <s v="GDN"/>
    <s v="리서치애드"/>
    <s v="제이케이글로벌"/>
    <x v="35"/>
    <s v="서비스"/>
    <s v="음식/조리"/>
    <s v="기타 프렌차이즈점"/>
    <s v="nate.com"/>
    <s v="포털(대)포털(중)"/>
    <s v="네이트뷰"/>
    <s v="GDN"/>
    <s v="25"/>
    <s v="11"/>
    <s v="25.11.14"/>
    <s v="25.11.14"/>
    <n v="92"/>
  </r>
  <r>
    <s v="GDN"/>
    <s v="리서치애드"/>
    <s v="제이케이글로벌"/>
    <x v="35"/>
    <s v="서비스"/>
    <s v="음식/조리"/>
    <s v="기타 프렌차이즈점"/>
    <s v="ohmynews.com"/>
    <s v="신문/잡지(대)온라인뉴스(중)"/>
    <s v="오마이스타"/>
    <s v="GDN"/>
    <s v="25"/>
    <s v="11"/>
    <s v="25.11.18"/>
    <s v="25.11.18"/>
    <n v="92"/>
  </r>
  <r>
    <s v="GDN"/>
    <s v="리서치애드"/>
    <s v="제이케이글로벌"/>
    <x v="35"/>
    <s v="서비스"/>
    <s v="음식/조리"/>
    <s v="기타 프렌차이즈점"/>
    <s v="munhwa.com"/>
    <s v="신문/잡지(대)종합일간지(중)"/>
    <s v="사회"/>
    <s v="GDN"/>
    <s v="25"/>
    <s v="11"/>
    <s v="25.11.18"/>
    <s v="25.11.18"/>
    <n v="92"/>
  </r>
  <r>
    <s v="GDN"/>
    <s v="리서치애드"/>
    <s v="제이케이글로벌"/>
    <x v="35"/>
    <s v="서비스"/>
    <s v="음식/조리"/>
    <s v="기타 프렌차이즈점"/>
    <s v="munhwa.com"/>
    <s v="신문/잡지(대)종합일간지(중)"/>
    <s v="스포츠"/>
    <s v="GDN"/>
    <s v="25"/>
    <s v="10"/>
    <s v="25.10.12"/>
    <s v="25.10.12"/>
    <n v="92"/>
  </r>
  <r>
    <s v="GDN"/>
    <s v="리서치애드"/>
    <s v="제이케이글로벌"/>
    <x v="35"/>
    <s v="서비스"/>
    <s v="음식/조리"/>
    <s v="기타 프렌차이즈점"/>
    <s v="hankyung.com"/>
    <s v="신문/잡지(대)경제신문(중)"/>
    <s v="금융"/>
    <s v="GDN"/>
    <s v="25"/>
    <s v="11"/>
    <s v="25.11.18"/>
    <s v="25.11.18"/>
    <n v="92"/>
  </r>
  <r>
    <s v="GDN"/>
    <s v="리서치애드"/>
    <s v="제이케이글로벌"/>
    <x v="35"/>
    <s v="서비스"/>
    <s v="음식/조리"/>
    <s v="기타 프렌차이즈점"/>
    <s v="ytn.co.kr"/>
    <s v="방송(대)케이블/위성방송(중)"/>
    <s v="경제"/>
    <s v="GDN"/>
    <s v="25"/>
    <s v="11"/>
    <s v="25.11.18"/>
    <s v="25.11.18"/>
    <n v="92"/>
  </r>
  <r>
    <s v="GDN"/>
    <s v="리서치애드"/>
    <s v="제이케이글로벌"/>
    <x v="35"/>
    <s v="서비스"/>
    <s v="음식/조리"/>
    <s v="기타 프렌차이즈점"/>
    <s v="newdaily.co.kr"/>
    <s v="신문/잡지(대)온라인뉴스(중)"/>
    <s v="연예"/>
    <s v="GDN"/>
    <s v="25"/>
    <s v="11"/>
    <s v="25.11.18"/>
    <s v="25.11.18"/>
    <n v="92"/>
  </r>
  <r>
    <s v="애드몹"/>
    <s v="리서치애드"/>
    <s v="혜인유통"/>
    <x v="5"/>
    <s v="서비스"/>
    <s v="음식/조리"/>
    <s v="기타 프렌차이즈점"/>
    <s v="chosun.com"/>
    <s v="신문/잡지(대)종합일간지(중)"/>
    <s v="m.web"/>
    <s v="애드몹"/>
    <s v="25"/>
    <s v="12"/>
    <s v="25.12.17"/>
    <s v="25.12.17"/>
    <n v="415"/>
  </r>
  <r>
    <s v="애드몹"/>
    <s v="리서치애드"/>
    <s v="혜인유통"/>
    <x v="5"/>
    <s v="서비스"/>
    <s v="음식/조리"/>
    <s v="기타 프렌차이즈점"/>
    <s v="chosun.com"/>
    <s v="신문/잡지(대)종합일간지(중)"/>
    <s v="m.web"/>
    <s v="애드몹"/>
    <s v="25"/>
    <s v="12"/>
    <s v="25.12.24"/>
    <s v="25.12.24"/>
    <n v="415"/>
  </r>
  <r>
    <s v="애드몹"/>
    <s v="리서치애드"/>
    <s v="혜인유통"/>
    <x v="5"/>
    <s v="서비스"/>
    <s v="음식/조리"/>
    <s v="기타 프렌차이즈점"/>
    <s v="ohmynews.com"/>
    <s v="신문/잡지(대)온라인뉴스(중)"/>
    <s v="m.web"/>
    <s v="애드몹"/>
    <s v="25"/>
    <s v="12"/>
    <s v="25.12.16"/>
    <s v="25.12.16"/>
    <n v="415"/>
  </r>
  <r>
    <s v="애드몹"/>
    <s v="리서치애드"/>
    <s v="혜인유통"/>
    <x v="5"/>
    <s v="서비스"/>
    <s v="음식/조리"/>
    <s v="기타 프렌차이즈점"/>
    <s v="ohmynews.com"/>
    <s v="신문/잡지(대)온라인뉴스(중)"/>
    <s v="m.web"/>
    <s v="애드몹"/>
    <s v="25"/>
    <s v="12"/>
    <s v="25.12.31"/>
    <s v="25.12.31"/>
    <n v="415"/>
  </r>
  <r>
    <s v="애드몹"/>
    <s v="리서치애드"/>
    <s v="혜인유통"/>
    <x v="5"/>
    <s v="서비스"/>
    <s v="음식/조리"/>
    <s v="기타 프렌차이즈점"/>
    <s v="mt.co.kr"/>
    <s v="신문/잡지(대)경제신문(중)"/>
    <s v="m.web"/>
    <s v="애드몹"/>
    <s v="25"/>
    <s v="10"/>
    <s v="25.10.28"/>
    <s v="25.10.28"/>
    <n v="241"/>
  </r>
  <r>
    <s v="애드몹"/>
    <s v="리서치애드"/>
    <s v="혜인유통"/>
    <x v="5"/>
    <s v="서비스"/>
    <s v="음식/조리"/>
    <s v="기타 프렌차이즈점"/>
    <s v="edaily.co.kr"/>
    <s v="신문/잡지(대)신문/잡지 기타(중)"/>
    <s v="m.web"/>
    <s v="애드몹"/>
    <s v="25"/>
    <s v="11"/>
    <s v="25.11.05"/>
    <s v="25.11.05"/>
    <n v="415"/>
  </r>
  <r>
    <s v="애드몹"/>
    <s v="리서치애드"/>
    <s v="혜인유통"/>
    <x v="5"/>
    <s v="서비스"/>
    <s v="음식/조리"/>
    <s v="기타 프렌차이즈점"/>
    <s v="etoday.co.kr"/>
    <s v="신문/잡지(대)온라인뉴스(중)"/>
    <s v="m.web"/>
    <s v="애드몹"/>
    <s v="25"/>
    <s v="11"/>
    <s v="25.11.03"/>
    <s v="25.11.03"/>
    <n v="658"/>
  </r>
  <r>
    <s v="애드몹"/>
    <s v="리서치애드"/>
    <s v="혜인유통"/>
    <x v="5"/>
    <s v="서비스"/>
    <s v="음식/조리"/>
    <s v="기타 프렌차이즈점"/>
    <s v="미로찾기의 왕"/>
    <s v="엔터테인먼트(대)게임(중)"/>
    <s v="m.app"/>
    <s v="애드몹"/>
    <s v="25"/>
    <s v="07"/>
    <s v="25.07.12"/>
    <s v="25.07.12"/>
    <n v="178"/>
  </r>
  <r>
    <s v="애드몹"/>
    <s v="리서치애드"/>
    <s v="혜인유통"/>
    <x v="5"/>
    <s v="서비스"/>
    <s v="음식/조리"/>
    <s v="기타 프렌차이즈점"/>
    <s v="바운스볼"/>
    <s v="엔터테인먼트(대)게임(중)"/>
    <s v="m.app"/>
    <s v="애드몹"/>
    <s v="25"/>
    <s v="07"/>
    <s v="25.07.10"/>
    <s v="25.07.11"/>
    <n v="355"/>
  </r>
  <r>
    <s v="애드몹"/>
    <s v="리서치애드"/>
    <s v="혜인유통"/>
    <x v="5"/>
    <s v="서비스"/>
    <s v="음식/조리"/>
    <s v="기타 프렌차이즈점"/>
    <s v="바운스볼"/>
    <s v="엔터테인먼트(대)게임(중)"/>
    <s v="m.app"/>
    <s v="애드몹"/>
    <s v="25"/>
    <s v="07"/>
    <s v="25.07.12"/>
    <s v="25.07.12"/>
    <n v="178"/>
  </r>
  <r>
    <s v="애드몹"/>
    <s v="리서치애드"/>
    <s v="혜인유통"/>
    <x v="5"/>
    <s v="서비스"/>
    <s v="음식/조리"/>
    <s v="기타 프렌차이즈점"/>
    <s v="바운스볼"/>
    <s v="엔터테인먼트(대)게임(중)"/>
    <s v="m.app"/>
    <s v="애드몹"/>
    <s v="25"/>
    <s v="07"/>
    <s v="25.07.14"/>
    <s v="25.07.19"/>
    <n v="1065"/>
  </r>
  <r>
    <s v="애드몹"/>
    <s v="리서치애드"/>
    <s v="혜인유통"/>
    <x v="5"/>
    <s v="서비스"/>
    <s v="음식/조리"/>
    <s v="기타 프렌차이즈점"/>
    <s v="바운스볼"/>
    <s v="엔터테인먼트(대)게임(중)"/>
    <s v="m.app"/>
    <s v="애드몹"/>
    <s v="25"/>
    <s v="07"/>
    <s v="25.07.22"/>
    <s v="25.07.27"/>
    <n v="1065"/>
  </r>
  <r>
    <s v="애드몹"/>
    <s v="리서치애드"/>
    <s v="혜인유통"/>
    <x v="5"/>
    <s v="서비스"/>
    <s v="음식/조리"/>
    <s v="기타 프렌차이즈점"/>
    <s v="브라이티스트 플래시라이트 무료"/>
    <s v="모바일(대)도구/유틸리티(중)"/>
    <s v="m.app"/>
    <s v="애드몹"/>
    <s v="25"/>
    <s v="12"/>
    <s v="25.12.18"/>
    <s v="25.12.18"/>
    <n v="242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7"/>
    <s v="25.07.07"/>
    <s v="25.07.07"/>
    <n v="178"/>
  </r>
  <r>
    <s v="애드몹"/>
    <s v="리서치애드"/>
    <s v="혜인유통"/>
    <x v="5"/>
    <s v="서비스"/>
    <s v="음식/조리"/>
    <s v="기타 프렌차이즈점"/>
    <s v="성형견적 테스트"/>
    <s v="엔터테인먼트(대)엔터테인먼트 기타(중)"/>
    <s v="m.app"/>
    <s v="애드몹"/>
    <s v="25"/>
    <s v="09"/>
    <s v="25.09.02"/>
    <s v="25.09.02"/>
    <n v="168"/>
  </r>
  <r>
    <s v="애드몹"/>
    <s v="리서치애드"/>
    <s v="혜인유통"/>
    <x v="5"/>
    <s v="서비스"/>
    <s v="음식/조리"/>
    <s v="기타 프렌차이즈점"/>
    <s v="주차의 달인 4"/>
    <s v="엔터테인먼트(대)게임(중)"/>
    <s v="m.app"/>
    <s v="애드몹"/>
    <s v="25"/>
    <s v="07"/>
    <s v="25.07.05"/>
    <s v="25.07.05"/>
    <n v="178"/>
  </r>
  <r>
    <s v="애드몹"/>
    <s v="리서치애드"/>
    <s v="혜인유통"/>
    <x v="5"/>
    <s v="서비스"/>
    <s v="음식/조리"/>
    <s v="기타 프렌차이즈점"/>
    <s v="주차의 달인 4"/>
    <s v="엔터테인먼트(대)게임(중)"/>
    <s v="m.app"/>
    <s v="애드몹"/>
    <s v="25"/>
    <s v="07"/>
    <s v="25.07.07"/>
    <s v="25.07.07"/>
    <n v="178"/>
  </r>
  <r>
    <s v="애드몹"/>
    <s v="리서치애드"/>
    <s v="혜인유통"/>
    <x v="5"/>
    <s v="서비스"/>
    <s v="음식/조리"/>
    <s v="기타 프렌차이즈점"/>
    <s v="주차의 달인 4"/>
    <s v="엔터테인먼트(대)게임(중)"/>
    <s v="m.app"/>
    <s v="애드몹"/>
    <s v="25"/>
    <s v="07"/>
    <s v="25.07.16"/>
    <s v="25.07.16"/>
    <n v="178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9"/>
    <s v="25.09.22"/>
    <s v="25.09.22"/>
    <n v="168"/>
  </r>
  <r>
    <s v="애드몹"/>
    <s v="리서치애드"/>
    <s v="혜인유통"/>
    <x v="5"/>
    <s v="서비스"/>
    <s v="음식/조리"/>
    <s v="기타 프렌차이즈점"/>
    <s v="자"/>
    <s v="모바일(대)도구/유틸리티(중)"/>
    <s v="m.app"/>
    <s v="애드몹"/>
    <s v="25"/>
    <s v="07"/>
    <s v="25.07.13"/>
    <s v="25.07.13"/>
    <n v="178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7"/>
    <s v="25.07.10"/>
    <s v="25.07.11"/>
    <n v="355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7"/>
    <s v="25.07.15"/>
    <s v="25.07.16"/>
    <n v="355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12"/>
    <s v="25.12.27"/>
    <s v="25.12.27"/>
    <n v="242"/>
  </r>
  <r>
    <s v="애드몹"/>
    <s v="리서치애드"/>
    <s v="혜인유통"/>
    <x v="5"/>
    <s v="서비스"/>
    <s v="음식/조리"/>
    <s v="기타 프렌차이즈점"/>
    <s v="월드 볼링 챔피언십"/>
    <s v="엔터테인먼트(대)게임(중)"/>
    <s v="m.app"/>
    <s v="애드몹"/>
    <s v="25"/>
    <s v="07"/>
    <s v="25.07.14"/>
    <s v="25.07.16"/>
    <n v="533"/>
  </r>
  <r>
    <s v="애드몹"/>
    <s v="리서치애드"/>
    <s v="혜인유통"/>
    <x v="5"/>
    <s v="서비스"/>
    <s v="음식/조리"/>
    <s v="기타 프렌차이즈점"/>
    <s v="해파리 육성"/>
    <s v="엔터테인먼트(대)게임(중)"/>
    <s v="m.app"/>
    <s v="애드몹"/>
    <s v="25"/>
    <s v="09"/>
    <s v="25.09.03"/>
    <s v="25.09.03"/>
    <n v="168"/>
  </r>
  <r>
    <s v="애드몹"/>
    <s v="리서치애드"/>
    <s v="혜인유통"/>
    <x v="5"/>
    <s v="서비스"/>
    <s v="음식/조리"/>
    <s v="기타 프렌차이즈점"/>
    <s v="해파리 육성"/>
    <s v="엔터테인먼트(대)게임(중)"/>
    <s v="m.app"/>
    <s v="애드몹"/>
    <s v="25"/>
    <s v="09"/>
    <s v="25.09.08"/>
    <s v="25.09.08"/>
    <n v="168"/>
  </r>
  <r>
    <s v="애드몹"/>
    <s v="리서치애드"/>
    <s v="혜인유통"/>
    <x v="5"/>
    <s v="서비스"/>
    <s v="음식/조리"/>
    <s v="기타 프렌차이즈점"/>
    <s v="kbench.com"/>
    <s v="생활정보(대)쇼핑/가격정보(중)"/>
    <s v="m.web"/>
    <s v="애드몹"/>
    <s v="25"/>
    <s v="12"/>
    <s v="25.12.17"/>
    <s v="25.12.17"/>
    <n v="263"/>
  </r>
  <r>
    <s v="애드몹"/>
    <s v="리서치애드"/>
    <s v="혜인유통"/>
    <x v="5"/>
    <s v="서비스"/>
    <s v="음식/조리"/>
    <s v="기타 프렌차이즈점"/>
    <s v="이름궁합"/>
    <s v="엔터테인먼트(대)엔터테인먼트 기타(중)"/>
    <s v="m.app"/>
    <s v="애드몹"/>
    <s v="25"/>
    <s v="07"/>
    <s v="25.07.14"/>
    <s v="25.07.14"/>
    <n v="178"/>
  </r>
  <r>
    <s v="애드몹"/>
    <s v="리서치애드"/>
    <s v="혜인유통"/>
    <x v="5"/>
    <s v="서비스"/>
    <s v="음식/조리"/>
    <s v="기타 프렌차이즈점"/>
    <s v="엉덩이 및 다리 운동"/>
    <s v="모바일(대)라이프스타일(중)"/>
    <s v="m.app"/>
    <s v="애드몹"/>
    <s v="25"/>
    <s v="07"/>
    <s v="25.07.07"/>
    <s v="25.07.07"/>
    <n v="178"/>
  </r>
  <r>
    <s v="애드몹"/>
    <s v="리서치애드"/>
    <s v="혜인유통"/>
    <x v="5"/>
    <s v="서비스"/>
    <s v="음식/조리"/>
    <s v="기타 프렌차이즈점"/>
    <s v="엉덩이 및 다리 운동"/>
    <s v="모바일(대)라이프스타일(중)"/>
    <s v="m.app"/>
    <s v="애드몹"/>
    <s v="25"/>
    <s v="07"/>
    <s v="25.07.15"/>
    <s v="25.07.16"/>
    <n v="355"/>
  </r>
  <r>
    <s v="애드몹"/>
    <s v="리서치애드"/>
    <s v="혜인유통"/>
    <x v="5"/>
    <s v="서비스"/>
    <s v="음식/조리"/>
    <s v="기타 프렌차이즈점"/>
    <s v="소리 퀴즈"/>
    <s v="엔터테인먼트(대)게임(중)"/>
    <s v="m.app"/>
    <s v="애드몹"/>
    <s v="25"/>
    <s v="07"/>
    <s v="25.07.14"/>
    <s v="25.07.14"/>
    <n v="178"/>
  </r>
  <r>
    <s v="애드몹"/>
    <s v="리서치애드"/>
    <s v="혜인유통"/>
    <x v="5"/>
    <s v="서비스"/>
    <s v="음식/조리"/>
    <s v="기타 프렌차이즈점"/>
    <s v="소리 퀴즈"/>
    <s v="엔터테인먼트(대)게임(중)"/>
    <s v="m.app"/>
    <s v="애드몹"/>
    <s v="25"/>
    <s v="07"/>
    <s v="25.07.16"/>
    <s v="25.07.16"/>
    <n v="178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7"/>
    <s v="25.07.11"/>
    <s v="25.07.11"/>
    <n v="178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7"/>
    <s v="25.07.15"/>
    <s v="25.07.15"/>
    <n v="178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7"/>
    <s v="25.07.16"/>
    <s v="25.07.16"/>
    <n v="356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9"/>
    <s v="25.09.03"/>
    <s v="25.09.03"/>
    <n v="168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7"/>
    <s v="25.07.09"/>
    <s v="25.07.12"/>
    <n v="710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7"/>
    <s v="25.07.15"/>
    <s v="25.07.19"/>
    <n v="888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7"/>
    <s v="25.07.23"/>
    <s v="25.07.23"/>
    <n v="178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7"/>
    <s v="25.07.28"/>
    <s v="25.07.28"/>
    <n v="178"/>
  </r>
  <r>
    <s v="SNS"/>
    <s v="리서치애드"/>
    <s v="혜인유통"/>
    <x v="5"/>
    <s v="서비스"/>
    <s v="음식/조리"/>
    <s v="기타 프렌차이즈점"/>
    <s v="Instagram"/>
    <s v="커뮤니티(대)홈페이지(중)"/>
    <s v="m.app"/>
    <s v="-"/>
    <s v="25"/>
    <s v="08"/>
    <s v="25.08.21"/>
    <s v="25.08.24"/>
    <n v="2448"/>
  </r>
  <r>
    <s v="SNS"/>
    <s v="리서치애드"/>
    <s v="혜인유통"/>
    <x v="5"/>
    <s v="서비스"/>
    <s v="음식/조리"/>
    <s v="기타 프렌차이즈점"/>
    <s v="Instagram"/>
    <s v="커뮤니티(대)홈페이지(중)"/>
    <s v="m.app"/>
    <s v="-"/>
    <s v="25"/>
    <s v="08"/>
    <s v="25.08.25"/>
    <s v="25.08.29"/>
    <n v="3060"/>
  </r>
  <r>
    <s v="SNS"/>
    <s v="리서치애드"/>
    <s v="혜인유통"/>
    <x v="5"/>
    <s v="서비스"/>
    <s v="음식/조리"/>
    <s v="기타 프렌차이즈점"/>
    <s v="Instagram"/>
    <s v="커뮤니티(대)홈페이지(중)"/>
    <s v="m.app"/>
    <s v="-"/>
    <s v="25"/>
    <s v="09"/>
    <s v="25.09.02"/>
    <s v="25.09.07"/>
    <n v="5129"/>
  </r>
  <r>
    <s v="애드몹"/>
    <s v="리서치애드"/>
    <s v="혜인유통"/>
    <x v="5"/>
    <s v="서비스"/>
    <s v="음식/조리"/>
    <s v="기타 프렌차이즈점"/>
    <s v="투명 라이브 배경 화면"/>
    <s v="모바일(대)엔터테인먼트(중)"/>
    <s v="m.app"/>
    <s v="애드몹"/>
    <s v="25"/>
    <s v="07"/>
    <s v="25.07.14"/>
    <s v="25.07.14"/>
    <n v="178"/>
  </r>
  <r>
    <s v="애드몹"/>
    <s v="리서치애드"/>
    <s v="혜인유통"/>
    <x v="5"/>
    <s v="서비스"/>
    <s v="음식/조리"/>
    <s v="기타 프렌차이즈점"/>
    <s v="Brain Test"/>
    <s v="엔터테인먼트(대)게임(중)"/>
    <s v="m.app"/>
    <s v="애드몹"/>
    <s v="25"/>
    <s v="07"/>
    <s v="25.07.09"/>
    <s v="25.07.09"/>
    <n v="178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7"/>
    <s v="25.07.10"/>
    <s v="25.07.10"/>
    <n v="178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7"/>
    <s v="25.07.14"/>
    <s v="25.07.14"/>
    <n v="178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7"/>
    <s v="25.07.28"/>
    <s v="25.07.31"/>
    <n v="710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7"/>
    <s v="25.07.29"/>
    <s v="25.07.29"/>
    <n v="178"/>
  </r>
  <r>
    <s v="애드몹"/>
    <s v="리서치애드"/>
    <s v="혜인유통"/>
    <x v="5"/>
    <s v="서비스"/>
    <s v="음식/조리"/>
    <s v="기타 프렌차이즈점"/>
    <s v="오늘의 수호천사"/>
    <s v="모바일(대)엔터테인먼트(중)"/>
    <s v="m.app"/>
    <s v="애드몹"/>
    <s v="25"/>
    <s v="07"/>
    <s v="25.07.10"/>
    <s v="25.07.10"/>
    <n v="178"/>
  </r>
  <r>
    <s v="애드몹"/>
    <s v="리서치애드"/>
    <s v="혜인유통"/>
    <x v="5"/>
    <s v="서비스"/>
    <s v="음식/조리"/>
    <s v="기타 프렌차이즈점"/>
    <s v="오늘의 수호천사"/>
    <s v="모바일(대)엔터테인먼트(중)"/>
    <s v="m.app"/>
    <s v="애드몹"/>
    <s v="25"/>
    <s v="07"/>
    <s v="25.07.15"/>
    <s v="25.07.16"/>
    <n v="355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7"/>
    <s v="25.07.12"/>
    <s v="25.07.12"/>
    <n v="178"/>
  </r>
  <r>
    <s v="애드몹"/>
    <s v="리서치애드"/>
    <s v="혜인유통"/>
    <x v="5"/>
    <s v="서비스"/>
    <s v="음식/조리"/>
    <s v="기타 프렌차이즈점"/>
    <s v="DSLR Camera HD Professional"/>
    <s v="모바일(대)도구/유틸리티(중)"/>
    <s v="m.app"/>
    <s v="애드몹"/>
    <s v="25"/>
    <s v="07"/>
    <s v="25.07.11"/>
    <s v="25.07.11"/>
    <n v="178"/>
  </r>
  <r>
    <s v="애드몹"/>
    <s v="리서치애드"/>
    <s v="혜인유통"/>
    <x v="5"/>
    <s v="서비스"/>
    <s v="음식/조리"/>
    <s v="기타 프렌차이즈점"/>
    <s v="DSLR Camera HD Professional"/>
    <s v="모바일(대)도구/유틸리티(중)"/>
    <s v="m.app"/>
    <s v="애드몹"/>
    <s v="25"/>
    <s v="07"/>
    <s v="25.07.16"/>
    <s v="25.07.16"/>
    <n v="178"/>
  </r>
  <r>
    <s v="애드몹"/>
    <s v="리서치애드"/>
    <s v="혜인유통"/>
    <x v="5"/>
    <s v="서비스"/>
    <s v="음식/조리"/>
    <s v="기타 프렌차이즈점"/>
    <s v="저승식당 운영하기"/>
    <s v="엔터테인먼트(대)게임(중)"/>
    <s v="m.app"/>
    <s v="애드몹"/>
    <s v="25"/>
    <s v="07"/>
    <s v="25.07.12"/>
    <s v="25.07.12"/>
    <n v="178"/>
  </r>
  <r>
    <s v="애드몹"/>
    <s v="리서치애드"/>
    <s v="혜인유통"/>
    <x v="5"/>
    <s v="서비스"/>
    <s v="음식/조리"/>
    <s v="기타 프렌차이즈점"/>
    <s v="저승식당 운영하기"/>
    <s v="엔터테인먼트(대)게임(중)"/>
    <s v="m.app"/>
    <s v="애드몹"/>
    <s v="25"/>
    <s v="07"/>
    <s v="25.07.13"/>
    <s v="25.07.13"/>
    <n v="178"/>
  </r>
  <r>
    <s v="애드몹"/>
    <s v="리서치애드"/>
    <s v="혜인유통"/>
    <x v="5"/>
    <s v="서비스"/>
    <s v="음식/조리"/>
    <s v="기타 프렌차이즈점"/>
    <s v="Free Heater - SQZSoft"/>
    <s v="모바일(대)도구/유틸리티(중)"/>
    <s v="m.app"/>
    <s v="애드몹"/>
    <s v="25"/>
    <s v="10"/>
    <s v="25.10.14"/>
    <s v="25.10.14"/>
    <n v="222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7"/>
    <s v="25.07.11"/>
    <s v="25.07.11"/>
    <n v="178"/>
  </r>
  <r>
    <s v="애드몹"/>
    <s v="리서치애드"/>
    <s v="혜인유통"/>
    <x v="5"/>
    <s v="서비스"/>
    <s v="음식/조리"/>
    <s v="기타 프렌차이즈점"/>
    <s v="철강무게 계산기"/>
    <s v="모바일(대)도구/유틸리티(중)"/>
    <s v="m.app"/>
    <s v="애드몹"/>
    <s v="25"/>
    <s v="07"/>
    <s v="25.07.10"/>
    <s v="25.07.10"/>
    <n v="178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7"/>
    <s v="25.07.10"/>
    <s v="25.07.12"/>
    <n v="533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7"/>
    <s v="25.07.10"/>
    <s v="25.07.11"/>
    <n v="355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7"/>
    <s v="25.07.21"/>
    <s v="25.07.21"/>
    <n v="178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7"/>
    <s v="25.07.30"/>
    <s v="25.07.30"/>
    <n v="178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8"/>
    <s v="25.08.31"/>
    <s v="25.08.31"/>
    <n v="207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7"/>
    <s v="25.07.04"/>
    <s v="25.07.04"/>
    <n v="8807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8"/>
    <s v="25.08.21"/>
    <s v="25.08.21"/>
    <n v="8807"/>
  </r>
  <r>
    <s v="카카오광고"/>
    <s v="리서치애드"/>
    <s v="제너시스"/>
    <x v="26"/>
    <s v="서비스"/>
    <s v="음식/조리"/>
    <s v="기타 프렌차이즈점"/>
    <s v="지하철"/>
    <s v="생활정보(대)교통/날씨(중)"/>
    <s v="m.app"/>
    <s v="카카오광고"/>
    <s v="25"/>
    <s v="07"/>
    <s v="25.07.04"/>
    <s v="25.07.04"/>
    <n v="16"/>
  </r>
  <r>
    <s v="애드몹"/>
    <s v="리서치애드"/>
    <s v="제너시스"/>
    <x v="26"/>
    <s v="서비스"/>
    <s v="음식/조리"/>
    <s v="기타 프렌차이즈점"/>
    <s v="tvchosun.com"/>
    <s v="방송(대)방송기타(중)"/>
    <s v="m.web"/>
    <s v="애드몹"/>
    <s v="25"/>
    <s v="08"/>
    <s v="25.08.08"/>
    <s v="25.08.08"/>
    <n v="225"/>
  </r>
  <r>
    <s v="애드몹"/>
    <s v="리서치애드"/>
    <s v="제너시스"/>
    <x v="26"/>
    <s v="서비스"/>
    <s v="음식/조리"/>
    <s v="기타 프렌차이즈점"/>
    <s v="moneta.co.kr"/>
    <s v="금융/비즈니스(대)금융정보(중)"/>
    <s v="m.web"/>
    <s v="애드몹"/>
    <s v="25"/>
    <s v="08"/>
    <s v="25.08.07"/>
    <s v="25.08.07"/>
    <n v="225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7"/>
    <s v="25.07.08"/>
    <s v="25.07.11"/>
    <n v="2242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7"/>
    <s v="25.07.11"/>
    <s v="25.07.11"/>
    <n v="561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7"/>
    <s v="25.07.21"/>
    <s v="25.07.25"/>
    <n v="2803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9"/>
    <s v="25.09.21"/>
    <s v="25.09.21"/>
    <n v="855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9"/>
    <s v="25.09.22"/>
    <s v="25.09.28"/>
    <n v="5983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9"/>
    <s v="25.09.29"/>
    <s v="25.09.29"/>
    <n v="855"/>
  </r>
  <r>
    <s v="카카오광고"/>
    <s v="리서치애드"/>
    <s v="제너시스"/>
    <x v="26"/>
    <s v="서비스"/>
    <s v="음식/조리"/>
    <s v="기타 프렌차이즈점"/>
    <s v="카카오내비"/>
    <s v="생활정보(대)교통/날씨(중)"/>
    <s v="m.app"/>
    <s v="카카오광고"/>
    <s v="25"/>
    <s v="08"/>
    <s v="25.08.14"/>
    <s v="25.08.16"/>
    <n v="47"/>
  </r>
  <r>
    <s v="카카오광고"/>
    <s v="리서치애드"/>
    <s v="제너시스"/>
    <x v="26"/>
    <s v="서비스"/>
    <s v="음식/조리"/>
    <s v="기타 프렌차이즈점"/>
    <s v="카카오내비"/>
    <s v="생활정보(대)교통/날씨(중)"/>
    <s v="m.app"/>
    <s v="카카오광고"/>
    <s v="25"/>
    <s v="11"/>
    <s v="25.11.09"/>
    <s v="25.11.09"/>
    <n v="16"/>
  </r>
  <r>
    <s v="카카오광고"/>
    <s v="리서치애드"/>
    <s v="제너시스"/>
    <x v="26"/>
    <s v="서비스"/>
    <s v="음식/조리"/>
    <s v="기타 프렌차이즈점"/>
    <s v="카카오내비"/>
    <s v="생활정보(대)교통/날씨(중)"/>
    <s v="m.app"/>
    <s v="카카오광고"/>
    <s v="25"/>
    <s v="11"/>
    <s v="25.11.18"/>
    <s v="25.11.18"/>
    <n v="16"/>
  </r>
  <r>
    <s v="카카오광고"/>
    <s v="리서치애드"/>
    <s v="제너시스"/>
    <x v="26"/>
    <s v="서비스"/>
    <s v="음식/조리"/>
    <s v="기타 프렌차이즈점"/>
    <s v="카카오지하철"/>
    <s v="생활정보(대)교통/날씨(중)"/>
    <s v="m.app"/>
    <s v="카카오광고"/>
    <s v="25"/>
    <s v="07"/>
    <s v="25.07.27"/>
    <s v="25.07.27"/>
    <n v="16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01"/>
    <s v="25.07.06"/>
    <n v="11490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06"/>
    <s v="25.07.06"/>
    <n v="958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07"/>
    <s v="25.07.13"/>
    <n v="13406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09"/>
    <s v="25.07.13"/>
    <n v="14364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14"/>
    <s v="25.07.20"/>
    <n v="33515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22"/>
    <s v="25.07.25"/>
    <n v="19150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27"/>
    <s v="25.07.27"/>
    <n v="4790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28"/>
    <s v="25.07.31"/>
    <n v="15320"/>
  </r>
  <r>
    <s v="NAPDSP"/>
    <s v="리서치애드"/>
    <s v="제너시스"/>
    <x v="26"/>
    <s v="서비스"/>
    <s v="음식/조리"/>
    <s v="기타 프렌차이즈점"/>
    <s v="NAPDSP"/>
    <s v="모바일(대)모바일기타(중)"/>
    <s v="m.app"/>
    <s v="NAPDSP"/>
    <s v="25"/>
    <s v="07"/>
    <s v="25.07.29"/>
    <s v="25.07.31"/>
    <n v="2873"/>
  </r>
  <r>
    <s v="MOLOCO"/>
    <s v="리서치애드"/>
    <s v="교촌F&amp;B"/>
    <x v="6"/>
    <s v="서비스"/>
    <s v="음식/조리"/>
    <s v="기타 프렌차이즈점"/>
    <s v="바운스볼"/>
    <s v="엔터테인먼트(대)게임(중)"/>
    <s v="m.app"/>
    <s v="MOLOCO"/>
    <s v="25"/>
    <s v="09"/>
    <s v="25.09.07"/>
    <s v="25.09.07"/>
    <n v="74"/>
  </r>
  <r>
    <s v="MOLOCO"/>
    <s v="리서치애드"/>
    <s v="교촌F&amp;B"/>
    <x v="6"/>
    <s v="서비스"/>
    <s v="음식/조리"/>
    <s v="기타 프렌차이즈점"/>
    <s v="원기날씨"/>
    <s v="생활정보(대)교통/날씨(중)"/>
    <s v="m.app"/>
    <s v="MOLOCO"/>
    <s v="25"/>
    <s v="08"/>
    <s v="25.08.11"/>
    <s v="25.08.11"/>
    <n v="56"/>
  </r>
  <r>
    <s v="MOLOCO"/>
    <s v="리서치애드"/>
    <s v="교촌F&amp;B"/>
    <x v="6"/>
    <s v="서비스"/>
    <s v="음식/조리"/>
    <s v="기타 프렌차이즈점"/>
    <s v="좋은 카메라"/>
    <s v="모바일(대)도구/유틸리티(중)"/>
    <s v="m.app"/>
    <s v="MOLOCO"/>
    <s v="25"/>
    <s v="08"/>
    <s v="25.08.29"/>
    <s v="25.08.29"/>
    <n v="56"/>
  </r>
  <r>
    <s v="MOLOCO"/>
    <s v="리서치애드"/>
    <s v="교촌F&amp;B"/>
    <x v="6"/>
    <s v="서비스"/>
    <s v="음식/조리"/>
    <s v="기타 프렌차이즈점"/>
    <s v="좋은 카메라"/>
    <s v="모바일(대)도구/유틸리티(중)"/>
    <s v="m.app"/>
    <s v="MOLOCO"/>
    <s v="25"/>
    <s v="10"/>
    <s v="25.10.29"/>
    <s v="25.10.29"/>
    <n v="114"/>
  </r>
  <r>
    <s v="MOLOCO"/>
    <s v="리서치애드"/>
    <s v="교촌F&amp;B"/>
    <x v="6"/>
    <s v="서비스"/>
    <s v="음식/조리"/>
    <s v="기타 프렌차이즈점"/>
    <s v="Skater Boy"/>
    <s v="엔터테인먼트(대)게임(중)"/>
    <s v="m.app"/>
    <s v="MOLOCO"/>
    <s v="25"/>
    <s v="08"/>
    <s v="25.08.17"/>
    <s v="25.08.17"/>
    <n v="56"/>
  </r>
  <r>
    <s v="MOLOCO"/>
    <s v="리서치애드"/>
    <s v="교촌F&amp;B"/>
    <x v="6"/>
    <s v="서비스"/>
    <s v="음식/조리"/>
    <s v="기타 프렌차이즈점"/>
    <s v="미세미세"/>
    <s v="생활정보(대)교통/날씨(중)"/>
    <s v="m.app"/>
    <s v="MOLOCO"/>
    <s v="25"/>
    <s v="08"/>
    <s v="25.08.12"/>
    <s v="25.08.12"/>
    <n v="56"/>
  </r>
  <r>
    <s v="MOLOCO"/>
    <s v="리서치애드"/>
    <s v="교촌F&amp;B"/>
    <x v="6"/>
    <s v="서비스"/>
    <s v="음식/조리"/>
    <s v="기타 프렌차이즈점"/>
    <s v="마루"/>
    <s v="모바일(대)도구/유틸리티(중)"/>
    <s v="m.app"/>
    <s v="MOLOCO"/>
    <s v="25"/>
    <s v="08"/>
    <s v="25.08.22"/>
    <s v="25.08.22"/>
    <n v="56"/>
  </r>
  <r>
    <s v="MOLOCO"/>
    <s v="리서치애드"/>
    <s v="교촌F&amp;B"/>
    <x v="6"/>
    <s v="서비스"/>
    <s v="음식/조리"/>
    <s v="기타 프렌차이즈점"/>
    <s v="지하철"/>
    <s v="생활정보(대)교통/날씨(중)"/>
    <s v="m.app"/>
    <s v="MOLOCO"/>
    <s v="25"/>
    <s v="10"/>
    <s v="25.10.13"/>
    <s v="25.10.13"/>
    <n v="228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8"/>
    <s v="25.08.14"/>
    <s v="25.08.14"/>
    <n v="56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8"/>
    <s v="25.08.14"/>
    <s v="25.08.17"/>
    <n v="223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8"/>
    <s v="25.08.20"/>
    <s v="25.08.20"/>
    <n v="56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8"/>
    <s v="25.08.24"/>
    <s v="25.08.24"/>
    <n v="56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8"/>
    <s v="25.08.31"/>
    <s v="25.08.31"/>
    <n v="112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9"/>
    <s v="25.09.05"/>
    <s v="25.09.05"/>
    <n v="74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9"/>
    <s v="25.09.10"/>
    <s v="25.09.10"/>
    <n v="74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9"/>
    <s v="25.09.23"/>
    <s v="25.09.23"/>
    <n v="74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09"/>
    <s v="25.09.29"/>
    <s v="25.09.29"/>
    <n v="74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10"/>
    <s v="25.10.18"/>
    <s v="25.10.18"/>
    <n v="114"/>
  </r>
  <r>
    <s v="MOLOCO"/>
    <s v="리서치애드"/>
    <s v="교촌F&amp;B"/>
    <x v="6"/>
    <s v="서비스"/>
    <s v="음식/조리"/>
    <s v="기타 프렌차이즈점"/>
    <s v="알집"/>
    <s v="모바일(대)도구/유틸리티(중)"/>
    <s v="m.app"/>
    <s v="MOLOCO"/>
    <s v="25"/>
    <s v="12"/>
    <s v="25.12.27"/>
    <s v="25.12.27"/>
    <n v="69"/>
  </r>
  <r>
    <s v="MOLOCO"/>
    <s v="리서치애드"/>
    <s v="교촌F&amp;B"/>
    <x v="6"/>
    <s v="서비스"/>
    <s v="음식/조리"/>
    <s v="기타 프렌차이즈점"/>
    <s v="Fly GPS"/>
    <s v="모바일(대)도구/유틸리티(중)"/>
    <s v="m.app"/>
    <s v="MOLOCO"/>
    <s v="25"/>
    <s v="08"/>
    <s v="25.08.19"/>
    <s v="25.08.19"/>
    <n v="56"/>
  </r>
  <r>
    <s v="MOLOCO"/>
    <s v="리서치애드"/>
    <s v="교촌F&amp;B"/>
    <x v="6"/>
    <s v="서비스"/>
    <s v="음식/조리"/>
    <s v="기타 프렌차이즈점"/>
    <s v="대구버스"/>
    <s v="생활정보(대)교통/날씨(중)"/>
    <s v="m.app"/>
    <s v="MOLOCO"/>
    <s v="25"/>
    <s v="08"/>
    <s v="25.08.24"/>
    <s v="25.08.24"/>
    <n v="56"/>
  </r>
  <r>
    <s v="MOLOCO"/>
    <s v="리서치애드"/>
    <s v="교촌F&amp;B"/>
    <x v="6"/>
    <s v="서비스"/>
    <s v="음식/조리"/>
    <s v="기타 프렌차이즈점"/>
    <s v="번호추첨기"/>
    <s v="엔터테인먼트(대)엔터테인먼트 기타(중)"/>
    <s v="m.app"/>
    <s v="MOLOCO"/>
    <s v="25"/>
    <s v="08"/>
    <s v="25.08.22"/>
    <s v="25.08.22"/>
    <n v="56"/>
  </r>
  <r>
    <s v="MOLOCO"/>
    <s v="리서치애드"/>
    <s v="교촌F&amp;B"/>
    <x v="6"/>
    <s v="서비스"/>
    <s v="음식/조리"/>
    <s v="기타 프렌차이즈점"/>
    <s v="매일 8잔"/>
    <s v="모바일(대)라이프스타일(중)"/>
    <s v="m.app"/>
    <s v="MOLOCO"/>
    <s v="25"/>
    <s v="08"/>
    <s v="25.08.26"/>
    <s v="25.08.26"/>
    <n v="56"/>
  </r>
  <r>
    <s v="MOLOCO"/>
    <s v="리서치애드"/>
    <s v="교촌F&amp;B"/>
    <x v="6"/>
    <s v="서비스"/>
    <s v="음식/조리"/>
    <s v="기타 프렌차이즈점"/>
    <s v="Fidget Spinner"/>
    <s v="엔터테인먼트(대)엔터테인먼트 기타(중)"/>
    <s v="m.app"/>
    <s v="MOLOCO"/>
    <s v="25"/>
    <s v="08"/>
    <s v="25.08.12"/>
    <s v="25.08.12"/>
    <n v="56"/>
  </r>
  <r>
    <s v="MOLOCO"/>
    <s v="리서치애드"/>
    <s v="교촌F&amp;B"/>
    <x v="6"/>
    <s v="서비스"/>
    <s v="음식/조리"/>
    <s v="기타 프렌차이즈점"/>
    <s v="Fidget Spinner"/>
    <s v="엔터테인먼트(대)엔터테인먼트 기타(중)"/>
    <s v="m.app"/>
    <s v="MOLOCO"/>
    <s v="25"/>
    <s v="09"/>
    <s v="25.09.09"/>
    <s v="25.09.09"/>
    <n v="74"/>
  </r>
  <r>
    <s v="MOLOCO"/>
    <s v="리서치애드"/>
    <s v="교촌F&amp;B"/>
    <x v="6"/>
    <s v="서비스"/>
    <s v="음식/조리"/>
    <s v="기타 프렌차이즈점"/>
    <s v="드릴 키우기"/>
    <s v="엔터테인먼트(대)게임(중)"/>
    <s v="m.app"/>
    <s v="MOLOCO"/>
    <s v="25"/>
    <s v="08"/>
    <s v="25.08.10"/>
    <s v="25.08.10"/>
    <n v="56"/>
  </r>
  <r>
    <s v="MOLOCO"/>
    <s v="리서치애드"/>
    <s v="교촌F&amp;B"/>
    <x v="6"/>
    <s v="서비스"/>
    <s v="음식/조리"/>
    <s v="기타 프렌차이즈점"/>
    <s v="Voice Recorder"/>
    <s v="모바일(대)도구/유틸리티(중)"/>
    <s v="m.app"/>
    <s v="MOLOCO"/>
    <s v="25"/>
    <s v="08"/>
    <s v="25.08.24"/>
    <s v="25.08.24"/>
    <n v="56"/>
  </r>
  <r>
    <s v="MOLOCO"/>
    <s v="리서치애드"/>
    <s v="교촌F&amp;B"/>
    <x v="6"/>
    <s v="서비스"/>
    <s v="음식/조리"/>
    <s v="기타 프렌차이즈점"/>
    <s v="StrayCatDoors"/>
    <s v="엔터테인먼트(대)게임(중)"/>
    <s v="m.app"/>
    <s v="MOLOCO"/>
    <s v="25"/>
    <s v="08"/>
    <s v="25.08.13"/>
    <s v="25.08.13"/>
    <n v="56"/>
  </r>
  <r>
    <s v="MOLOCO"/>
    <s v="리서치애드"/>
    <s v="교촌F&amp;B"/>
    <x v="6"/>
    <s v="서비스"/>
    <s v="음식/조리"/>
    <s v="기타 프렌차이즈점"/>
    <s v="StrayCatDoors"/>
    <s v="엔터테인먼트(대)게임(중)"/>
    <s v="m.app"/>
    <s v="MOLOCO"/>
    <s v="25"/>
    <s v="09"/>
    <s v="25.09.04"/>
    <s v="25.09.04"/>
    <n v="74"/>
  </r>
  <r>
    <s v="MOLOCO"/>
    <s v="리서치애드"/>
    <s v="교촌F&amp;B"/>
    <x v="6"/>
    <s v="서비스"/>
    <s v="음식/조리"/>
    <s v="기타 프렌차이즈점"/>
    <s v="천자문 1000자"/>
    <s v="모바일(대)모바일기타(중)"/>
    <s v="m.app"/>
    <s v="MOLOCO"/>
    <s v="25"/>
    <s v="09"/>
    <s v="25.09.04"/>
    <s v="25.09.04"/>
    <n v="74"/>
  </r>
  <r>
    <s v="MOLOCO"/>
    <s v="리서치애드"/>
    <s v="교촌F&amp;B"/>
    <x v="6"/>
    <s v="서비스"/>
    <s v="음식/조리"/>
    <s v="기타 프렌차이즈점"/>
    <s v="정통장기"/>
    <s v="엔터테인먼트(대)게임(중)"/>
    <s v="m.app"/>
    <s v="MOLOCO"/>
    <s v="25"/>
    <s v="08"/>
    <s v="25.08.16"/>
    <s v="25.08.16"/>
    <n v="56"/>
  </r>
  <r>
    <s v="MOLOCO"/>
    <s v="리서치애드"/>
    <s v="교촌F&amp;B"/>
    <x v="6"/>
    <s v="서비스"/>
    <s v="음식/조리"/>
    <s v="기타 프렌차이즈점"/>
    <s v="정통장기"/>
    <s v="엔터테인먼트(대)게임(중)"/>
    <s v="m.app"/>
    <s v="MOLOCO"/>
    <s v="25"/>
    <s v="09"/>
    <s v="25.09.05"/>
    <s v="25.09.05"/>
    <n v="74"/>
  </r>
  <r>
    <s v="버즈빌"/>
    <s v="리서치애드"/>
    <s v="교촌F&amp;B"/>
    <x v="6"/>
    <s v="서비스"/>
    <s v="음식/조리"/>
    <s v="기타 프렌차이즈점"/>
    <s v="버즈빌"/>
    <s v="모바일(대)모바일기타(중)"/>
    <s v="m.app"/>
    <s v="버즈빌"/>
    <s v="25"/>
    <s v="11"/>
    <s v="25.11.21"/>
    <s v="25.11.23"/>
    <n v="2039"/>
  </r>
  <r>
    <s v="버즈빌"/>
    <s v="리서치애드"/>
    <s v="교촌F&amp;B"/>
    <x v="6"/>
    <s v="서비스"/>
    <s v="음식/조리"/>
    <s v="기타 프렌차이즈점"/>
    <s v="버즈빌"/>
    <s v="모바일(대)모바일기타(중)"/>
    <s v="m.app"/>
    <s v="버즈빌"/>
    <s v="25"/>
    <s v="11"/>
    <s v="25.11.24"/>
    <s v="25.11.24"/>
    <n v="680"/>
  </r>
  <r>
    <s v="MOLOCO"/>
    <s v="리서치애드"/>
    <s v="교촌F&amp;B"/>
    <x v="6"/>
    <s v="서비스"/>
    <s v="음식/조리"/>
    <s v="기타 프렌차이즈점"/>
    <s v="날씨"/>
    <s v="생활정보(대)교통/날씨(중)"/>
    <s v="m.app"/>
    <s v="MOLOCO"/>
    <s v="25"/>
    <s v="08"/>
    <s v="25.08.16"/>
    <s v="25.08.16"/>
    <n v="56"/>
  </r>
  <r>
    <s v="MOLOCO"/>
    <s v="리서치애드"/>
    <s v="교촌F&amp;B"/>
    <x v="6"/>
    <s v="서비스"/>
    <s v="음식/조리"/>
    <s v="기타 프렌차이즈점"/>
    <s v="My Heart"/>
    <s v="생활정보(대)병원/건강정보(중)"/>
    <s v="m.app"/>
    <s v="MOLOCO"/>
    <s v="25"/>
    <s v="10"/>
    <s v="25.10.26"/>
    <s v="25.10.26"/>
    <n v="114"/>
  </r>
  <r>
    <s v="MOLOCO"/>
    <s v="리서치애드"/>
    <s v="교촌F&amp;B"/>
    <x v="6"/>
    <s v="서비스"/>
    <s v="음식/조리"/>
    <s v="기타 프렌차이즈점"/>
    <s v="My Heart"/>
    <s v="생활정보(대)병원/건강정보(중)"/>
    <s v="m.app"/>
    <s v="MOLOCO"/>
    <s v="25"/>
    <s v="10"/>
    <s v="25.10.29"/>
    <s v="25.10.29"/>
    <n v="114"/>
  </r>
  <r>
    <s v="MOLOCO"/>
    <s v="리서치애드"/>
    <s v="교촌F&amp;B"/>
    <x v="6"/>
    <s v="서비스"/>
    <s v="음식/조리"/>
    <s v="기타 프렌차이즈점"/>
    <s v="좋은 가계부"/>
    <s v="모바일(대)라이프스타일(중)"/>
    <s v="m.app"/>
    <s v="MOLOCO"/>
    <s v="25"/>
    <s v="08"/>
    <s v="25.08.27"/>
    <s v="25.08.27"/>
    <n v="56"/>
  </r>
  <r>
    <s v="MOLOCO"/>
    <s v="리서치애드"/>
    <s v="교촌F&amp;B"/>
    <x v="6"/>
    <s v="서비스"/>
    <s v="음식/조리"/>
    <s v="기타 프렌차이즈점"/>
    <s v="Anime Girls"/>
    <s v="엔터테인먼트(대)게임(중)"/>
    <s v="m.app"/>
    <s v="MOLOCO"/>
    <s v="25"/>
    <s v="10"/>
    <s v="25.10.28"/>
    <s v="25.10.28"/>
    <n v="114"/>
  </r>
  <r>
    <s v="MOLOCO"/>
    <s v="리서치애드"/>
    <s v="교촌F&amp;B"/>
    <x v="6"/>
    <s v="서비스"/>
    <s v="음식/조리"/>
    <s v="기타 프렌차이즈점"/>
    <s v="Decibel X"/>
    <s v="모바일(대)도구/유틸리티(중)"/>
    <s v="m.app"/>
    <s v="MOLOCO"/>
    <s v="25"/>
    <s v="08"/>
    <s v="25.08.15"/>
    <s v="25.08.15"/>
    <n v="56"/>
  </r>
  <r>
    <s v="MOLOCO"/>
    <s v="리서치애드"/>
    <s v="교촌F&amp;B"/>
    <x v="6"/>
    <s v="서비스"/>
    <s v="음식/조리"/>
    <s v="기타 프렌차이즈점"/>
    <s v="iDrink"/>
    <s v="엔터테인먼트(대)게임(중)"/>
    <s v="m.app"/>
    <s v="MOLOCO"/>
    <s v="25"/>
    <s v="09"/>
    <s v="25.09.07"/>
    <s v="25.09.07"/>
    <n v="74"/>
  </r>
  <r>
    <s v="MOLOCO"/>
    <s v="리서치애드"/>
    <s v="교촌F&amp;B"/>
    <x v="6"/>
    <s v="서비스"/>
    <s v="음식/조리"/>
    <s v="기타 프렌차이즈점"/>
    <s v="College Girls Team"/>
    <s v="엔터테인먼트(대)게임(중)"/>
    <s v="m.app"/>
    <s v="MOLOCO"/>
    <s v="25"/>
    <s v="11"/>
    <s v="25.11.13"/>
    <s v="25.11.13"/>
    <n v="114"/>
  </r>
  <r>
    <s v="MOLOCO"/>
    <s v="리서치애드"/>
    <s v="교촌F&amp;B"/>
    <x v="6"/>
    <s v="서비스"/>
    <s v="음식/조리"/>
    <s v="기타 프렌차이즈점"/>
    <s v="염라대왕 체험하기"/>
    <s v="모바일(대)엔터테인먼트(중)"/>
    <s v="m.app"/>
    <s v="MOLOCO"/>
    <s v="25"/>
    <s v="10"/>
    <s v="25.10.08"/>
    <s v="25.10.08"/>
    <n v="114"/>
  </r>
  <r>
    <s v="MOLOCO"/>
    <s v="리서치애드"/>
    <s v="교촌F&amp;B"/>
    <x v="6"/>
    <s v="서비스"/>
    <s v="음식/조리"/>
    <s v="기타 프렌차이즈점"/>
    <s v="귀신 탐지기"/>
    <s v="모바일(대)엔터테인먼트(중)"/>
    <s v="m.app"/>
    <s v="MOLOCO"/>
    <s v="25"/>
    <s v="08"/>
    <s v="25.08.12"/>
    <s v="25.08.12"/>
    <n v="56"/>
  </r>
  <r>
    <s v="MOLOCO"/>
    <s v="리서치애드"/>
    <s v="교촌F&amp;B"/>
    <x v="6"/>
    <s v="서비스"/>
    <s v="음식/조리"/>
    <s v="기타 프렌차이즈점"/>
    <s v="남친여친 만들기"/>
    <s v="모바일(대)엔터테인먼트(중)"/>
    <s v="m.app"/>
    <s v="MOLOCO"/>
    <s v="25"/>
    <s v="08"/>
    <s v="25.08.25"/>
    <s v="25.08.25"/>
    <n v="56"/>
  </r>
  <r>
    <s v="MOLOCO"/>
    <s v="리서치애드"/>
    <s v="교촌F&amp;B"/>
    <x v="6"/>
    <s v="서비스"/>
    <s v="음식/조리"/>
    <s v="기타 프렌차이즈점"/>
    <s v="Superstar Family"/>
    <s v="엔터테인먼트(대)게임(중)"/>
    <s v="m.app"/>
    <s v="MOLOCO"/>
    <s v="25"/>
    <s v="10"/>
    <s v="25.10.14"/>
    <s v="25.10.14"/>
    <n v="114"/>
  </r>
  <r>
    <s v="MOLOCO"/>
    <s v="리서치애드"/>
    <s v="교촌F&amp;B"/>
    <x v="6"/>
    <s v="서비스"/>
    <s v="음식/조리"/>
    <s v="기타 프렌차이즈점"/>
    <s v="나를 맞춰봐"/>
    <s v="모바일(대)엔터테인먼트(중)"/>
    <s v="m.app"/>
    <s v="MOLOCO"/>
    <s v="25"/>
    <s v="08"/>
    <s v="25.08.23"/>
    <s v="25.08.23"/>
    <n v="56"/>
  </r>
  <r>
    <s v="MOLOCO"/>
    <s v="리서치애드"/>
    <s v="교촌F&amp;B"/>
    <x v="6"/>
    <s v="서비스"/>
    <s v="음식/조리"/>
    <s v="기타 프렌차이즈점"/>
    <s v="나를 맞춰봐"/>
    <s v="모바일(대)엔터테인먼트(중)"/>
    <s v="m.app"/>
    <s v="MOLOCO"/>
    <s v="25"/>
    <s v="09"/>
    <s v="25.09.02"/>
    <s v="25.09.02"/>
    <n v="74"/>
  </r>
  <r>
    <s v="MOLOCO"/>
    <s v="리서치애드"/>
    <s v="교촌F&amp;B"/>
    <x v="6"/>
    <s v="서비스"/>
    <s v="음식/조리"/>
    <s v="기타 프렌차이즈점"/>
    <s v="외계인탐지기"/>
    <s v="엔터테인먼트(대)게임(중)"/>
    <s v="m.app"/>
    <s v="MOLOCO"/>
    <s v="25"/>
    <s v="08"/>
    <s v="25.08.26"/>
    <s v="25.08.26"/>
    <n v="56"/>
  </r>
  <r>
    <s v="MOLOCO"/>
    <s v="리서치애드"/>
    <s v="교촌F&amp;B"/>
    <x v="6"/>
    <s v="서비스"/>
    <s v="음식/조리"/>
    <s v="기타 프렌차이즈점"/>
    <s v="기획사 체험하기"/>
    <s v="엔터테인먼트(대)게임(중)"/>
    <s v="m.app"/>
    <s v="MOLOCO"/>
    <s v="25"/>
    <s v="08"/>
    <s v="25.08.27"/>
    <s v="25.08.27"/>
    <n v="56"/>
  </r>
  <r>
    <s v="MOLOCO"/>
    <s v="리서치애드"/>
    <s v="교촌F&amp;B"/>
    <x v="6"/>
    <s v="서비스"/>
    <s v="음식/조리"/>
    <s v="기타 프렌차이즈점"/>
    <s v="달력"/>
    <s v="모바일(대)라이프스타일(중)"/>
    <s v="m.app"/>
    <s v="MOLOCO"/>
    <s v="25"/>
    <s v="10"/>
    <s v="25.10.07"/>
    <s v="25.10.07"/>
    <n v="114"/>
  </r>
  <r>
    <s v="MOLOCO"/>
    <s v="리서치애드"/>
    <s v="교촌F&amp;B"/>
    <x v="6"/>
    <s v="서비스"/>
    <s v="음식/조리"/>
    <s v="기타 프렌차이즈점"/>
    <s v="TRUE서울"/>
    <s v="생활정보(대)생활정보 기타(중)"/>
    <s v="m.app"/>
    <s v="MOLOCO"/>
    <s v="25"/>
    <s v="08"/>
    <s v="25.08.29"/>
    <s v="25.08.29"/>
    <n v="56"/>
  </r>
  <r>
    <s v="MOLOCO"/>
    <s v="리서치애드"/>
    <s v="교촌F&amp;B"/>
    <x v="6"/>
    <s v="서비스"/>
    <s v="음식/조리"/>
    <s v="기타 프렌차이즈점"/>
    <s v="거제에가면"/>
    <s v="생활정보(대)생활정보 기타(중)"/>
    <s v="m.app"/>
    <s v="MOLOCO"/>
    <s v="25"/>
    <s v="08"/>
    <s v="25.08.23"/>
    <s v="25.08.23"/>
    <n v="56"/>
  </r>
  <r>
    <s v="MOLOCO"/>
    <s v="리서치애드"/>
    <s v="교촌F&amp;B"/>
    <x v="6"/>
    <s v="서비스"/>
    <s v="음식/조리"/>
    <s v="기타 프렌차이즈점"/>
    <s v="대전 등산로"/>
    <s v="엔터테인먼트(대)스포츠/레포츠(중)"/>
    <s v="m.app"/>
    <s v="MOLOCO"/>
    <s v="25"/>
    <s v="08"/>
    <s v="25.08.23"/>
    <s v="25.08.23"/>
    <n v="56"/>
  </r>
  <r>
    <s v="MOLOCO"/>
    <s v="리서치애드"/>
    <s v="교촌F&amp;B"/>
    <x v="6"/>
    <s v="서비스"/>
    <s v="음식/조리"/>
    <s v="기타 프렌차이즈점"/>
    <s v="인천 등산로"/>
    <s v="엔터테인먼트(대)스포츠/레포츠(중)"/>
    <s v="m.app"/>
    <s v="MOLOCO"/>
    <s v="25"/>
    <s v="08"/>
    <s v="25.08.22"/>
    <s v="25.08.22"/>
    <n v="56"/>
  </r>
  <r>
    <s v="MOLOCO"/>
    <s v="리서치애드"/>
    <s v="교촌F&amp;B"/>
    <x v="6"/>
    <s v="서비스"/>
    <s v="음식/조리"/>
    <s v="기타 프렌차이즈점"/>
    <s v="인천 등산로"/>
    <s v="엔터테인먼트(대)스포츠/레포츠(중)"/>
    <s v="m.app"/>
    <s v="MOLOCO"/>
    <s v="25"/>
    <s v="08"/>
    <s v="25.08.31"/>
    <s v="25.08.31"/>
    <n v="56"/>
  </r>
  <r>
    <s v="MOLOCO"/>
    <s v="리서치애드"/>
    <s v="교촌F&amp;B"/>
    <x v="6"/>
    <s v="서비스"/>
    <s v="음식/조리"/>
    <s v="기타 프렌차이즈점"/>
    <s v="전라북도 등산로"/>
    <s v="엔터테인먼트(대)스포츠/레포츠(중)"/>
    <s v="m.app"/>
    <s v="MOLOCO"/>
    <s v="25"/>
    <s v="08"/>
    <s v="25.08.30"/>
    <s v="25.08.30"/>
    <n v="56"/>
  </r>
  <r>
    <s v="MOLOCO"/>
    <s v="리서치애드"/>
    <s v="교촌F&amp;B"/>
    <x v="6"/>
    <s v="서비스"/>
    <s v="음식/조리"/>
    <s v="기타 프렌차이즈점"/>
    <s v="폰케이스"/>
    <s v="엔터테인먼트(대)게임(중)"/>
    <s v="m.app"/>
    <s v="MOLOCO"/>
    <s v="25"/>
    <s v="08"/>
    <s v="25.08.20"/>
    <s v="25.08.20"/>
    <n v="56"/>
  </r>
  <r>
    <s v="MOLOCO"/>
    <s v="리서치애드"/>
    <s v="교촌F&amp;B"/>
    <x v="6"/>
    <s v="서비스"/>
    <s v="음식/조리"/>
    <s v="기타 프렌차이즈점"/>
    <s v="전국아동복지급식정보"/>
    <s v="생활정보(대)생활정보 기타(중)"/>
    <s v="m.app"/>
    <s v="MOLOCO"/>
    <s v="25"/>
    <s v="09"/>
    <s v="25.09.04"/>
    <s v="25.09.04"/>
    <n v="74"/>
  </r>
  <r>
    <s v="MOLOCO"/>
    <s v="리서치애드"/>
    <s v="교촌F&amp;B"/>
    <x v="6"/>
    <s v="서비스"/>
    <s v="음식/조리"/>
    <s v="기타 프렌차이즈점"/>
    <s v="3D Pool Ball"/>
    <s v="엔터테인먼트(대)게임(중)"/>
    <s v="m.app"/>
    <s v="MOLOCO"/>
    <s v="25"/>
    <s v="12"/>
    <s v="25.12.28"/>
    <s v="25.12.28"/>
    <n v="69"/>
  </r>
  <r>
    <s v="MOLOCO"/>
    <s v="리서치애드"/>
    <s v="교촌F&amp;B"/>
    <x v="6"/>
    <s v="서비스"/>
    <s v="음식/조리"/>
    <s v="기타 프렌차이즈점"/>
    <s v="sudoku"/>
    <s v="엔터테인먼트(대)게임(중)"/>
    <s v="m.app"/>
    <s v="MOLOCO"/>
    <s v="25"/>
    <s v="08"/>
    <s v="25.08.22"/>
    <s v="25.08.22"/>
    <n v="56"/>
  </r>
  <r>
    <s v="MOLOCO"/>
    <s v="리서치애드"/>
    <s v="교촌F&amp;B"/>
    <x v="6"/>
    <s v="서비스"/>
    <s v="음식/조리"/>
    <s v="기타 프렌차이즈점"/>
    <s v="교대공무원 달력"/>
    <s v="모바일(대)라이프스타일(중)"/>
    <s v="m.app"/>
    <s v="MOLOCO"/>
    <s v="25"/>
    <s v="08"/>
    <s v="25.08.26"/>
    <s v="25.08.26"/>
    <n v="56"/>
  </r>
  <r>
    <s v="MOLOCO"/>
    <s v="리서치애드"/>
    <s v="교촌F&amp;B"/>
    <x v="6"/>
    <s v="서비스"/>
    <s v="음식/조리"/>
    <s v="기타 프렌차이즈점"/>
    <s v="교대공무원 달력"/>
    <s v="모바일(대)라이프스타일(중)"/>
    <s v="m.app"/>
    <s v="MOLOCO"/>
    <s v="25"/>
    <s v="09"/>
    <s v="25.09.11"/>
    <s v="25.09.11"/>
    <n v="74"/>
  </r>
  <r>
    <s v="MOLOCO"/>
    <s v="리서치애드"/>
    <s v="교촌F&amp;B"/>
    <x v="6"/>
    <s v="서비스"/>
    <s v="음식/조리"/>
    <s v="기타 프렌차이즈점"/>
    <s v="교대공무원 달력"/>
    <s v="모바일(대)라이프스타일(중)"/>
    <s v="m.app"/>
    <s v="MOLOCO"/>
    <s v="25"/>
    <s v="10"/>
    <s v="25.10.09"/>
    <s v="25.10.09"/>
    <n v="114"/>
  </r>
  <r>
    <s v="MOLOCO"/>
    <s v="리서치애드"/>
    <s v="교촌F&amp;B"/>
    <x v="6"/>
    <s v="서비스"/>
    <s v="음식/조리"/>
    <s v="기타 프렌차이즈점"/>
    <s v="BMI 계산기"/>
    <s v="생활정보(대)병원/건강정보(중)"/>
    <s v="m.app"/>
    <s v="MOLOCO"/>
    <s v="25"/>
    <s v="08"/>
    <s v="25.08.11"/>
    <s v="25.08.11"/>
    <n v="56"/>
  </r>
  <r>
    <s v="MOLOCO"/>
    <s v="리서치애드"/>
    <s v="교촌F&amp;B"/>
    <x v="6"/>
    <s v="서비스"/>
    <s v="음식/조리"/>
    <s v="기타 프렌차이즈점"/>
    <s v="전국 100대명산 등산로"/>
    <s v="엔터테인먼트(대)스포츠/레포츠(중)"/>
    <s v="m.app"/>
    <s v="MOLOCO"/>
    <s v="25"/>
    <s v="08"/>
    <s v="25.08.26"/>
    <s v="25.08.26"/>
    <n v="56"/>
  </r>
  <r>
    <s v="MOLOCO"/>
    <s v="리서치애드"/>
    <s v="교촌F&amp;B"/>
    <x v="6"/>
    <s v="서비스"/>
    <s v="음식/조리"/>
    <s v="기타 프렌차이즈점"/>
    <s v="BeautyMirror"/>
    <s v="모바일(대)라이프스타일(중)"/>
    <s v="m.app"/>
    <s v="MOLOCO"/>
    <s v="25"/>
    <s v="08"/>
    <s v="25.08.22"/>
    <s v="25.08.22"/>
    <n v="56"/>
  </r>
  <r>
    <s v="MOLOCO"/>
    <s v="리서치애드"/>
    <s v="교촌F&amp;B"/>
    <x v="6"/>
    <s v="서비스"/>
    <s v="음식/조리"/>
    <s v="기타 프렌차이즈점"/>
    <s v="전국 둘레길 지도"/>
    <s v="생활정보(대)생활정보 기타(중)"/>
    <s v="m.app"/>
    <s v="MOLOCO"/>
    <s v="25"/>
    <s v="08"/>
    <s v="25.08.20"/>
    <s v="25.08.20"/>
    <n v="56"/>
  </r>
  <r>
    <s v="MOLOCO"/>
    <s v="리서치애드"/>
    <s v="교촌F&amp;B"/>
    <x v="6"/>
    <s v="서비스"/>
    <s v="음식/조리"/>
    <s v="기타 프렌차이즈점"/>
    <s v="Couple Photo Frame"/>
    <s v="모바일(대)엔터테인먼트(중)"/>
    <s v="m.app"/>
    <s v="MOLOCO"/>
    <s v="25"/>
    <s v="08"/>
    <s v="25.08.10"/>
    <s v="25.08.10"/>
    <n v="56"/>
  </r>
  <r>
    <s v="MOLOCO"/>
    <s v="리서치애드"/>
    <s v="교촌F&amp;B"/>
    <x v="6"/>
    <s v="서비스"/>
    <s v="음식/조리"/>
    <s v="기타 프렌차이즈점"/>
    <s v="Couple Photo Frame"/>
    <s v="모바일(대)엔터테인먼트(중)"/>
    <s v="m.app"/>
    <s v="MOLOCO"/>
    <s v="25"/>
    <s v="08"/>
    <s v="25.08.12"/>
    <s v="25.08.12"/>
    <n v="56"/>
  </r>
  <r>
    <s v="MOLOCO"/>
    <s v="리서치애드"/>
    <s v="교촌F&amp;B"/>
    <x v="6"/>
    <s v="서비스"/>
    <s v="음식/조리"/>
    <s v="기타 프렌차이즈점"/>
    <s v="Couple Photo Frame"/>
    <s v="모바일(대)엔터테인먼트(중)"/>
    <s v="m.app"/>
    <s v="MOLOCO"/>
    <s v="25"/>
    <s v="08"/>
    <s v="25.08.27"/>
    <s v="25.08.27"/>
    <n v="56"/>
  </r>
  <r>
    <s v="MOLOCO"/>
    <s v="리서치애드"/>
    <s v="교촌F&amp;B"/>
    <x v="6"/>
    <s v="서비스"/>
    <s v="음식/조리"/>
    <s v="기타 프렌차이즈점"/>
    <s v="말하는 앵무새 토킹피에르"/>
    <s v="모바일(대)엔터테인먼트(중)"/>
    <s v="m.app"/>
    <s v="MOLOCO"/>
    <s v="25"/>
    <s v="09"/>
    <s v="25.09.08"/>
    <s v="25.09.08"/>
    <n v="74"/>
  </r>
  <r>
    <s v="MOLOCO"/>
    <s v="리서치애드"/>
    <s v="교촌F&amp;B"/>
    <x v="6"/>
    <s v="서비스"/>
    <s v="음식/조리"/>
    <s v="기타 프렌차이즈점"/>
    <s v="지리산 둘레길 정보"/>
    <s v="엔터테인먼트(대)스포츠/레포츠(중)"/>
    <s v="m.app"/>
    <s v="MOLOCO"/>
    <s v="25"/>
    <s v="08"/>
    <s v="25.08.27"/>
    <s v="25.08.27"/>
    <n v="56"/>
  </r>
  <r>
    <s v="MOLOCO"/>
    <s v="리서치애드"/>
    <s v="교촌F&amp;B"/>
    <x v="6"/>
    <s v="서비스"/>
    <s v="음식/조리"/>
    <s v="기타 프렌차이즈점"/>
    <s v="지리산 둘레길 정보"/>
    <s v="엔터테인먼트(대)스포츠/레포츠(중)"/>
    <s v="m.app"/>
    <s v="MOLOCO"/>
    <s v="25"/>
    <s v="08"/>
    <s v="25.08.28"/>
    <s v="25.08.28"/>
    <n v="56"/>
  </r>
  <r>
    <s v="MOLOCO"/>
    <s v="리서치애드"/>
    <s v="교촌F&amp;B"/>
    <x v="6"/>
    <s v="서비스"/>
    <s v="음식/조리"/>
    <s v="기타 프렌차이즈점"/>
    <s v="D-Day"/>
    <s v="모바일(대)라이프스타일(중)"/>
    <s v="m.app"/>
    <s v="MOLOCO"/>
    <s v="25"/>
    <s v="08"/>
    <s v="25.08.13"/>
    <s v="25.08.13"/>
    <n v="56"/>
  </r>
  <r>
    <s v="MOLOCO"/>
    <s v="리서치애드"/>
    <s v="교촌F&amp;B"/>
    <x v="6"/>
    <s v="서비스"/>
    <s v="음식/조리"/>
    <s v="기타 프렌차이즈점"/>
    <s v="D-Day"/>
    <s v="모바일(대)라이프스타일(중)"/>
    <s v="m.app"/>
    <s v="MOLOCO"/>
    <s v="25"/>
    <s v="09"/>
    <s v="25.09.04"/>
    <s v="25.09.04"/>
    <n v="74"/>
  </r>
  <r>
    <s v="MOLOCO"/>
    <s v="리서치애드"/>
    <s v="교촌F&amp;B"/>
    <x v="6"/>
    <s v="서비스"/>
    <s v="음식/조리"/>
    <s v="기타 프렌차이즈점"/>
    <s v="ToDo"/>
    <s v="모바일(대)라이프스타일(중)"/>
    <s v="m.app"/>
    <s v="MOLOCO"/>
    <s v="25"/>
    <s v="08"/>
    <s v="25.08.17"/>
    <s v="25.08.17"/>
    <n v="56"/>
  </r>
  <r>
    <s v="MOLOCO"/>
    <s v="리서치애드"/>
    <s v="교촌F&amp;B"/>
    <x v="6"/>
    <s v="서비스"/>
    <s v="음식/조리"/>
    <s v="기타 프렌차이즈점"/>
    <s v="ToDo"/>
    <s v="모바일(대)라이프스타일(중)"/>
    <s v="m.app"/>
    <s v="MOLOCO"/>
    <s v="25"/>
    <s v="09"/>
    <s v="25.09.24"/>
    <s v="25.09.24"/>
    <n v="74"/>
  </r>
  <r>
    <s v="MOLOCO"/>
    <s v="리서치애드"/>
    <s v="교촌F&amp;B"/>
    <x v="6"/>
    <s v="서비스"/>
    <s v="음식/조리"/>
    <s v="기타 프렌차이즈점"/>
    <s v="ToDo"/>
    <s v="모바일(대)라이프스타일(중)"/>
    <s v="m.app"/>
    <s v="MOLOCO"/>
    <s v="25"/>
    <s v="10"/>
    <s v="25.10.29"/>
    <s v="25.10.29"/>
    <n v="114"/>
  </r>
  <r>
    <s v="MOLOCO"/>
    <s v="리서치애드"/>
    <s v="교촌F&amp;B"/>
    <x v="6"/>
    <s v="서비스"/>
    <s v="음식/조리"/>
    <s v="기타 프렌차이즈점"/>
    <s v="Mc.pix"/>
    <s v="모바일(대)도구/유틸리티(중)"/>
    <s v="m.app"/>
    <s v="MOLOCO"/>
    <s v="25"/>
    <s v="09"/>
    <s v="25.09.03"/>
    <s v="25.09.03"/>
    <n v="74"/>
  </r>
  <r>
    <s v="MOLOCO"/>
    <s v="리서치애드"/>
    <s v="교촌F&amp;B"/>
    <x v="6"/>
    <s v="서비스"/>
    <s v="음식/조리"/>
    <s v="기타 프렌차이즈점"/>
    <s v="울지마 내 아가"/>
    <s v="생활정보(대)여성/육아(중)"/>
    <s v="m.app"/>
    <s v="MOLOCO"/>
    <s v="25"/>
    <s v="08"/>
    <s v="25.08.09"/>
    <s v="25.08.09"/>
    <n v="56"/>
  </r>
  <r>
    <s v="MOLOCO"/>
    <s v="리서치애드"/>
    <s v="교촌F&amp;B"/>
    <x v="6"/>
    <s v="서비스"/>
    <s v="음식/조리"/>
    <s v="기타 프렌차이즈점"/>
    <s v="울지마 내 아가"/>
    <s v="생활정보(대)여성/육아(중)"/>
    <s v="m.app"/>
    <s v="MOLOCO"/>
    <s v="25"/>
    <s v="08"/>
    <s v="25.08.16"/>
    <s v="25.08.16"/>
    <n v="56"/>
  </r>
  <r>
    <s v="MOLOCO"/>
    <s v="리서치애드"/>
    <s v="교촌F&amp;B"/>
    <x v="6"/>
    <s v="서비스"/>
    <s v="음식/조리"/>
    <s v="기타 프렌차이즈점"/>
    <s v="울지마 내 아가"/>
    <s v="생활정보(대)여성/육아(중)"/>
    <s v="m.app"/>
    <s v="MOLOCO"/>
    <s v="25"/>
    <s v="08"/>
    <s v="25.08.20"/>
    <s v="25.08.20"/>
    <n v="56"/>
  </r>
  <r>
    <s v="MOLOCO"/>
    <s v="리서치애드"/>
    <s v="교촌F&amp;B"/>
    <x v="6"/>
    <s v="서비스"/>
    <s v="음식/조리"/>
    <s v="기타 프렌차이즈점"/>
    <s v="울지마 내 아가"/>
    <s v="생활정보(대)여성/육아(중)"/>
    <s v="m.app"/>
    <s v="MOLOCO"/>
    <s v="25"/>
    <s v="10"/>
    <s v="25.10.12"/>
    <s v="25.10.12"/>
    <n v="114"/>
  </r>
  <r>
    <s v="MOLOCO"/>
    <s v="리서치애드"/>
    <s v="교촌F&amp;B"/>
    <x v="6"/>
    <s v="서비스"/>
    <s v="음식/조리"/>
    <s v="기타 프렌차이즈점"/>
    <s v="토킹톰과 토킹벤 뉴스"/>
    <s v="엔터테인먼트(대)게임(중)"/>
    <s v="m.app"/>
    <s v="MOLOCO"/>
    <s v="25"/>
    <s v="08"/>
    <s v="25.08.31"/>
    <s v="25.08.31"/>
    <n v="56"/>
  </r>
  <r>
    <s v="카카오광고"/>
    <s v="리서치애드"/>
    <s v="리치빔"/>
    <x v="27"/>
    <s v="서비스"/>
    <s v="음식/조리"/>
    <s v="기타 프렌차이즈점"/>
    <s v="daum.net"/>
    <s v="포털(대)포털(중)"/>
    <s v="m.web"/>
    <s v="카카오광고"/>
    <s v="25"/>
    <s v="11"/>
    <s v="25.11.21"/>
    <s v="25.11.21"/>
    <n v="881"/>
  </r>
  <r>
    <s v="애드몹"/>
    <s v="리서치애드"/>
    <s v="멕시카나"/>
    <x v="28"/>
    <s v="서비스"/>
    <s v="음식/조리"/>
    <s v="기타 프렌차이즈점"/>
    <s v="nate.com"/>
    <s v="포털(대)포털(중)"/>
    <s v="m.web"/>
    <s v="애드몹"/>
    <s v="25"/>
    <s v="09"/>
    <s v="25.09.19"/>
    <s v="25.09.19"/>
    <n v="1359"/>
  </r>
  <r>
    <s v="애드몹"/>
    <s v="리서치애드"/>
    <s v="멕시카나"/>
    <x v="28"/>
    <s v="서비스"/>
    <s v="음식/조리"/>
    <s v="기타 프렌차이즈점"/>
    <s v="chosun.com"/>
    <s v="신문/잡지(대)종합일간지(중)"/>
    <s v="m.web"/>
    <s v="애드몹"/>
    <s v="25"/>
    <s v="08"/>
    <s v="25.08.26"/>
    <s v="25.08.26"/>
    <n v="354"/>
  </r>
  <r>
    <s v="애드몹"/>
    <s v="리서치애드"/>
    <s v="멕시카나"/>
    <x v="28"/>
    <s v="서비스"/>
    <s v="음식/조리"/>
    <s v="기타 프렌차이즈점"/>
    <s v="chosun.com"/>
    <s v="신문/잡지(대)종합일간지(중)"/>
    <s v="m.web"/>
    <s v="애드몹"/>
    <s v="25"/>
    <s v="08"/>
    <s v="25.08.27"/>
    <s v="25.08.28"/>
    <n v="709"/>
  </r>
  <r>
    <s v="애드몹"/>
    <s v="리서치애드"/>
    <s v="멕시카나"/>
    <x v="28"/>
    <s v="서비스"/>
    <s v="음식/조리"/>
    <s v="기타 프렌차이즈점"/>
    <s v="hankyung.com"/>
    <s v="신문/잡지(대)경제신문(중)"/>
    <s v="m.web"/>
    <s v="애드몹"/>
    <s v="25"/>
    <s v="11"/>
    <s v="25.11.12"/>
    <s v="25.11.12"/>
    <n v="415"/>
  </r>
  <r>
    <s v="애드몹"/>
    <s v="리서치애드"/>
    <s v="멕시카나"/>
    <x v="28"/>
    <s v="서비스"/>
    <s v="음식/조리"/>
    <s v="기타 프렌차이즈점"/>
    <s v="dt.co.kr"/>
    <s v="신문/잡지(대)IT관련 뉴스(중)"/>
    <s v="m.web"/>
    <s v="애드몹"/>
    <s v="25"/>
    <s v="08"/>
    <s v="25.08.26"/>
    <s v="25.08.26"/>
    <n v="703"/>
  </r>
  <r>
    <s v="애드몹"/>
    <s v="리서치애드"/>
    <s v="멕시카나"/>
    <x v="28"/>
    <s v="서비스"/>
    <s v="음식/조리"/>
    <s v="기타 프렌차이즈점"/>
    <s v="zum.com"/>
    <s v="포털(대)포털(중)"/>
    <s v="m.web"/>
    <s v="애드몹"/>
    <s v="25"/>
    <s v="09"/>
    <s v="25.09.02"/>
    <s v="25.09.02"/>
    <n v="571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09"/>
    <s v="25.09.03"/>
    <s v="25.09.05"/>
    <n v="2564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09"/>
    <s v="25.09.04"/>
    <s v="25.09.05"/>
    <n v="1710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09"/>
    <s v="25.09.30"/>
    <s v="25.09.30"/>
    <n v="855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10"/>
    <s v="25.10.01"/>
    <s v="25.10.01"/>
    <n v="1444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11"/>
    <s v="25.11.12"/>
    <s v="25.11.14"/>
    <n v="5746"/>
  </r>
  <r>
    <s v="애드몹"/>
    <s v="리서치애드"/>
    <s v="멕시카나"/>
    <x v="28"/>
    <s v="서비스"/>
    <s v="음식/조리"/>
    <s v="기타 프렌차이즈점"/>
    <s v="joongang.co.kr"/>
    <s v="신문/잡지(대)종합일간지(중)"/>
    <s v="m.web"/>
    <s v="애드몹"/>
    <s v="25"/>
    <s v="08"/>
    <s v="25.08.26"/>
    <s v="25.08.26"/>
    <n v="674"/>
  </r>
  <r>
    <s v="애드몹"/>
    <s v="리서치애드"/>
    <s v="코리아델로스KD"/>
    <x v="36"/>
    <s v="서비스"/>
    <s v="음식/조리"/>
    <s v="기타 프렌차이즈점"/>
    <s v="nocutnews.co.kr"/>
    <s v="신문/잡지(대)온라인뉴스(중)"/>
    <s v="m.web"/>
    <s v="애드몹"/>
    <s v="25"/>
    <s v="10"/>
    <s v="25.10.27"/>
    <s v="25.10.27"/>
    <n v="380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7"/>
    <s v="25.07.18"/>
    <s v="25.07.20"/>
    <n v="441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7"/>
    <s v="25.07.21"/>
    <s v="25.07.27"/>
    <n v="1029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7"/>
    <s v="25.07.28"/>
    <s v="25.07.31"/>
    <n v="588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9"/>
    <s v="25.09.10"/>
    <s v="25.09.14"/>
    <n v="735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9"/>
    <s v="25.09.15"/>
    <s v="25.09.21"/>
    <n v="1029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9"/>
    <s v="25.09.22"/>
    <s v="25.09.25"/>
    <n v="5883"/>
  </r>
  <r>
    <s v="애드몹"/>
    <s v="리서치애드"/>
    <s v="한국일오삼농산"/>
    <x v="29"/>
    <s v="서비스"/>
    <s v="음식/조리"/>
    <s v="기타 프렌차이즈점"/>
    <s v="chosun.com"/>
    <s v="신문/잡지(대)종합일간지(중)"/>
    <s v="m.web"/>
    <s v="애드몹"/>
    <s v="25"/>
    <s v="12"/>
    <s v="25.12.14"/>
    <s v="25.12.14"/>
    <n v="415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7"/>
    <s v="25.07.23"/>
    <s v="25.07.27"/>
    <n v="3016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7"/>
    <s v="25.07.28"/>
    <s v="25.07.29"/>
    <n v="1206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10"/>
    <s v="25.10.23"/>
    <s v="25.10.23"/>
    <n v="754"/>
  </r>
  <r>
    <s v="애드몹"/>
    <s v="리서치애드"/>
    <s v="한국일오삼농산"/>
    <x v="29"/>
    <s v="서비스"/>
    <s v="음식/조리"/>
    <s v="기타 프렌차이즈점"/>
    <s v="imbc.com"/>
    <s v="방송(대)방송국(중)"/>
    <s v="m.web"/>
    <s v="애드몹"/>
    <s v="25"/>
    <s v="10"/>
    <s v="25.10.16"/>
    <s v="25.10.16"/>
    <n v="380"/>
  </r>
  <r>
    <s v="애드몹"/>
    <s v="리서치애드"/>
    <s v="한국일오삼농산"/>
    <x v="29"/>
    <s v="서비스"/>
    <s v="음식/조리"/>
    <s v="기타 프렌차이즈점"/>
    <s v="imbc.com"/>
    <s v="방송(대)방송국(중)"/>
    <s v="m.web"/>
    <s v="애드몹"/>
    <s v="25"/>
    <s v="11"/>
    <s v="25.11.20"/>
    <s v="25.11.20"/>
    <n v="415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11"/>
    <s v="25.11.22"/>
    <s v="25.11.22"/>
    <n v="415"/>
  </r>
  <r>
    <s v="애드몹"/>
    <s v="리서치애드"/>
    <s v="한국일오삼농산"/>
    <x v="29"/>
    <s v="서비스"/>
    <s v="음식/조리"/>
    <s v="기타 프렌차이즈점"/>
    <s v="donga.com"/>
    <s v="신문/잡지(대)종합일간지(중)"/>
    <s v="m.web"/>
    <s v="애드몹"/>
    <s v="25"/>
    <s v="07"/>
    <s v="25.07.19"/>
    <s v="25.07.19"/>
    <n v="304"/>
  </r>
  <r>
    <s v="애드몹"/>
    <s v="리서치애드"/>
    <s v="한국일오삼농산"/>
    <x v="29"/>
    <s v="서비스"/>
    <s v="음식/조리"/>
    <s v="기타 프렌차이즈점"/>
    <s v="donga.com"/>
    <s v="신문/잡지(대)종합일간지(중)"/>
    <s v="m.web"/>
    <s v="애드몹"/>
    <s v="25"/>
    <s v="07"/>
    <s v="25.07.24"/>
    <s v="25.07.24"/>
    <n v="304"/>
  </r>
  <r>
    <s v="애드몹"/>
    <s v="리서치애드"/>
    <s v="한국일오삼농산"/>
    <x v="29"/>
    <s v="서비스"/>
    <s v="음식/조리"/>
    <s v="기타 프렌차이즈점"/>
    <s v="hani.co.kr"/>
    <s v="신문/잡지(대)종합일간지(중)"/>
    <s v="m.web"/>
    <s v="애드몹"/>
    <s v="25"/>
    <s v="10"/>
    <s v="25.10.16"/>
    <s v="25.10.18"/>
    <n v="1140"/>
  </r>
  <r>
    <s v="애드몹"/>
    <s v="리서치애드"/>
    <s v="한국일오삼농산"/>
    <x v="29"/>
    <s v="서비스"/>
    <s v="음식/조리"/>
    <s v="기타 프렌차이즈점"/>
    <s v="hani.co.kr"/>
    <s v="신문/잡지(대)종합일간지(중)"/>
    <s v="m.web"/>
    <s v="애드몹"/>
    <s v="25"/>
    <s v="10"/>
    <s v="25.10.26"/>
    <s v="25.10.26"/>
    <n v="380"/>
  </r>
  <r>
    <s v="애드몹"/>
    <s v="리서치애드"/>
    <s v="한국일오삼농산"/>
    <x v="29"/>
    <s v="서비스"/>
    <s v="음식/조리"/>
    <s v="기타 프렌차이즈점"/>
    <s v="ohmynews.com"/>
    <s v="신문/잡지(대)온라인뉴스(중)"/>
    <s v="m.web"/>
    <s v="애드몹"/>
    <s v="25"/>
    <s v="07"/>
    <s v="25.07.29"/>
    <s v="25.07.29"/>
    <n v="304"/>
  </r>
  <r>
    <s v="애드몹"/>
    <s v="리서치애드"/>
    <s v="한국일오삼농산"/>
    <x v="29"/>
    <s v="서비스"/>
    <s v="음식/조리"/>
    <s v="기타 프렌차이즈점"/>
    <s v="ohmynews.com"/>
    <s v="신문/잡지(대)온라인뉴스(중)"/>
    <s v="m.web"/>
    <s v="애드몹"/>
    <s v="25"/>
    <s v="12"/>
    <s v="25.12.14"/>
    <s v="25.12.14"/>
    <n v="415"/>
  </r>
  <r>
    <s v="애드몹"/>
    <s v="리서치애드"/>
    <s v="한국일오삼농산"/>
    <x v="29"/>
    <s v="서비스"/>
    <s v="음식/조리"/>
    <s v="기타 프렌차이즈점"/>
    <s v="yna.co.kr"/>
    <s v="신문/잡지(대)온라인뉴스(중)"/>
    <s v="m.web"/>
    <s v="애드몹"/>
    <s v="25"/>
    <s v="11"/>
    <s v="25.11.19"/>
    <s v="25.11.19"/>
    <n v="395"/>
  </r>
  <r>
    <s v="애드몹"/>
    <s v="리서치애드"/>
    <s v="한국일오삼농산"/>
    <x v="29"/>
    <s v="서비스"/>
    <s v="음식/조리"/>
    <s v="기타 프렌차이즈점"/>
    <s v="khan.co.kr"/>
    <s v="신문/잡지(대)종합일간지(중)"/>
    <s v="m.web"/>
    <s v="애드몹"/>
    <s v="25"/>
    <s v="10"/>
    <s v="25.10.19"/>
    <s v="25.10.19"/>
    <n v="380"/>
  </r>
  <r>
    <s v="애드몹"/>
    <s v="리서치애드"/>
    <s v="한국일오삼농산"/>
    <x v="29"/>
    <s v="서비스"/>
    <s v="음식/조리"/>
    <s v="기타 프렌차이즈점"/>
    <s v="khan.co.kr"/>
    <s v="신문/잡지(대)종합일간지(중)"/>
    <s v="m.web"/>
    <s v="애드몹"/>
    <s v="25"/>
    <s v="11"/>
    <s v="25.11.12"/>
    <s v="25.11.12"/>
    <n v="415"/>
  </r>
  <r>
    <s v="애드몹"/>
    <s v="리서치애드"/>
    <s v="한국일오삼농산"/>
    <x v="29"/>
    <s v="서비스"/>
    <s v="음식/조리"/>
    <s v="기타 프렌차이즈점"/>
    <s v="khan.co.kr"/>
    <s v="신문/잡지(대)종합일간지(중)"/>
    <s v="m.web"/>
    <s v="애드몹"/>
    <s v="25"/>
    <s v="11"/>
    <s v="25.11.18"/>
    <s v="25.11.18"/>
    <n v="415"/>
  </r>
  <r>
    <s v="애드몹"/>
    <s v="리서치애드"/>
    <s v="한국일오삼농산"/>
    <x v="29"/>
    <s v="서비스"/>
    <s v="음식/조리"/>
    <s v="기타 프렌차이즈점"/>
    <s v="khan.co.kr"/>
    <s v="신문/잡지(대)종합일간지(중)"/>
    <s v="m.web"/>
    <s v="애드몹"/>
    <s v="25"/>
    <s v="11"/>
    <s v="25.11.22"/>
    <s v="25.11.22"/>
    <n v="415"/>
  </r>
  <r>
    <s v="애드몹"/>
    <s v="리서치애드"/>
    <s v="한국일오삼농산"/>
    <x v="29"/>
    <s v="서비스"/>
    <s v="음식/조리"/>
    <s v="기타 프렌차이즈점"/>
    <s v="khan.co.kr"/>
    <s v="신문/잡지(대)종합일간지(중)"/>
    <s v="m.web"/>
    <s v="애드몹"/>
    <s v="25"/>
    <s v="12"/>
    <s v="25.12.14"/>
    <s v="25.12.14"/>
    <n v="1245"/>
  </r>
  <r>
    <s v="애드몹"/>
    <s v="리서치애드"/>
    <s v="한국일오삼농산"/>
    <x v="29"/>
    <s v="서비스"/>
    <s v="음식/조리"/>
    <s v="기타 프렌차이즈점"/>
    <s v="munhwa.com"/>
    <s v="신문/잡지(대)종합일간지(중)"/>
    <s v="m.web"/>
    <s v="애드몹"/>
    <s v="25"/>
    <s v="07"/>
    <s v="25.07.21"/>
    <s v="25.07.21"/>
    <n v="304"/>
  </r>
  <r>
    <s v="애드몹"/>
    <s v="리서치애드"/>
    <s v="한국일오삼농산"/>
    <x v="29"/>
    <s v="서비스"/>
    <s v="음식/조리"/>
    <s v="기타 프렌차이즈점"/>
    <s v="ytn.co.kr"/>
    <s v="방송(대)케이블/위성방송(중)"/>
    <s v="m.web"/>
    <s v="애드몹"/>
    <s v="25"/>
    <s v="12"/>
    <s v="25.12.14"/>
    <s v="25.12.14"/>
    <n v="830"/>
  </r>
  <r>
    <s v="애드몹"/>
    <s v="리서치애드"/>
    <s v="한국일오삼농산"/>
    <x v="29"/>
    <s v="서비스"/>
    <s v="음식/조리"/>
    <s v="기타 프렌차이즈점"/>
    <s v="edaily.co.kr"/>
    <s v="신문/잡지(대)신문/잡지 기타(중)"/>
    <s v="m.web"/>
    <s v="애드몹"/>
    <s v="25"/>
    <s v="07"/>
    <s v="25.07.23"/>
    <s v="25.07.23"/>
    <n v="304"/>
  </r>
  <r>
    <s v="애드몹"/>
    <s v="리서치애드"/>
    <s v="한국일오삼농산"/>
    <x v="29"/>
    <s v="서비스"/>
    <s v="음식/조리"/>
    <s v="기타 프렌차이즈점"/>
    <s v="edaily.co.kr"/>
    <s v="신문/잡지(대)신문/잡지 기타(중)"/>
    <s v="m.web"/>
    <s v="애드몹"/>
    <s v="25"/>
    <s v="11"/>
    <s v="25.11.21"/>
    <s v="25.11.21"/>
    <n v="415"/>
  </r>
  <r>
    <s v="애드몹"/>
    <s v="리서치애드"/>
    <s v="한국일오삼농산"/>
    <x v="29"/>
    <s v="서비스"/>
    <s v="음식/조리"/>
    <s v="기타 프렌차이즈점"/>
    <s v="inews24.com"/>
    <s v="신문/잡지(대)IT관련 뉴스(중)"/>
    <s v="m.web"/>
    <s v="애드몹"/>
    <s v="25"/>
    <s v="07"/>
    <s v="25.07.20"/>
    <s v="25.07.20"/>
    <n v="608"/>
  </r>
  <r>
    <s v="애드몹"/>
    <s v="리서치애드"/>
    <s v="한국일오삼농산"/>
    <x v="29"/>
    <s v="서비스"/>
    <s v="음식/조리"/>
    <s v="기타 프렌차이즈점"/>
    <s v="inews24.com"/>
    <s v="신문/잡지(대)IT관련 뉴스(중)"/>
    <s v="m.web"/>
    <s v="애드몹"/>
    <s v="25"/>
    <s v="07"/>
    <s v="25.07.23"/>
    <s v="25.07.25"/>
    <n v="1824"/>
  </r>
  <r>
    <s v="애드몹"/>
    <s v="리서치애드"/>
    <s v="한국일오삼농산"/>
    <x v="29"/>
    <s v="서비스"/>
    <s v="음식/조리"/>
    <s v="기타 프렌차이즈점"/>
    <s v="inews24.com"/>
    <s v="신문/잡지(대)IT관련 뉴스(중)"/>
    <s v="m.web"/>
    <s v="애드몹"/>
    <s v="25"/>
    <s v="07"/>
    <s v="25.07.28"/>
    <s v="25.07.28"/>
    <n v="304"/>
  </r>
  <r>
    <s v="애드몹"/>
    <s v="리서치애드"/>
    <s v="한국일오삼농산"/>
    <x v="29"/>
    <s v="서비스"/>
    <s v="음식/조리"/>
    <s v="기타 프렌차이즈점"/>
    <s v="kbs.co.kr"/>
    <s v="방송(대)방송국(중)"/>
    <s v="m.web"/>
    <s v="애드몹"/>
    <s v="25"/>
    <s v="07"/>
    <s v="25.07.22"/>
    <s v="25.07.22"/>
    <n v="603"/>
  </r>
  <r>
    <s v="애드몹"/>
    <s v="리서치애드"/>
    <s v="한국일오삼농산"/>
    <x v="29"/>
    <s v="서비스"/>
    <s v="음식/조리"/>
    <s v="기타 프렌차이즈점"/>
    <s v="kbs.co.kr"/>
    <s v="방송(대)방송국(중)"/>
    <s v="m.web"/>
    <s v="애드몹"/>
    <s v="25"/>
    <s v="07"/>
    <s v="25.07.24"/>
    <s v="25.07.27"/>
    <n v="2413"/>
  </r>
  <r>
    <s v="애드몹"/>
    <s v="리서치애드"/>
    <s v="한국일오삼농산"/>
    <x v="29"/>
    <s v="서비스"/>
    <s v="음식/조리"/>
    <s v="기타 프렌차이즈점"/>
    <s v="kbs.co.kr"/>
    <s v="방송(대)방송국(중)"/>
    <s v="m.web"/>
    <s v="애드몹"/>
    <s v="25"/>
    <s v="07"/>
    <s v="25.07.28"/>
    <s v="25.07.30"/>
    <n v="1809"/>
  </r>
  <r>
    <s v="애드몹"/>
    <s v="리서치애드"/>
    <s v="한국일오삼농산"/>
    <x v="29"/>
    <s v="서비스"/>
    <s v="음식/조리"/>
    <s v="기타 프렌차이즈점"/>
    <s v="kbs.co.kr"/>
    <s v="방송(대)방송국(중)"/>
    <s v="m.web"/>
    <s v="애드몹"/>
    <s v="25"/>
    <s v="10"/>
    <s v="25.10.16"/>
    <s v="25.10.16"/>
    <n v="754"/>
  </r>
  <r>
    <s v="애드몹"/>
    <s v="리서치애드"/>
    <s v="한국일오삼농산"/>
    <x v="29"/>
    <s v="서비스"/>
    <s v="음식/조리"/>
    <s v="기타 프렌차이즈점"/>
    <s v="dt.co.kr"/>
    <s v="신문/잡지(대)IT관련 뉴스(중)"/>
    <s v="m.web"/>
    <s v="애드몹"/>
    <s v="25"/>
    <s v="07"/>
    <s v="25.07.22"/>
    <s v="25.07.23"/>
    <n v="1206"/>
  </r>
  <r>
    <s v="애드몹"/>
    <s v="리서치애드"/>
    <s v="한국일오삼농산"/>
    <x v="29"/>
    <s v="서비스"/>
    <s v="음식/조리"/>
    <s v="기타 프렌차이즈점"/>
    <s v="mediatoday.co.kr"/>
    <s v="신문/잡지(대)잡지(중)"/>
    <s v="m.web"/>
    <s v="애드몹"/>
    <s v="25"/>
    <s v="07"/>
    <s v="25.07.22"/>
    <s v="25.07.22"/>
    <n v="608"/>
  </r>
  <r>
    <s v="애드몹"/>
    <s v="리서치애드"/>
    <s v="한국일오삼농산"/>
    <x v="29"/>
    <s v="서비스"/>
    <s v="음식/조리"/>
    <s v="기타 프렌차이즈점"/>
    <s v="mediatoday.co.kr"/>
    <s v="신문/잡지(대)잡지(중)"/>
    <s v="m.web"/>
    <s v="애드몹"/>
    <s v="25"/>
    <s v="09"/>
    <s v="25.09.15"/>
    <s v="25.09.15"/>
    <n v="288"/>
  </r>
  <r>
    <s v="애드몹"/>
    <s v="리서치애드"/>
    <s v="한국일오삼농산"/>
    <x v="29"/>
    <s v="서비스"/>
    <s v="음식/조리"/>
    <s v="기타 프렌차이즈점"/>
    <s v="mediatoday.co.kr"/>
    <s v="신문/잡지(대)잡지(중)"/>
    <s v="m.web"/>
    <s v="애드몹"/>
    <s v="25"/>
    <s v="11"/>
    <s v="25.11.19"/>
    <s v="25.11.23"/>
    <n v="2074"/>
  </r>
  <r>
    <s v="애드몹"/>
    <s v="리서치애드"/>
    <s v="한국일오삼농산"/>
    <x v="29"/>
    <s v="서비스"/>
    <s v="음식/조리"/>
    <s v="기타 프렌차이즈점"/>
    <s v="nocutnews.co.kr"/>
    <s v="신문/잡지(대)온라인뉴스(중)"/>
    <s v="m.web"/>
    <s v="애드몹"/>
    <s v="25"/>
    <s v="10"/>
    <s v="25.10.19"/>
    <s v="25.10.19"/>
    <n v="380"/>
  </r>
  <r>
    <s v="애드몹"/>
    <s v="리서치애드"/>
    <s v="한국일오삼농산"/>
    <x v="29"/>
    <s v="서비스"/>
    <s v="음식/조리"/>
    <s v="기타 프렌차이즈점"/>
    <s v="nocutnews.co.kr"/>
    <s v="신문/잡지(대)온라인뉴스(중)"/>
    <s v="m.web"/>
    <s v="애드몹"/>
    <s v="25"/>
    <s v="11"/>
    <s v="25.11.19"/>
    <s v="25.11.21"/>
    <n v="1244"/>
  </r>
  <r>
    <s v="애드몹"/>
    <s v="리서치애드"/>
    <s v="한국일오삼농산"/>
    <x v="29"/>
    <s v="서비스"/>
    <s v="음식/조리"/>
    <s v="기타 프렌차이즈점"/>
    <s v="nocutnews.co.kr"/>
    <s v="신문/잡지(대)온라인뉴스(중)"/>
    <s v="m.web"/>
    <s v="애드몹"/>
    <s v="25"/>
    <s v="12"/>
    <s v="25.12.10"/>
    <s v="25.12.10"/>
    <n v="415"/>
  </r>
  <r>
    <s v="애드몹"/>
    <s v="리서치애드"/>
    <s v="한국일오삼농산"/>
    <x v="29"/>
    <s v="서비스"/>
    <s v="음식/조리"/>
    <s v="기타 프렌차이즈점"/>
    <s v="hungryapp.co.kr"/>
    <s v="엔터테인먼트(대)게임(중)"/>
    <s v="m.web"/>
    <s v="애드몹"/>
    <s v="25"/>
    <s v="12"/>
    <s v="25.12.27"/>
    <s v="25.12.27"/>
    <n v="1843"/>
  </r>
  <r>
    <s v="애드몹"/>
    <s v="리서치애드"/>
    <s v="한국일오삼농산"/>
    <x v="29"/>
    <s v="서비스"/>
    <s v="음식/조리"/>
    <s v="기타 프렌차이즈점"/>
    <s v="미친 미행"/>
    <s v="엔터테인먼트(대)게임(중)"/>
    <s v="m.app"/>
    <s v="애드몹"/>
    <s v="25"/>
    <s v="09"/>
    <s v="25.09.27"/>
    <s v="25.09.28"/>
    <n v="336"/>
  </r>
  <r>
    <s v="애드몹"/>
    <s v="리서치애드"/>
    <s v="한국일오삼농산"/>
    <x v="29"/>
    <s v="서비스"/>
    <s v="음식/조리"/>
    <s v="기타 프렌차이즈점"/>
    <s v="미친 미행"/>
    <s v="엔터테인먼트(대)게임(중)"/>
    <s v="m.app"/>
    <s v="애드몹"/>
    <s v="25"/>
    <s v="10"/>
    <s v="25.10.01"/>
    <s v="25.10.01"/>
    <n v="222"/>
  </r>
  <r>
    <s v="애드몹"/>
    <s v="리서치애드"/>
    <s v="한국일오삼농산"/>
    <x v="29"/>
    <s v="서비스"/>
    <s v="음식/조리"/>
    <s v="기타 프렌차이즈점"/>
    <s v="바운스볼"/>
    <s v="엔터테인먼트(대)게임(중)"/>
    <s v="m.app"/>
    <s v="애드몹"/>
    <s v="25"/>
    <s v="10"/>
    <s v="25.10.01"/>
    <s v="25.10.01"/>
    <n v="222"/>
  </r>
  <r>
    <s v="애드몹"/>
    <s v="리서치애드"/>
    <s v="한국일오삼농산"/>
    <x v="29"/>
    <s v="서비스"/>
    <s v="음식/조리"/>
    <s v="기타 프렌차이즈점"/>
    <s v="브라이티스트 플래시라이트 무료"/>
    <s v="모바일(대)도구/유틸리티(중)"/>
    <s v="m.app"/>
    <s v="애드몹"/>
    <s v="25"/>
    <s v="09"/>
    <s v="25.09.28"/>
    <s v="25.09.28"/>
    <n v="168"/>
  </r>
  <r>
    <s v="애드몹"/>
    <s v="리서치애드"/>
    <s v="한국일오삼농산"/>
    <x v="29"/>
    <s v="서비스"/>
    <s v="음식/조리"/>
    <s v="기타 프렌차이즈점"/>
    <s v="플래쉬라이트"/>
    <s v="모바일(대)도구/유틸리티(중)"/>
    <s v="m.app"/>
    <s v="애드몹"/>
    <s v="25"/>
    <s v="12"/>
    <s v="25.12.28"/>
    <s v="25.12.28"/>
    <n v="242"/>
  </r>
  <r>
    <s v="애드몹"/>
    <s v="리서치애드"/>
    <s v="한국일오삼농산"/>
    <x v="29"/>
    <s v="서비스"/>
    <s v="음식/조리"/>
    <s v="기타 프렌차이즈점"/>
    <s v="gamemeca.com"/>
    <s v="신문/잡지(대)온라인뉴스(중)"/>
    <s v="m.web"/>
    <s v="애드몹"/>
    <s v="25"/>
    <s v="11"/>
    <s v="25.11.18"/>
    <s v="25.11.19"/>
    <n v="1448"/>
  </r>
  <r>
    <s v="애드몹"/>
    <s v="리서치애드"/>
    <s v="한국일오삼농산"/>
    <x v="29"/>
    <s v="서비스"/>
    <s v="음식/조리"/>
    <s v="기타 프렌차이즈점"/>
    <s v="tvchosun.com"/>
    <s v="방송(대)방송기타(중)"/>
    <s v="m.web"/>
    <s v="애드몹"/>
    <s v="25"/>
    <s v="07"/>
    <s v="25.07.25"/>
    <s v="25.07.25"/>
    <n v="193"/>
  </r>
  <r>
    <s v="애드몹"/>
    <s v="리서치애드"/>
    <s v="한국일오삼농산"/>
    <x v="29"/>
    <s v="서비스"/>
    <s v="음식/조리"/>
    <s v="기타 프렌차이즈점"/>
    <s v="tvchosun.com"/>
    <s v="방송(대)방송기타(중)"/>
    <s v="m.web"/>
    <s v="애드몹"/>
    <s v="25"/>
    <s v="11"/>
    <s v="25.11.18"/>
    <s v="25.11.18"/>
    <n v="263"/>
  </r>
  <r>
    <s v="애드몹"/>
    <s v="리서치애드"/>
    <s v="한국일오삼농산"/>
    <x v="29"/>
    <s v="서비스"/>
    <s v="음식/조리"/>
    <s v="기타 프렌차이즈점"/>
    <s v="먹방 퀴즈"/>
    <s v="엔터테인먼트(대)게임(중)"/>
    <s v="m.app"/>
    <s v="애드몹"/>
    <s v="25"/>
    <s v="09"/>
    <s v="25.09.28"/>
    <s v="25.09.28"/>
    <n v="168"/>
  </r>
  <r>
    <s v="애드몹"/>
    <s v="리서치애드"/>
    <s v="한국일오삼농산"/>
    <x v="29"/>
    <s v="서비스"/>
    <s v="음식/조리"/>
    <s v="기타 프렌차이즈점"/>
    <s v="먹방 퀴즈"/>
    <s v="엔터테인먼트(대)게임(중)"/>
    <s v="m.app"/>
    <s v="애드몹"/>
    <s v="25"/>
    <s v="09"/>
    <s v="25.09.30"/>
    <s v="25.09.30"/>
    <n v="168"/>
  </r>
  <r>
    <s v="애드몹"/>
    <s v="리서치애드"/>
    <s v="한국일오삼농산"/>
    <x v="29"/>
    <s v="서비스"/>
    <s v="음식/조리"/>
    <s v="기타 프렌차이즈점"/>
    <s v="moneta.co.kr"/>
    <s v="금융/비즈니스(대)금융정보(중)"/>
    <s v="m.web"/>
    <s v="애드몹"/>
    <s v="25"/>
    <s v="10"/>
    <s v="25.10.25"/>
    <s v="25.10.25"/>
    <n v="241"/>
  </r>
  <r>
    <s v="애드몹"/>
    <s v="리서치애드"/>
    <s v="한국일오삼농산"/>
    <x v="29"/>
    <s v="서비스"/>
    <s v="음식/조리"/>
    <s v="기타 프렌차이즈점"/>
    <s v="초성퀴즈"/>
    <s v="엔터테인먼트(대)게임(중)"/>
    <s v="m.app"/>
    <s v="애드몹"/>
    <s v="25"/>
    <s v="09"/>
    <s v="25.09.28"/>
    <s v="25.09.28"/>
    <n v="168"/>
  </r>
  <r>
    <s v="애드몹"/>
    <s v="리서치애드"/>
    <s v="한국일오삼농산"/>
    <x v="29"/>
    <s v="서비스"/>
    <s v="음식/조리"/>
    <s v="기타 프렌차이즈점"/>
    <s v="초성퀴즈"/>
    <s v="엔터테인먼트(대)게임(중)"/>
    <s v="m.app"/>
    <s v="애드몹"/>
    <s v="25"/>
    <s v="09"/>
    <s v="25.09.29"/>
    <s v="25.09.30"/>
    <n v="336"/>
  </r>
  <r>
    <s v="애드몹"/>
    <s v="리서치애드"/>
    <s v="한국일오삼농산"/>
    <x v="29"/>
    <s v="서비스"/>
    <s v="음식/조리"/>
    <s v="기타 프렌차이즈점"/>
    <s v="초성퀴즈"/>
    <s v="엔터테인먼트(대)게임(중)"/>
    <s v="m.app"/>
    <s v="애드몹"/>
    <s v="25"/>
    <s v="10"/>
    <s v="25.10.01"/>
    <s v="25.10.05"/>
    <n v="1109"/>
  </r>
  <r>
    <s v="애드몹"/>
    <s v="리서치애드"/>
    <s v="한국일오삼농산"/>
    <x v="29"/>
    <s v="서비스"/>
    <s v="음식/조리"/>
    <s v="기타 프렌차이즈점"/>
    <s v="소리 퀴즈"/>
    <s v="엔터테인먼트(대)게임(중)"/>
    <s v="m.app"/>
    <s v="애드몹"/>
    <s v="25"/>
    <s v="10"/>
    <s v="25.10.05"/>
    <s v="25.10.05"/>
    <n v="222"/>
  </r>
  <r>
    <s v="애드몹"/>
    <s v="리서치애드"/>
    <s v="한국일오삼농산"/>
    <x v="29"/>
    <s v="서비스"/>
    <s v="음식/조리"/>
    <s v="기타 프렌차이즈점"/>
    <s v="막장 학교 퀴즈"/>
    <s v="엔터테인먼트(대)게임(중)"/>
    <s v="m.app"/>
    <s v="애드몹"/>
    <s v="25"/>
    <s v="10"/>
    <s v="25.10.01"/>
    <s v="25.10.01"/>
    <n v="222"/>
  </r>
  <r>
    <s v="애드몹"/>
    <s v="리서치애드"/>
    <s v="한국일오삼농산"/>
    <x v="29"/>
    <s v="서비스"/>
    <s v="음식/조리"/>
    <s v="기타 프렌차이즈점"/>
    <s v="연상퀴즈"/>
    <s v="엔터테인먼트(대)게임(중)"/>
    <s v="m.app"/>
    <s v="애드몹"/>
    <s v="25"/>
    <s v="10"/>
    <s v="25.10.01"/>
    <s v="25.10.05"/>
    <n v="1109"/>
  </r>
  <r>
    <s v="애드몹"/>
    <s v="리서치애드"/>
    <s v="한국일오삼농산"/>
    <x v="29"/>
    <s v="서비스"/>
    <s v="음식/조리"/>
    <s v="기타 프렌차이즈점"/>
    <s v="탈출! 일기장퀴즈"/>
    <s v="엔터테인먼트(대)게임(중)"/>
    <s v="m.app"/>
    <s v="애드몹"/>
    <s v="25"/>
    <s v="09"/>
    <s v="25.09.28"/>
    <s v="25.09.28"/>
    <n v="336"/>
  </r>
  <r>
    <s v="애드몹"/>
    <s v="리서치애드"/>
    <s v="한국일오삼농산"/>
    <x v="29"/>
    <s v="서비스"/>
    <s v="음식/조리"/>
    <s v="기타 프렌차이즈점"/>
    <s v="탈출! 일기장퀴즈"/>
    <s v="엔터테인먼트(대)게임(중)"/>
    <s v="m.app"/>
    <s v="애드몹"/>
    <s v="25"/>
    <s v="10"/>
    <s v="25.10.01"/>
    <s v="25.10.03"/>
    <n v="665"/>
  </r>
  <r>
    <s v="애드몹"/>
    <s v="리서치애드"/>
    <s v="한국일오삼농산"/>
    <x v="29"/>
    <s v="서비스"/>
    <s v="음식/조리"/>
    <s v="기타 프렌차이즈점"/>
    <s v="탈출! 일기장퀴즈"/>
    <s v="엔터테인먼트(대)게임(중)"/>
    <s v="m.app"/>
    <s v="애드몹"/>
    <s v="25"/>
    <s v="10"/>
    <s v="25.10.02"/>
    <s v="25.10.02"/>
    <n v="222"/>
  </r>
  <r>
    <s v="애드몹"/>
    <s v="리서치애드"/>
    <s v="한국일오삼농산"/>
    <x v="29"/>
    <s v="서비스"/>
    <s v="음식/조리"/>
    <s v="기타 프렌차이즈점"/>
    <s v="하루동안 연예인"/>
    <s v="엔터테인먼트(대)게임(중)"/>
    <s v="m.app"/>
    <s v="애드몹"/>
    <s v="25"/>
    <s v="09"/>
    <s v="25.09.15"/>
    <s v="25.09.16"/>
    <n v="336"/>
  </r>
  <r>
    <s v="애드몹"/>
    <s v="리서치애드"/>
    <s v="한국일오삼농산"/>
    <x v="29"/>
    <s v="서비스"/>
    <s v="음식/조리"/>
    <s v="기타 프렌차이즈점"/>
    <s v="스마트폰을 숨겼다"/>
    <s v="엔터테인먼트(대)게임(중)"/>
    <s v="m.app"/>
    <s v="애드몹"/>
    <s v="25"/>
    <s v="09"/>
    <s v="25.09.27"/>
    <s v="25.09.28"/>
    <n v="336"/>
  </r>
  <r>
    <s v="애드몹"/>
    <s v="리서치애드"/>
    <s v="한국일오삼농산"/>
    <x v="29"/>
    <s v="서비스"/>
    <s v="음식/조리"/>
    <s v="기타 프렌차이즈점"/>
    <s v="스마트폰을 숨겼다"/>
    <s v="엔터테인먼트(대)게임(중)"/>
    <s v="m.app"/>
    <s v="애드몹"/>
    <s v="25"/>
    <s v="09"/>
    <s v="25.09.29"/>
    <s v="25.09.30"/>
    <n v="336"/>
  </r>
  <r>
    <s v="애드몹"/>
    <s v="리서치애드"/>
    <s v="한국일오삼농산"/>
    <x v="29"/>
    <s v="서비스"/>
    <s v="음식/조리"/>
    <s v="기타 프렌차이즈점"/>
    <s v="스마트폰을 숨겼다"/>
    <s v="엔터테인먼트(대)게임(중)"/>
    <s v="m.app"/>
    <s v="애드몹"/>
    <s v="25"/>
    <s v="10"/>
    <s v="25.10.01"/>
    <s v="25.10.05"/>
    <n v="1109"/>
  </r>
  <r>
    <s v="애드몹"/>
    <s v="리서치애드"/>
    <s v="한국일오삼농산"/>
    <x v="29"/>
    <s v="서비스"/>
    <s v="음식/조리"/>
    <s v="기타 프렌차이즈점"/>
    <s v="정통장기"/>
    <s v="엔터테인먼트(대)게임(중)"/>
    <s v="m.app"/>
    <s v="애드몹"/>
    <s v="25"/>
    <s v="12"/>
    <s v="25.12.25"/>
    <s v="25.12.25"/>
    <n v="242"/>
  </r>
  <r>
    <s v="애드몹"/>
    <s v="리서치애드"/>
    <s v="한국일오삼농산"/>
    <x v="29"/>
    <s v="서비스"/>
    <s v="음식/조리"/>
    <s v="기타 프렌차이즈점"/>
    <s v="Word Search"/>
    <s v="엔터테인먼트(대)게임(중)"/>
    <s v="m.app"/>
    <s v="애드몹"/>
    <s v="25"/>
    <s v="12"/>
    <s v="25.12.23"/>
    <s v="25.12.23"/>
    <n v="242"/>
  </r>
  <r>
    <s v="애드몹"/>
    <s v="리서치애드"/>
    <s v="한국일오삼농산"/>
    <x v="29"/>
    <s v="서비스"/>
    <s v="음식/조리"/>
    <s v="기타 프렌차이즈점"/>
    <s v="Slime Simulator Time"/>
    <s v="모바일(대)라이프스타일(중)"/>
    <s v="m.app"/>
    <s v="애드몹"/>
    <s v="25"/>
    <s v="07"/>
    <s v="25.07.31"/>
    <s v="25.07.31"/>
    <n v="178"/>
  </r>
  <r>
    <s v="애드몹"/>
    <s v="리서치애드"/>
    <s v="한국일오삼농산"/>
    <x v="29"/>
    <s v="서비스"/>
    <s v="음식/조리"/>
    <s v="기타 프렌차이즈점"/>
    <s v="Crowd City"/>
    <s v="엔터테인먼트(대)게임(중)"/>
    <s v="m.app"/>
    <s v="애드몹"/>
    <s v="25"/>
    <s v="12"/>
    <s v="25.12.25"/>
    <s v="25.12.25"/>
    <n v="242"/>
  </r>
  <r>
    <s v="애드몹"/>
    <s v="리서치애드"/>
    <s v="한국일오삼농산"/>
    <x v="29"/>
    <s v="서비스"/>
    <s v="음식/조리"/>
    <s v="기타 프렌차이즈점"/>
    <s v="Save The Girl"/>
    <s v="엔터테인먼트(대)게임(중)"/>
    <s v="m.app"/>
    <s v="애드몹"/>
    <s v="25"/>
    <s v="12"/>
    <s v="25.12.27"/>
    <s v="25.12.27"/>
    <n v="242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7"/>
    <s v="25.07.25"/>
    <s v="25.07.27"/>
    <n v="533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7"/>
    <s v="25.07.28"/>
    <s v="25.07.31"/>
    <n v="710"/>
  </r>
  <r>
    <s v="애드몹"/>
    <s v="리서치애드"/>
    <s v="한국일오삼농산"/>
    <x v="29"/>
    <s v="서비스"/>
    <s v="음식/조리"/>
    <s v="기타 프렌차이즈점"/>
    <s v="너랑나랑 우정운세"/>
    <s v="모바일(대)엔터테인먼트(중)"/>
    <s v="m.app"/>
    <s v="애드몹"/>
    <s v="25"/>
    <s v="07"/>
    <s v="25.07.31"/>
    <s v="25.07.31"/>
    <n v="178"/>
  </r>
  <r>
    <s v="애드몹"/>
    <s v="리서치애드"/>
    <s v="한국일오삼농산"/>
    <x v="29"/>
    <s v="서비스"/>
    <s v="음식/조리"/>
    <s v="기타 프렌차이즈점"/>
    <s v="TRUE대구"/>
    <s v="생활정보(대)생활정보 기타(중)"/>
    <s v="m.app"/>
    <s v="애드몹"/>
    <s v="25"/>
    <s v="09"/>
    <s v="25.09.26"/>
    <s v="25.09.26"/>
    <n v="168"/>
  </r>
  <r>
    <s v="애드몹"/>
    <s v="리서치애드"/>
    <s v="한국일오삼농산"/>
    <x v="29"/>
    <s v="서비스"/>
    <s v="음식/조리"/>
    <s v="기타 프렌차이즈점"/>
    <s v="TRUE부산"/>
    <s v="생활정보(대)생활정보 기타(중)"/>
    <s v="m.app"/>
    <s v="애드몹"/>
    <s v="25"/>
    <s v="09"/>
    <s v="25.09.28"/>
    <s v="25.09.28"/>
    <n v="168"/>
  </r>
  <r>
    <s v="애드몹"/>
    <s v="리서치애드"/>
    <s v="한국일오삼농산"/>
    <x v="29"/>
    <s v="서비스"/>
    <s v="음식/조리"/>
    <s v="기타 프렌차이즈점"/>
    <s v="TRUE인천"/>
    <s v="생활정보(대)생활정보 기타(중)"/>
    <s v="m.app"/>
    <s v="애드몹"/>
    <s v="25"/>
    <s v="09"/>
    <s v="25.09.26"/>
    <s v="25.09.27"/>
    <n v="336"/>
  </r>
  <r>
    <s v="애드몹"/>
    <s v="리서치애드"/>
    <s v="한국일오삼농산"/>
    <x v="29"/>
    <s v="서비스"/>
    <s v="음식/조리"/>
    <s v="기타 프렌차이즈점"/>
    <s v="TRUE 춘천"/>
    <s v="생활정보(대)생활정보 기타(중)"/>
    <s v="m.app"/>
    <s v="애드몹"/>
    <s v="25"/>
    <s v="09"/>
    <s v="25.09.30"/>
    <s v="25.09.30"/>
    <n v="168"/>
  </r>
  <r>
    <s v="애드몹"/>
    <s v="리서치애드"/>
    <s v="한국일오삼농산"/>
    <x v="29"/>
    <s v="서비스"/>
    <s v="음식/조리"/>
    <s v="기타 프렌차이즈점"/>
    <s v="전국휴게소 지도"/>
    <s v="생활정보(대)교통/날씨(중)"/>
    <s v="m.app"/>
    <s v="애드몹"/>
    <s v="25"/>
    <s v="09"/>
    <s v="25.09.27"/>
    <s v="25.09.27"/>
    <n v="168"/>
  </r>
  <r>
    <s v="애드몹"/>
    <s v="리서치애드"/>
    <s v="한국일오삼농산"/>
    <x v="29"/>
    <s v="서비스"/>
    <s v="음식/조리"/>
    <s v="기타 프렌차이즈점"/>
    <s v="TRUE대전"/>
    <s v="생활정보(대)생활정보 기타(중)"/>
    <s v="m.app"/>
    <s v="애드몹"/>
    <s v="25"/>
    <s v="09"/>
    <s v="25.09.26"/>
    <s v="25.09.26"/>
    <n v="168"/>
  </r>
  <r>
    <s v="애드몹"/>
    <s v="리서치애드"/>
    <s v="한국일오삼농산"/>
    <x v="29"/>
    <s v="서비스"/>
    <s v="음식/조리"/>
    <s v="기타 프렌차이즈점"/>
    <s v="TRUE대전"/>
    <s v="생활정보(대)생활정보 기타(중)"/>
    <s v="m.app"/>
    <s v="애드몹"/>
    <s v="25"/>
    <s v="09"/>
    <s v="25.09.29"/>
    <s v="25.09.29"/>
    <n v="168"/>
  </r>
  <r>
    <s v="애드몹"/>
    <s v="리서치애드"/>
    <s v="한국일오삼농산"/>
    <x v="29"/>
    <s v="서비스"/>
    <s v="음식/조리"/>
    <s v="기타 프렌차이즈점"/>
    <s v="광주 등산로"/>
    <s v="엔터테인먼트(대)스포츠/레포츠(중)"/>
    <s v="m.app"/>
    <s v="애드몹"/>
    <s v="25"/>
    <s v="09"/>
    <s v="25.09.26"/>
    <s v="25.09.26"/>
    <n v="168"/>
  </r>
  <r>
    <s v="애드몹"/>
    <s v="리서치애드"/>
    <s v="한국일오삼농산"/>
    <x v="29"/>
    <s v="서비스"/>
    <s v="음식/조리"/>
    <s v="기타 프렌차이즈점"/>
    <s v="광주 등산로"/>
    <s v="엔터테인먼트(대)스포츠/레포츠(중)"/>
    <s v="m.app"/>
    <s v="애드몹"/>
    <s v="25"/>
    <s v="09"/>
    <s v="25.09.30"/>
    <s v="25.09.30"/>
    <n v="168"/>
  </r>
  <r>
    <s v="애드몹"/>
    <s v="리서치애드"/>
    <s v="한국일오삼농산"/>
    <x v="29"/>
    <s v="서비스"/>
    <s v="음식/조리"/>
    <s v="기타 프렌차이즈점"/>
    <s v="광주 등산로"/>
    <s v="엔터테인먼트(대)스포츠/레포츠(중)"/>
    <s v="m.app"/>
    <s v="애드몹"/>
    <s v="25"/>
    <s v="10"/>
    <s v="25.10.01"/>
    <s v="25.10.01"/>
    <n v="222"/>
  </r>
  <r>
    <s v="애드몹"/>
    <s v="리서치애드"/>
    <s v="한국일오삼농산"/>
    <x v="29"/>
    <s v="서비스"/>
    <s v="음식/조리"/>
    <s v="기타 프렌차이즈점"/>
    <s v="경상남도 등산로"/>
    <s v="엔터테인먼트(대)스포츠/레포츠(중)"/>
    <s v="m.app"/>
    <s v="애드몹"/>
    <s v="25"/>
    <s v="09"/>
    <s v="25.09.26"/>
    <s v="25.09.26"/>
    <n v="168"/>
  </r>
  <r>
    <s v="애드몹"/>
    <s v="리서치애드"/>
    <s v="한국일오삼농산"/>
    <x v="29"/>
    <s v="서비스"/>
    <s v="음식/조리"/>
    <s v="기타 프렌차이즈점"/>
    <s v="경상남도 등산로"/>
    <s v="엔터테인먼트(대)스포츠/레포츠(중)"/>
    <s v="m.app"/>
    <s v="애드몹"/>
    <s v="25"/>
    <s v="10"/>
    <s v="25.10.01"/>
    <s v="25.10.01"/>
    <n v="222"/>
  </r>
  <r>
    <s v="애드몹"/>
    <s v="리서치애드"/>
    <s v="한국일오삼농산"/>
    <x v="29"/>
    <s v="서비스"/>
    <s v="음식/조리"/>
    <s v="기타 프렌차이즈점"/>
    <s v="포켓빵을 숨겼다"/>
    <s v="엔터테인먼트(대)게임(중)"/>
    <s v="m.app"/>
    <s v="애드몹"/>
    <s v="25"/>
    <s v="09"/>
    <s v="25.09.26"/>
    <s v="25.09.28"/>
    <n v="503"/>
  </r>
  <r>
    <s v="애드몹"/>
    <s v="리서치애드"/>
    <s v="한국일오삼농산"/>
    <x v="29"/>
    <s v="서비스"/>
    <s v="음식/조리"/>
    <s v="기타 프렌차이즈점"/>
    <s v="포켓빵을 숨겼다"/>
    <s v="엔터테인먼트(대)게임(중)"/>
    <s v="m.app"/>
    <s v="애드몹"/>
    <s v="25"/>
    <s v="10"/>
    <s v="25.10.01"/>
    <s v="25.10.01"/>
    <n v="222"/>
  </r>
  <r>
    <s v="애드몹"/>
    <s v="리서치애드"/>
    <s v="한국일오삼농산"/>
    <x v="29"/>
    <s v="서비스"/>
    <s v="음식/조리"/>
    <s v="기타 프렌차이즈점"/>
    <s v="isplus.com"/>
    <s v="신문/잡지(대)스포츠신문(중)"/>
    <s v="m.web"/>
    <s v="애드몹"/>
    <s v="25"/>
    <s v="10"/>
    <s v="25.10.16"/>
    <s v="25.10.16"/>
    <n v="724"/>
  </r>
  <r>
    <s v="애드몹"/>
    <s v="리서치애드"/>
    <s v="한국일오삼농산"/>
    <x v="29"/>
    <s v="서비스"/>
    <s v="음식/조리"/>
    <s v="기타 프렌차이즈점"/>
    <s v="joongang.co.kr"/>
    <s v="신문/잡지(대)종합일간지(중)"/>
    <s v="m.web"/>
    <s v="애드몹"/>
    <s v="25"/>
    <s v="10"/>
    <s v="25.10.16"/>
    <s v="25.10.16"/>
    <n v="362"/>
  </r>
  <r>
    <s v="애드몹"/>
    <s v="리서치애드"/>
    <s v="한국일오삼농산"/>
    <x v="29"/>
    <s v="서비스"/>
    <s v="음식/조리"/>
    <s v="기타 프렌차이즈점"/>
    <s v="보수계"/>
    <s v="생활정보(대)병원/건강정보(중)"/>
    <s v="m.app"/>
    <s v="애드몹"/>
    <s v="25"/>
    <s v="12"/>
    <s v="25.12.25"/>
    <s v="25.12.26"/>
    <n v="484"/>
  </r>
  <r>
    <s v="애드몹"/>
    <s v="리서치애드"/>
    <s v="한국일오삼농산"/>
    <x v="29"/>
    <s v="서비스"/>
    <s v="음식/조리"/>
    <s v="기타 프렌차이즈점"/>
    <s v="Free Heater - SQZSoft"/>
    <s v="모바일(대)도구/유틸리티(중)"/>
    <s v="m.app"/>
    <s v="애드몹"/>
    <s v="25"/>
    <s v="07"/>
    <s v="25.07.29"/>
    <s v="25.07.29"/>
    <n v="178"/>
  </r>
  <r>
    <s v="애드몹"/>
    <s v="리서치애드"/>
    <s v="한국일오삼농산"/>
    <x v="29"/>
    <s v="서비스"/>
    <s v="음식/조리"/>
    <s v="기타 프렌차이즈점"/>
    <s v="가든 사천성"/>
    <s v="엔터테인먼트(대)게임(중)"/>
    <s v="m.app"/>
    <s v="애드몹"/>
    <s v="25"/>
    <s v="09"/>
    <s v="25.09.27"/>
    <s v="25.09.27"/>
    <n v="168"/>
  </r>
  <r>
    <s v="애드몹"/>
    <s v="리서치애드"/>
    <s v="한국일오삼농산"/>
    <x v="29"/>
    <s v="서비스"/>
    <s v="음식/조리"/>
    <s v="기타 프렌차이즈점"/>
    <s v="비디오 플레이어"/>
    <s v="모바일(대)도구/유틸리티(중)"/>
    <s v="m.app"/>
    <s v="애드몹"/>
    <s v="25"/>
    <s v="09"/>
    <s v="25.09.28"/>
    <s v="25.09.28"/>
    <n v="168"/>
  </r>
  <r>
    <s v="애드몹"/>
    <s v="리서치애드"/>
    <s v="한국일오삼농산"/>
    <x v="29"/>
    <s v="서비스"/>
    <s v="음식/조리"/>
    <s v="기타 프렌차이즈점"/>
    <s v="비디오 플레이어"/>
    <s v="모바일(대)도구/유틸리티(중)"/>
    <s v="m.app"/>
    <s v="애드몹"/>
    <s v="25"/>
    <s v="09"/>
    <s v="25.09.29"/>
    <s v="25.09.29"/>
    <n v="168"/>
  </r>
  <r>
    <s v="애드몹"/>
    <s v="리서치애드"/>
    <s v="한국일오삼농산"/>
    <x v="29"/>
    <s v="서비스"/>
    <s v="음식/조리"/>
    <s v="기타 프렌차이즈점"/>
    <s v="Associations"/>
    <s v="엔터테인먼트(대)게임(중)"/>
    <s v="m.app"/>
    <s v="애드몹"/>
    <s v="25"/>
    <s v="07"/>
    <s v="25.07.25"/>
    <s v="25.07.25"/>
    <n v="178"/>
  </r>
  <r>
    <s v="애드몹"/>
    <s v="리서치애드"/>
    <s v="한국일오삼농산"/>
    <x v="29"/>
    <s v="서비스"/>
    <s v="음식/조리"/>
    <s v="기타 프렌차이즈점"/>
    <s v="Solitaire"/>
    <s v="엔터테인먼트(대)게임(중)"/>
    <s v="m.app"/>
    <s v="애드몹"/>
    <s v="25"/>
    <s v="12"/>
    <s v="25.12.24"/>
    <s v="25.12.24"/>
    <n v="242"/>
  </r>
  <r>
    <s v="애드몹"/>
    <s v="리서치애드"/>
    <s v="티앤비코리아"/>
    <x v="30"/>
    <s v="서비스"/>
    <s v="음식/조리"/>
    <s v="기타 프렌차이즈점"/>
    <s v="레이디버그와"/>
    <s v="엔터테인먼트(대)게임(중)"/>
    <s v="m.app"/>
    <s v="애드몹"/>
    <s v="25"/>
    <s v="08"/>
    <s v="25.08.18"/>
    <s v="25.08.18"/>
    <n v="414"/>
  </r>
  <r>
    <s v="애드몹"/>
    <s v="리서치애드"/>
    <s v="티앤비코리아"/>
    <x v="30"/>
    <s v="서비스"/>
    <s v="음식/조리"/>
    <s v="기타 프렌차이즈점"/>
    <s v="jtbc.co.kr"/>
    <s v="방송(대)방송기타(중)"/>
    <s v="m.web"/>
    <s v="애드몹"/>
    <s v="25"/>
    <s v="09"/>
    <s v="25.09.13"/>
    <s v="25.09.13"/>
    <n v="274"/>
  </r>
  <r>
    <s v="애드몹"/>
    <s v="리서치애드"/>
    <s v="티앤비코리아"/>
    <x v="30"/>
    <s v="서비스"/>
    <s v="음식/조리"/>
    <s v="기타 프렌차이즈점"/>
    <s v="문장가"/>
    <s v="생활정보(대)미용/패션(중)"/>
    <s v="m.app"/>
    <s v="애드몹"/>
    <s v="25"/>
    <s v="07"/>
    <s v="25.07.19"/>
    <s v="25.07.19"/>
    <n v="178"/>
  </r>
  <r>
    <s v="애드몹"/>
    <s v="리서치애드"/>
    <s v="티앤비코리아"/>
    <x v="30"/>
    <s v="서비스"/>
    <s v="음식/조리"/>
    <s v="기타 프렌차이즈점"/>
    <s v="울지마 내 아가"/>
    <s v="생활정보(대)여성/육아(중)"/>
    <s v="m.app"/>
    <s v="애드몹"/>
    <s v="25"/>
    <s v="07"/>
    <s v="25.07.19"/>
    <s v="25.07.19"/>
    <n v="178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7"/>
    <s v="25.07.19"/>
    <s v="25.07.20"/>
    <n v="6131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7"/>
    <s v="25.07.22"/>
    <s v="25.07.27"/>
    <n v="18393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7"/>
    <s v="25.07.28"/>
    <s v="25.07.31"/>
    <n v="12262"/>
  </r>
  <r>
    <s v="애드몹"/>
    <s v="리서치애드"/>
    <s v="아이더스에프앤비"/>
    <x v="31"/>
    <s v="서비스"/>
    <s v="음식/조리"/>
    <s v="기타 프렌차이즈점"/>
    <s v="nate.com"/>
    <s v="포털(대)포털(중)"/>
    <s v="m.web"/>
    <s v="애드몹"/>
    <s v="25"/>
    <s v="08"/>
    <s v="25.08.31"/>
    <s v="25.08.31"/>
    <n v="1677"/>
  </r>
  <r>
    <s v="애드몹"/>
    <s v="리서치애드"/>
    <s v="아이더스에프앤비"/>
    <x v="31"/>
    <s v="서비스"/>
    <s v="음식/조리"/>
    <s v="기타 프렌차이즈점"/>
    <s v="sbs.co.kr"/>
    <s v="방송(대)방송국(중)"/>
    <s v="m.web"/>
    <s v="애드몹"/>
    <s v="25"/>
    <s v="08"/>
    <s v="25.08.29"/>
    <s v="25.08.29"/>
    <n v="703"/>
  </r>
  <r>
    <s v="애드몹"/>
    <s v="리서치애드"/>
    <s v="아이더스에프앤비"/>
    <x v="31"/>
    <s v="서비스"/>
    <s v="음식/조리"/>
    <s v="기타 프렌차이즈점"/>
    <s v="imbc.com"/>
    <s v="방송(대)방송국(중)"/>
    <s v="m.web"/>
    <s v="애드몹"/>
    <s v="25"/>
    <s v="08"/>
    <s v="25.08.30"/>
    <s v="25.08.30"/>
    <n v="354"/>
  </r>
  <r>
    <s v="애드몹"/>
    <s v="리서치애드"/>
    <s v="아이더스에프앤비"/>
    <x v="31"/>
    <s v="서비스"/>
    <s v="음식/조리"/>
    <s v="기타 프렌차이즈점"/>
    <s v="imbc.com"/>
    <s v="방송(대)방송국(중)"/>
    <s v="m.web"/>
    <s v="애드몹"/>
    <s v="25"/>
    <s v="09"/>
    <s v="25.09.04"/>
    <s v="25.09.04"/>
    <n v="288"/>
  </r>
  <r>
    <s v="애드몹"/>
    <s v="리서치애드"/>
    <s v="아이더스에프앤비"/>
    <x v="31"/>
    <s v="서비스"/>
    <s v="음식/조리"/>
    <s v="기타 프렌차이즈점"/>
    <s v="sportsseoul.com"/>
    <s v="신문/잡지(대)스포츠신문(중)"/>
    <s v="m.web"/>
    <s v="애드몹"/>
    <s v="25"/>
    <s v="08"/>
    <s v="25.08.21"/>
    <s v="25.08.21"/>
    <n v="354"/>
  </r>
  <r>
    <s v="애드몹"/>
    <s v="리서치애드"/>
    <s v="아이더스에프앤비"/>
    <x v="31"/>
    <s v="서비스"/>
    <s v="음식/조리"/>
    <s v="기타 프렌차이즈점"/>
    <s v="korea.com"/>
    <s v="포털(대)포털(중)"/>
    <s v="m.web"/>
    <s v="애드몹"/>
    <s v="25"/>
    <s v="08"/>
    <s v="25.08.29"/>
    <s v="25.08.29"/>
    <n v="703"/>
  </r>
  <r>
    <s v="애드몹"/>
    <s v="리서치애드"/>
    <s v="아이더스에프앤비"/>
    <x v="31"/>
    <s v="서비스"/>
    <s v="음식/조리"/>
    <s v="기타 프렌차이즈점"/>
    <s v="korea.com"/>
    <s v="포털(대)포털(중)"/>
    <s v="m.web"/>
    <s v="애드몹"/>
    <s v="25"/>
    <s v="09"/>
    <s v="25.09.01"/>
    <s v="25.09.01"/>
    <n v="1142"/>
  </r>
  <r>
    <s v="애드몹"/>
    <s v="리서치애드"/>
    <s v="아이더스에프앤비"/>
    <x v="31"/>
    <s v="서비스"/>
    <s v="음식/조리"/>
    <s v="기타 프렌차이즈점"/>
    <s v="korea.com"/>
    <s v="포털(대)포털(중)"/>
    <s v="m.web"/>
    <s v="애드몹"/>
    <s v="25"/>
    <s v="09"/>
    <s v="25.09.05"/>
    <s v="25.09.05"/>
    <n v="571"/>
  </r>
  <r>
    <s v="애드몹"/>
    <s v="리서치애드"/>
    <s v="아이더스에프앤비"/>
    <x v="31"/>
    <s v="서비스"/>
    <s v="음식/조리"/>
    <s v="기타 프렌차이즈점"/>
    <s v="donga.com"/>
    <s v="신문/잡지(대)종합일간지(중)"/>
    <s v="m.web"/>
    <s v="애드몹"/>
    <s v="25"/>
    <s v="09"/>
    <s v="25.09.03"/>
    <s v="25.09.03"/>
    <n v="288"/>
  </r>
  <r>
    <s v="애드몹"/>
    <s v="리서치애드"/>
    <s v="아이더스에프앤비"/>
    <x v="31"/>
    <s v="서비스"/>
    <s v="음식/조리"/>
    <s v="기타 프렌차이즈점"/>
    <s v="donga.com"/>
    <s v="신문/잡지(대)종합일간지(중)"/>
    <s v="m.web"/>
    <s v="애드몹"/>
    <s v="25"/>
    <s v="09"/>
    <s v="25.09.13"/>
    <s v="25.09.13"/>
    <n v="288"/>
  </r>
  <r>
    <s v="애드몹"/>
    <s v="리서치애드"/>
    <s v="아이더스에프앤비"/>
    <x v="31"/>
    <s v="서비스"/>
    <s v="음식/조리"/>
    <s v="기타 프렌차이즈점"/>
    <s v="hankooki.com"/>
    <s v="신문/잡지(대)종합일간지(중)"/>
    <s v="m.web"/>
    <s v="애드몹"/>
    <s v="25"/>
    <s v="09"/>
    <s v="25.09.06"/>
    <s v="25.09.06"/>
    <n v="288"/>
  </r>
  <r>
    <s v="애드몹"/>
    <s v="리서치애드"/>
    <s v="아이더스에프앤비"/>
    <x v="31"/>
    <s v="서비스"/>
    <s v="음식/조리"/>
    <s v="기타 프렌차이즈점"/>
    <s v="hankooki.com"/>
    <s v="신문/잡지(대)종합일간지(중)"/>
    <s v="m.web"/>
    <s v="애드몹"/>
    <s v="25"/>
    <s v="09"/>
    <s v="25.09.13"/>
    <s v="25.09.13"/>
    <n v="288"/>
  </r>
  <r>
    <s v="애드몹"/>
    <s v="리서치애드"/>
    <s v="아이더스에프앤비"/>
    <x v="31"/>
    <s v="서비스"/>
    <s v="음식/조리"/>
    <s v="기타 프렌차이즈점"/>
    <s v="ohmynews.com"/>
    <s v="신문/잡지(대)온라인뉴스(중)"/>
    <s v="m.web"/>
    <s v="애드몹"/>
    <s v="25"/>
    <s v="08"/>
    <s v="25.08.29"/>
    <s v="25.08.29"/>
    <n v="354"/>
  </r>
  <r>
    <s v="애드몹"/>
    <s v="리서치애드"/>
    <s v="아이더스에프앤비"/>
    <x v="31"/>
    <s v="서비스"/>
    <s v="음식/조리"/>
    <s v="기타 프렌차이즈점"/>
    <s v="ohmynews.com"/>
    <s v="신문/잡지(대)온라인뉴스(중)"/>
    <s v="m.web"/>
    <s v="애드몹"/>
    <s v="25"/>
    <s v="08"/>
    <s v="25.08.31"/>
    <s v="25.08.31"/>
    <n v="354"/>
  </r>
  <r>
    <s v="애드몹"/>
    <s v="리서치애드"/>
    <s v="아이더스에프앤비"/>
    <x v="31"/>
    <s v="서비스"/>
    <s v="음식/조리"/>
    <s v="기타 프렌차이즈점"/>
    <s v="mk.co.kr"/>
    <s v="신문/잡지(대)경제신문(중)"/>
    <s v="m.web"/>
    <s v="애드몹"/>
    <s v="25"/>
    <s v="09"/>
    <s v="25.09.17"/>
    <s v="25.09.17"/>
    <n v="288"/>
  </r>
  <r>
    <s v="애드몹"/>
    <s v="리서치애드"/>
    <s v="아이더스에프앤비"/>
    <x v="31"/>
    <s v="서비스"/>
    <s v="음식/조리"/>
    <s v="기타 프렌차이즈점"/>
    <s v="pressian.com"/>
    <s v="신문/잡지(대)온라인뉴스(중)"/>
    <s v="m.web"/>
    <s v="애드몹"/>
    <s v="25"/>
    <s v="08"/>
    <s v="25.08.26"/>
    <s v="25.08.26"/>
    <n v="354"/>
  </r>
  <r>
    <s v="애드몹"/>
    <s v="리서치애드"/>
    <s v="아이더스에프앤비"/>
    <x v="31"/>
    <s v="서비스"/>
    <s v="음식/조리"/>
    <s v="기타 프렌차이즈점"/>
    <s v="mt.co.kr"/>
    <s v="신문/잡지(대)경제신문(중)"/>
    <s v="m.web"/>
    <s v="애드몹"/>
    <s v="25"/>
    <s v="08"/>
    <s v="25.08.29"/>
    <s v="25.08.29"/>
    <n v="225"/>
  </r>
  <r>
    <s v="애드몹"/>
    <s v="리서치애드"/>
    <s v="아이더스에프앤비"/>
    <x v="31"/>
    <s v="서비스"/>
    <s v="음식/조리"/>
    <s v="기타 프렌차이즈점"/>
    <s v="mt.co.kr"/>
    <s v="신문/잡지(대)경제신문(중)"/>
    <s v="m.web"/>
    <s v="애드몹"/>
    <s v="25"/>
    <s v="08"/>
    <s v="25.08.29"/>
    <s v="25.08.30"/>
    <n v="450"/>
  </r>
  <r>
    <s v="애드몹"/>
    <s v="리서치애드"/>
    <s v="아이더스에프앤비"/>
    <x v="31"/>
    <s v="서비스"/>
    <s v="음식/조리"/>
    <s v="기타 프렌차이즈점"/>
    <s v="mt.co.kr"/>
    <s v="신문/잡지(대)경제신문(중)"/>
    <s v="m.web"/>
    <s v="애드몹"/>
    <s v="25"/>
    <s v="09"/>
    <s v="25.09.01"/>
    <s v="25.09.05"/>
    <n v="911"/>
  </r>
  <r>
    <s v="애드몹"/>
    <s v="리서치애드"/>
    <s v="아이더스에프앤비"/>
    <x v="31"/>
    <s v="서비스"/>
    <s v="음식/조리"/>
    <s v="기타 프렌차이즈점"/>
    <s v="mt.co.kr"/>
    <s v="신문/잡지(대)경제신문(중)"/>
    <s v="m.web"/>
    <s v="애드몹"/>
    <s v="25"/>
    <s v="09"/>
    <s v="25.09.03"/>
    <s v="25.09.03"/>
    <n v="182"/>
  </r>
  <r>
    <s v="애드몹"/>
    <s v="리서치애드"/>
    <s v="아이더스에프앤비"/>
    <x v="31"/>
    <s v="서비스"/>
    <s v="음식/조리"/>
    <s v="기타 프렌차이즈점"/>
    <s v="inews24.com"/>
    <s v="신문/잡지(대)IT관련 뉴스(중)"/>
    <s v="m.web"/>
    <s v="애드몹"/>
    <s v="25"/>
    <s v="08"/>
    <s v="25.08.27"/>
    <s v="25.08.27"/>
    <n v="354"/>
  </r>
  <r>
    <s v="애드몹"/>
    <s v="리서치애드"/>
    <s v="아이더스에프앤비"/>
    <x v="31"/>
    <s v="서비스"/>
    <s v="음식/조리"/>
    <s v="기타 프렌차이즈점"/>
    <s v="inews24.com"/>
    <s v="신문/잡지(대)IT관련 뉴스(중)"/>
    <s v="m.web"/>
    <s v="애드몹"/>
    <s v="25"/>
    <s v="08"/>
    <s v="25.08.27"/>
    <s v="25.08.29"/>
    <n v="1063"/>
  </r>
  <r>
    <s v="애드몹"/>
    <s v="리서치애드"/>
    <s v="아이더스에프앤비"/>
    <x v="31"/>
    <s v="서비스"/>
    <s v="음식/조리"/>
    <s v="기타 프렌차이즈점"/>
    <s v="inews24.com"/>
    <s v="신문/잡지(대)IT관련 뉴스(중)"/>
    <s v="m.web"/>
    <s v="애드몹"/>
    <s v="25"/>
    <s v="08"/>
    <s v="25.08.29"/>
    <s v="25.08.29"/>
    <n v="354"/>
  </r>
  <r>
    <s v="애드몹"/>
    <s v="리서치애드"/>
    <s v="아이더스에프앤비"/>
    <x v="31"/>
    <s v="서비스"/>
    <s v="음식/조리"/>
    <s v="기타 프렌차이즈점"/>
    <s v="inews24.com"/>
    <s v="신문/잡지(대)IT관련 뉴스(중)"/>
    <s v="m.web"/>
    <s v="애드몹"/>
    <s v="25"/>
    <s v="09"/>
    <s v="25.09.01"/>
    <s v="25.09.03"/>
    <n v="863"/>
  </r>
  <r>
    <s v="애드몹"/>
    <s v="리서치애드"/>
    <s v="아이더스에프앤비"/>
    <x v="31"/>
    <s v="서비스"/>
    <s v="음식/조리"/>
    <s v="기타 프렌차이즈점"/>
    <s v="dt.co.kr"/>
    <s v="신문/잡지(대)IT관련 뉴스(중)"/>
    <s v="m.web"/>
    <s v="애드몹"/>
    <s v="25"/>
    <s v="08"/>
    <s v="25.08.29"/>
    <s v="25.08.30"/>
    <n v="1406"/>
  </r>
  <r>
    <s v="애드몹"/>
    <s v="리서치애드"/>
    <s v="아이더스에프앤비"/>
    <x v="31"/>
    <s v="서비스"/>
    <s v="음식/조리"/>
    <s v="기타 프렌차이즈점"/>
    <s v="dt.co.kr"/>
    <s v="신문/잡지(대)IT관련 뉴스(중)"/>
    <s v="m.web"/>
    <s v="애드몹"/>
    <s v="25"/>
    <s v="08"/>
    <s v="25.08.30"/>
    <s v="25.08.30"/>
    <n v="703"/>
  </r>
  <r>
    <s v="애드몹"/>
    <s v="리서치애드"/>
    <s v="아이더스에프앤비"/>
    <x v="31"/>
    <s v="서비스"/>
    <s v="음식/조리"/>
    <s v="기타 프렌차이즈점"/>
    <s v="dt.co.kr"/>
    <s v="신문/잡지(대)IT관련 뉴스(중)"/>
    <s v="m.web"/>
    <s v="애드몹"/>
    <s v="25"/>
    <s v="09"/>
    <s v="25.09.06"/>
    <s v="25.09.06"/>
    <n v="571"/>
  </r>
  <r>
    <s v="애드몹"/>
    <s v="리서치애드"/>
    <s v="아이더스에프앤비"/>
    <x v="31"/>
    <s v="서비스"/>
    <s v="음식/조리"/>
    <s v="기타 프렌차이즈점"/>
    <s v="etoday.co.kr"/>
    <s v="신문/잡지(대)온라인뉴스(중)"/>
    <s v="m.web"/>
    <s v="애드몹"/>
    <s v="25"/>
    <s v="09"/>
    <s v="25.09.05"/>
    <s v="25.09.05"/>
    <n v="456"/>
  </r>
  <r>
    <s v="애드몹"/>
    <s v="리서치애드"/>
    <s v="아이더스에프앤비"/>
    <x v="31"/>
    <s v="서비스"/>
    <s v="음식/조리"/>
    <s v="기타 프렌차이즈점"/>
    <s v="etoday.co.kr"/>
    <s v="신문/잡지(대)온라인뉴스(중)"/>
    <s v="m.web"/>
    <s v="애드몹"/>
    <s v="25"/>
    <s v="09"/>
    <s v="25.09.06"/>
    <s v="25.09.06"/>
    <n v="456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07"/>
    <s v="25.07.20"/>
    <s v="25.07.20"/>
    <n v="8807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07"/>
    <s v="25.07.21"/>
    <s v="25.07.27"/>
    <n v="61646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07"/>
    <s v="25.07.28"/>
    <s v="25.07.31"/>
    <n v="35226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0"/>
    <s v="25.10.17"/>
    <s v="25.10.19"/>
    <n v="58406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0"/>
    <s v="25.10.20"/>
    <s v="25.10.22"/>
    <n v="58406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0"/>
    <s v="25.10.25"/>
    <s v="25.10.26"/>
    <n v="58407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0"/>
    <s v="25.10.27"/>
    <s v="25.10.31"/>
    <n v="146013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0"/>
    <s v="25.10.28"/>
    <s v="25.10.28"/>
    <n v="9734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1"/>
    <s v="25.11.03"/>
    <s v="25.11.05"/>
    <n v="26420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1"/>
    <s v="25.11.03"/>
    <s v="25.11.09"/>
    <n v="123292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11"/>
    <s v="25.11.10"/>
    <s v="25.11.11"/>
    <n v="35226"/>
  </r>
  <r>
    <s v="카카오광고"/>
    <s v="리서치애드"/>
    <s v="아이더스에프앤비"/>
    <x v="31"/>
    <s v="서비스"/>
    <s v="음식/조리"/>
    <s v="기타 프렌차이즈점"/>
    <s v="The Day Before"/>
    <s v="모바일(대)라이프스타일(중)"/>
    <s v="m.app"/>
    <s v="카카오광고"/>
    <s v="25"/>
    <s v="10"/>
    <s v="25.10.22"/>
    <s v="25.10.22"/>
    <n v="16"/>
  </r>
  <r>
    <s v="애드몹"/>
    <s v="리서치애드"/>
    <s v="아이더스에프앤비"/>
    <x v="31"/>
    <s v="서비스"/>
    <s v="음식/조리"/>
    <s v="기타 프렌차이즈점"/>
    <s v="ichannela.com"/>
    <s v="방송(대)방송기타(중)"/>
    <s v="m.web"/>
    <s v="애드몹"/>
    <s v="25"/>
    <s v="11"/>
    <s v="25.11.14"/>
    <s v="25.11.14"/>
    <n v="263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9"/>
    <s v="25.09.22"/>
    <s v="25.09.28"/>
    <n v="5983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9"/>
    <s v="25.09.23"/>
    <s v="25.09.26"/>
    <n v="3419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9"/>
    <s v="25.09.29"/>
    <s v="25.09.29"/>
    <n v="855"/>
  </r>
  <r>
    <s v="카카오광고"/>
    <s v="리서치애드"/>
    <s v="아이더스에프앤비"/>
    <x v="31"/>
    <s v="서비스"/>
    <s v="음식/조리"/>
    <s v="기타 프렌차이즈점"/>
    <s v="전국도서관 지도"/>
    <s v="생활정보(대)생활정보 기타(중)"/>
    <s v="m.app"/>
    <s v="카카오광고"/>
    <s v="25"/>
    <s v="11"/>
    <s v="25.11.03"/>
    <s v="25.11.03"/>
    <n v="16"/>
  </r>
  <r>
    <s v="애드몹"/>
    <s v="리서치애드"/>
    <s v="아이더스에프앤비"/>
    <x v="31"/>
    <s v="서비스"/>
    <s v="음식/조리"/>
    <s v="기타 프렌차이즈점"/>
    <s v="joongang.co.kr"/>
    <s v="신문/잡지(대)종합일간지(중)"/>
    <s v="m.web"/>
    <s v="애드몹"/>
    <s v="25"/>
    <s v="08"/>
    <s v="25.08.26"/>
    <s v="25.08.26"/>
    <n v="337"/>
  </r>
  <r>
    <s v="카카오광고"/>
    <s v="리서치애드"/>
    <s v="아이더스에프앤비"/>
    <x v="31"/>
    <s v="서비스"/>
    <s v="음식/조리"/>
    <s v="기타 프렌차이즈점"/>
    <s v="ColorJump"/>
    <s v="엔터테인먼트(대)게임(중)"/>
    <s v="m.app"/>
    <s v="카카오광고"/>
    <s v="25"/>
    <s v="10"/>
    <s v="25.10.20"/>
    <s v="25.10.20"/>
    <n v="16"/>
  </r>
  <r>
    <s v="카카오광고"/>
    <s v="리서치애드"/>
    <s v="아이더스에프앤비"/>
    <x v="32"/>
    <s v="서비스"/>
    <s v="음식/조리"/>
    <s v="기타 프렌차이즈점"/>
    <s v="카카오톡"/>
    <s v="커뮤니케이션(대)채팅/메신저(중)"/>
    <s v="m.app"/>
    <s v="카카오광고"/>
    <s v="25"/>
    <s v="12"/>
    <s v="25.12.01"/>
    <s v="25.12.01"/>
    <n v="4781"/>
  </r>
  <r>
    <s v="카카오광고"/>
    <s v="리서치애드"/>
    <s v="아이더스에프앤비"/>
    <x v="32"/>
    <s v="서비스"/>
    <s v="음식/조리"/>
    <s v="기타 프렌차이즈점"/>
    <s v="카카오톡"/>
    <s v="커뮤니케이션(대)채팅/메신저(중)"/>
    <s v="m.app"/>
    <s v="카카오광고"/>
    <s v="25"/>
    <s v="12"/>
    <s v="25.12.09"/>
    <s v="25.12.13"/>
    <n v="23904"/>
  </r>
  <r>
    <s v="카카오광고"/>
    <s v="리서치애드"/>
    <s v="아이더스에프앤비"/>
    <x v="32"/>
    <s v="서비스"/>
    <s v="음식/조리"/>
    <s v="기타 프렌차이즈점"/>
    <s v="카카오톡"/>
    <s v="커뮤니케이션(대)채팅/메신저(중)"/>
    <s v="m.app"/>
    <s v="카카오광고"/>
    <s v="25"/>
    <s v="12"/>
    <s v="25.12.20"/>
    <s v="25.12.20"/>
    <n v="4781"/>
  </r>
  <r>
    <s v="카카오광고"/>
    <s v="리서치애드"/>
    <s v="아이더스에프앤비"/>
    <x v="32"/>
    <s v="서비스"/>
    <s v="음식/조리"/>
    <s v="기타 프렌차이즈점"/>
    <s v="카카오톡"/>
    <s v="커뮤니케이션(대)채팅/메신저(중)"/>
    <s v="m.app"/>
    <s v="카카오광고"/>
    <s v="25"/>
    <s v="12"/>
    <s v="25.12.22"/>
    <s v="25.12.27"/>
    <n v="28685"/>
  </r>
  <r>
    <s v="애드몹"/>
    <s v="리서치애드"/>
    <s v="아이더스에프앤비"/>
    <x v="32"/>
    <s v="서비스"/>
    <s v="음식/조리"/>
    <s v="기타 프렌차이즈점"/>
    <s v="tvchosun.com"/>
    <s v="방송(대)방송기타(중)"/>
    <s v="m.web"/>
    <s v="애드몹"/>
    <s v="25"/>
    <s v="07"/>
    <s v="25.07.10"/>
    <s v="25.07.10"/>
    <n v="193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09"/>
    <s v="25.09.24"/>
    <s v="25.09.28"/>
    <n v="4274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09"/>
    <s v="25.09.25"/>
    <s v="25.09.28"/>
    <n v="3419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09"/>
    <s v="25.09.29"/>
    <s v="25.09.30"/>
    <n v="3420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12"/>
    <s v="25.12.13"/>
    <s v="25.12.14"/>
    <n v="3831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12"/>
    <s v="25.12.15"/>
    <s v="25.12.19"/>
    <n v="9576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12"/>
    <s v="25.12.20"/>
    <s v="25.12.21"/>
    <n v="3831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12"/>
    <s v="25.12.22"/>
    <s v="25.12.26"/>
    <n v="9576"/>
  </r>
  <r>
    <s v="SNS"/>
    <s v="리서치애드"/>
    <s v="아이더스에프앤비"/>
    <x v="32"/>
    <s v="서비스"/>
    <s v="음식/조리"/>
    <s v="기타 프렌차이즈점"/>
    <s v="Instagram"/>
    <s v="커뮤니티(대)홈페이지(중)"/>
    <s v="m.app"/>
    <s v="-"/>
    <s v="25"/>
    <s v="12"/>
    <s v="25.12.29"/>
    <s v="25.12.31"/>
    <n v="5746"/>
  </r>
  <r>
    <s v="애드몹"/>
    <s v="리서치애드"/>
    <s v="호식이두마리치킨"/>
    <x v="15"/>
    <s v="서비스"/>
    <s v="음식/조리"/>
    <s v="기타 프렌차이즈점"/>
    <s v="hungryapp.co.kr"/>
    <s v="엔터테인먼트(대)게임(중)"/>
    <s v="m.web"/>
    <s v="애드몹"/>
    <s v="25"/>
    <s v="12"/>
    <s v="25.12.19"/>
    <s v="25.12.19"/>
    <n v="1843"/>
  </r>
  <r>
    <s v="애드몹"/>
    <s v="리서치애드"/>
    <s v="호식이두마리치킨"/>
    <x v="15"/>
    <s v="서비스"/>
    <s v="음식/조리"/>
    <s v="기타 프렌차이즈점"/>
    <s v="미친 미행"/>
    <s v="엔터테인먼트(대)게임(중)"/>
    <s v="m.app"/>
    <s v="애드몹"/>
    <s v="25"/>
    <s v="09"/>
    <s v="25.09.01"/>
    <s v="25.09.01"/>
    <n v="336"/>
  </r>
  <r>
    <s v="애드몹"/>
    <s v="리서치애드"/>
    <s v="호식이두마리치킨"/>
    <x v="15"/>
    <s v="서비스"/>
    <s v="음식/조리"/>
    <s v="기타 프렌차이즈점"/>
    <s v="미친 투수"/>
    <s v="엔터테인먼트(대)게임(중)"/>
    <s v="m.app"/>
    <s v="애드몹"/>
    <s v="25"/>
    <s v="09"/>
    <s v="25.09.01"/>
    <s v="25.09.01"/>
    <n v="168"/>
  </r>
  <r>
    <s v="애드몹"/>
    <s v="리서치애드"/>
    <s v="호식이두마리치킨"/>
    <x v="15"/>
    <s v="서비스"/>
    <s v="음식/조리"/>
    <s v="기타 프렌차이즈점"/>
    <s v="일진에게 찍혔을때"/>
    <s v="엔터테인먼트(대)엔터테인먼트 기타(중)"/>
    <s v="m.app"/>
    <s v="애드몹"/>
    <s v="25"/>
    <s v="08"/>
    <s v="25.08.09"/>
    <s v="25.08.09"/>
    <n v="207"/>
  </r>
  <r>
    <s v="애드몹"/>
    <s v="리서치애드"/>
    <s v="호식이두마리치킨"/>
    <x v="15"/>
    <s v="서비스"/>
    <s v="음식/조리"/>
    <s v="기타 프렌차이즈점"/>
    <s v="정통오목"/>
    <s v="엔터테인먼트(대)게임(중)"/>
    <s v="m.app"/>
    <s v="애드몹"/>
    <s v="25"/>
    <s v="07"/>
    <s v="25.07.22"/>
    <s v="25.07.22"/>
    <n v="178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7"/>
    <s v="25.07.02"/>
    <s v="25.07.02"/>
    <n v="178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7"/>
    <s v="25.07.07"/>
    <s v="25.07.07"/>
    <n v="178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8"/>
    <s v="25.08.13"/>
    <s v="25.08.13"/>
    <n v="207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8"/>
    <s v="25.08.29"/>
    <s v="25.08.29"/>
    <n v="207"/>
  </r>
  <r>
    <s v="애드몹"/>
    <s v="리서치애드"/>
    <s v="호식이두마리치킨"/>
    <x v="15"/>
    <s v="서비스"/>
    <s v="음식/조리"/>
    <s v="기타 프렌차이즈점"/>
    <s v="gamemeca.com"/>
    <s v="신문/잡지(대)온라인뉴스(중)"/>
    <s v="m.web"/>
    <s v="애드몹"/>
    <s v="25"/>
    <s v="12"/>
    <s v="25.12.10"/>
    <s v="25.12.10"/>
    <n v="724"/>
  </r>
  <r>
    <s v="애드몹"/>
    <s v="리서치애드"/>
    <s v="호식이두마리치킨"/>
    <x v="15"/>
    <s v="서비스"/>
    <s v="음식/조리"/>
    <s v="기타 프렌차이즈점"/>
    <s v="mimint.co.kr"/>
    <s v="커뮤니티(대)홈페이지(중)"/>
    <s v="m.web"/>
    <s v="애드몹"/>
    <s v="25"/>
    <s v="11"/>
    <s v="25.11.08"/>
    <s v="25.11.08"/>
    <n v="526"/>
  </r>
  <r>
    <s v="애드몹"/>
    <s v="리서치애드"/>
    <s v="호식이두마리치킨"/>
    <x v="15"/>
    <s v="서비스"/>
    <s v="음식/조리"/>
    <s v="기타 프렌차이즈점"/>
    <s v="나를 위한알람시계"/>
    <s v="모바일(대)도구/유틸리티(중)"/>
    <s v="m.app"/>
    <s v="애드몹"/>
    <s v="25"/>
    <s v="07"/>
    <s v="25.07.12"/>
    <s v="25.07.12"/>
    <n v="178"/>
  </r>
  <r>
    <s v="애드몹"/>
    <s v="리서치애드"/>
    <s v="호식이두마리치킨"/>
    <x v="15"/>
    <s v="서비스"/>
    <s v="음식/조리"/>
    <s v="기타 프렌차이즈점"/>
    <s v="나를 위한알람시계"/>
    <s v="모바일(대)도구/유틸리티(중)"/>
    <s v="m.app"/>
    <s v="애드몹"/>
    <s v="25"/>
    <s v="08"/>
    <s v="25.08.16"/>
    <s v="25.08.16"/>
    <n v="207"/>
  </r>
  <r>
    <s v="애드몹"/>
    <s v="리서치애드"/>
    <s v="호식이두마리치킨"/>
    <x v="15"/>
    <s v="서비스"/>
    <s v="음식/조리"/>
    <s v="기타 프렌차이즈점"/>
    <s v="Crazy Cooking Chef"/>
    <s v="엔터테인먼트(대)게임(중)"/>
    <s v="m.app"/>
    <s v="애드몹"/>
    <s v="25"/>
    <s v="12"/>
    <s v="25.12.01"/>
    <s v="25.12.01"/>
    <n v="484"/>
  </r>
  <r>
    <s v="애드몹"/>
    <s v="리서치애드"/>
    <s v="호식이두마리치킨"/>
    <x v="15"/>
    <s v="서비스"/>
    <s v="음식/조리"/>
    <s v="기타 프렌차이즈점"/>
    <s v="Polaris Office"/>
    <s v="모바일(대)도구/유틸리티(중)"/>
    <s v="m.app"/>
    <s v="애드몹"/>
    <s v="25"/>
    <s v="08"/>
    <s v="25.08.27"/>
    <s v="25.08.27"/>
    <n v="207"/>
  </r>
  <r>
    <s v="애드몹"/>
    <s v="리서치애드"/>
    <s v="호식이두마리치킨"/>
    <x v="15"/>
    <s v="서비스"/>
    <s v="음식/조리"/>
    <s v="기타 프렌차이즈점"/>
    <s v="한국 정치 결투"/>
    <s v="엔터테인먼트(대)게임(중)"/>
    <s v="m.app"/>
    <s v="애드몹"/>
    <s v="25"/>
    <s v="07"/>
    <s v="25.07.21"/>
    <s v="25.07.21"/>
    <n v="178"/>
  </r>
  <r>
    <s v="애드몹"/>
    <s v="리서치애드"/>
    <s v="호식이두마리치킨"/>
    <x v="15"/>
    <s v="서비스"/>
    <s v="음식/조리"/>
    <s v="기타 프렌차이즈점"/>
    <s v="경찰공무원 시험"/>
    <s v="모바일(대)모바일기타(중)"/>
    <s v="m.app"/>
    <s v="애드몹"/>
    <s v="25"/>
    <s v="09"/>
    <s v="25.09.03"/>
    <s v="25.09.03"/>
    <n v="168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7"/>
    <s v="25.07.19"/>
    <s v="25.07.19"/>
    <n v="178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7"/>
    <s v="25.07.20"/>
    <s v="25.07.20"/>
    <n v="178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7"/>
    <s v="25.07.21"/>
    <s v="25.07.21"/>
    <n v="178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7"/>
    <s v="25.07.23"/>
    <s v="25.07.23"/>
    <n v="178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8"/>
    <s v="25.08.15"/>
    <s v="25.08.17"/>
    <n v="620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8"/>
    <s v="25.08.19"/>
    <s v="25.08.19"/>
    <n v="207"/>
  </r>
  <r>
    <s v="애드몹"/>
    <s v="리서치애드"/>
    <s v="호식이두마리치킨"/>
    <x v="15"/>
    <s v="서비스"/>
    <s v="음식/조리"/>
    <s v="기타 프렌차이즈점"/>
    <s v="비타민 백과사전"/>
    <s v="생활정보(대)병원/건강정보(중)"/>
    <s v="m.app"/>
    <s v="애드몹"/>
    <s v="25"/>
    <s v="11"/>
    <s v="25.11.15"/>
    <s v="25.11.15"/>
    <n v="484"/>
  </r>
  <r>
    <s v="애드몹"/>
    <s v="리서치애드"/>
    <s v="호식이두마리치킨"/>
    <x v="15"/>
    <s v="서비스"/>
    <s v="음식/조리"/>
    <s v="기타 프렌차이즈점"/>
    <s v="음료수 퀴즈"/>
    <s v="엔터테인먼트(대)게임(중)"/>
    <s v="m.app"/>
    <s v="애드몹"/>
    <s v="25"/>
    <s v="08"/>
    <s v="25.08.15"/>
    <s v="25.08.15"/>
    <n v="207"/>
  </r>
  <r>
    <s v="애드몹"/>
    <s v="리서치애드"/>
    <s v="노랑푸드노랑통닭"/>
    <x v="33"/>
    <s v="서비스"/>
    <s v="음식/조리"/>
    <s v="기타 프렌차이즈점"/>
    <s v="zdnet.co.kr"/>
    <s v="신문/잡지(대)IT관련 뉴스(중)"/>
    <s v="m.web"/>
    <s v="애드몹"/>
    <s v="25"/>
    <s v="12"/>
    <s v="25.12.26"/>
    <s v="25.12.26"/>
    <n v="823"/>
  </r>
  <r>
    <s v="애드몹"/>
    <s v="리서치애드"/>
    <s v="노랑푸드노랑통닭"/>
    <x v="33"/>
    <s v="서비스"/>
    <s v="음식/조리"/>
    <s v="기타 프렌차이즈점"/>
    <s v="mt.co.kr"/>
    <s v="신문/잡지(대)경제신문(중)"/>
    <s v="m.web"/>
    <s v="애드몹"/>
    <s v="25"/>
    <s v="12"/>
    <s v="25.12.23"/>
    <s v="25.12.23"/>
    <n v="263"/>
  </r>
  <r>
    <s v="애드몹"/>
    <s v="리서치애드"/>
    <s v="노랑푸드노랑통닭"/>
    <x v="33"/>
    <s v="서비스"/>
    <s v="음식/조리"/>
    <s v="기타 프렌차이즈점"/>
    <s v="ytn.co.kr"/>
    <s v="방송(대)케이블/위성방송(중)"/>
    <s v="m.web"/>
    <s v="애드몹"/>
    <s v="25"/>
    <s v="09"/>
    <s v="25.09.02"/>
    <s v="25.09.02"/>
    <n v="288"/>
  </r>
  <r>
    <s v="애드몹"/>
    <s v="리서치애드"/>
    <s v="노랑푸드노랑통닭"/>
    <x v="33"/>
    <s v="서비스"/>
    <s v="음식/조리"/>
    <s v="기타 프렌차이즈점"/>
    <s v="dt.co.kr"/>
    <s v="신문/잡지(대)IT관련 뉴스(중)"/>
    <s v="m.web"/>
    <s v="애드몹"/>
    <s v="25"/>
    <s v="10"/>
    <s v="25.10.23"/>
    <s v="25.10.23"/>
    <n v="1508"/>
  </r>
  <r>
    <s v="애드몹"/>
    <s v="리서치애드"/>
    <s v="노랑푸드노랑통닭"/>
    <x v="33"/>
    <s v="서비스"/>
    <s v="음식/조리"/>
    <s v="기타 프렌차이즈점"/>
    <s v="nocutnews.co.kr"/>
    <s v="신문/잡지(대)온라인뉴스(중)"/>
    <s v="m.web"/>
    <s v="애드몹"/>
    <s v="25"/>
    <s v="10"/>
    <s v="25.10.23"/>
    <s v="25.10.23"/>
    <n v="760"/>
  </r>
  <r>
    <s v="애드몹"/>
    <s v="리서치애드"/>
    <s v="노랑푸드노랑통닭"/>
    <x v="33"/>
    <s v="서비스"/>
    <s v="음식/조리"/>
    <s v="기타 프렌차이즈점"/>
    <s v="Brain Dots"/>
    <s v="엔터테인먼트(대)게임(중)"/>
    <s v="m.app"/>
    <s v="애드몹"/>
    <s v="25"/>
    <s v="12"/>
    <s v="25.12.27"/>
    <s v="25.12.27"/>
    <n v="242"/>
  </r>
  <r>
    <s v="애드몹"/>
    <s v="리서치애드"/>
    <s v="노랑푸드노랑통닭"/>
    <x v="33"/>
    <s v="서비스"/>
    <s v="음식/조리"/>
    <s v="기타 프렌차이즈점"/>
    <s v="Brain Dots"/>
    <s v="엔터테인먼트(대)게임(중)"/>
    <s v="m.app"/>
    <s v="애드몹"/>
    <s v="25"/>
    <s v="12"/>
    <s v="25.12.30"/>
    <s v="25.12.30"/>
    <n v="242"/>
  </r>
  <r>
    <s v="애드몹"/>
    <s v="리서치애드"/>
    <s v="노랑푸드노랑통닭"/>
    <x v="33"/>
    <s v="서비스"/>
    <s v="음식/조리"/>
    <s v="기타 프렌차이즈점"/>
    <s v="지하철"/>
    <s v="생활정보(대)교통/날씨(중)"/>
    <s v="m.app"/>
    <s v="애드몹"/>
    <s v="25"/>
    <s v="12"/>
    <s v="25.12.30"/>
    <s v="25.12.30"/>
    <n v="242"/>
  </r>
  <r>
    <s v="애드몹"/>
    <s v="리서치애드"/>
    <s v="노랑푸드노랑통닭"/>
    <x v="33"/>
    <s v="서비스"/>
    <s v="음식/조리"/>
    <s v="기타 프렌차이즈점"/>
    <s v="알집"/>
    <s v="모바일(대)도구/유틸리티(중)"/>
    <s v="m.app"/>
    <s v="애드몹"/>
    <s v="25"/>
    <s v="12"/>
    <s v="25.12.26"/>
    <s v="25.12.26"/>
    <n v="242"/>
  </r>
  <r>
    <s v="애드몹"/>
    <s v="리서치애드"/>
    <s v="노랑푸드노랑통닭"/>
    <x v="33"/>
    <s v="서비스"/>
    <s v="음식/조리"/>
    <s v="기타 프렌차이즈점"/>
    <s v="Block Puzzle Jewel"/>
    <s v="엔터테인먼트(대)게임(중)"/>
    <s v="m.app"/>
    <s v="애드몹"/>
    <s v="25"/>
    <s v="12"/>
    <s v="25.12.29"/>
    <s v="25.12.29"/>
    <n v="484"/>
  </r>
  <r>
    <s v="애드몹"/>
    <s v="리서치애드"/>
    <s v="노랑푸드노랑통닭"/>
    <x v="33"/>
    <s v="서비스"/>
    <s v="음식/조리"/>
    <s v="기타 프렌차이즈점"/>
    <s v="tvchosun.com"/>
    <s v="방송(대)방송기타(중)"/>
    <s v="m.web"/>
    <s v="애드몹"/>
    <s v="25"/>
    <s v="10"/>
    <s v="25.10.23"/>
    <s v="25.10.23"/>
    <n v="241"/>
  </r>
  <r>
    <s v="애드몹"/>
    <s v="리서치애드"/>
    <s v="노랑푸드노랑통닭"/>
    <x v="33"/>
    <s v="서비스"/>
    <s v="음식/조리"/>
    <s v="기타 프렌차이즈점"/>
    <s v="kbench.com"/>
    <s v="생활정보(대)쇼핑/가격정보(중)"/>
    <s v="m.web"/>
    <s v="애드몹"/>
    <s v="25"/>
    <s v="09"/>
    <s v="25.09.23"/>
    <s v="25.09.23"/>
    <n v="182"/>
  </r>
  <r>
    <s v="애드몹"/>
    <s v="리서치애드"/>
    <s v="노랑푸드노랑통닭"/>
    <x v="33"/>
    <s v="서비스"/>
    <s v="음식/조리"/>
    <s v="기타 프렌차이즈점"/>
    <s v="Sweet Fruit Candy"/>
    <s v="엔터테인먼트(대)게임(중)"/>
    <s v="m.app"/>
    <s v="애드몹"/>
    <s v="25"/>
    <s v="12"/>
    <s v="25.12.28"/>
    <s v="25.12.28"/>
    <n v="242"/>
  </r>
  <r>
    <s v="애드몹"/>
    <s v="리서치애드"/>
    <s v="노랑푸드노랑통닭"/>
    <x v="33"/>
    <s v="서비스"/>
    <s v="음식/조리"/>
    <s v="기타 프렌차이즈점"/>
    <s v="Crazy Cooking Chef"/>
    <s v="엔터테인먼트(대)게임(중)"/>
    <s v="m.app"/>
    <s v="애드몹"/>
    <s v="25"/>
    <s v="11"/>
    <s v="25.11.27"/>
    <s v="25.11.27"/>
    <n v="242"/>
  </r>
  <r>
    <s v="애드몹"/>
    <s v="리서치애드"/>
    <s v="노랑푸드노랑통닭"/>
    <x v="33"/>
    <s v="서비스"/>
    <s v="음식/조리"/>
    <s v="기타 프렌차이즈점"/>
    <s v="Wood Block - Music Box"/>
    <s v="엔터테인먼트(대)게임(중)"/>
    <s v="m.app"/>
    <s v="애드몹"/>
    <s v="25"/>
    <s v="12"/>
    <s v="25.12.29"/>
    <s v="25.12.29"/>
    <n v="242"/>
  </r>
  <r>
    <s v="애드몹"/>
    <s v="리서치애드"/>
    <s v="노랑푸드노랑통닭"/>
    <x v="33"/>
    <s v="서비스"/>
    <s v="음식/조리"/>
    <s v="기타 프렌차이즈점"/>
    <s v="WoodTurning"/>
    <s v="엔터테인먼트(대)게임(중)"/>
    <s v="m.app"/>
    <s v="애드몹"/>
    <s v="25"/>
    <s v="12"/>
    <s v="25.12.29"/>
    <s v="25.12.31"/>
    <n v="1452"/>
  </r>
  <r>
    <s v="애드몹"/>
    <s v="리서치애드"/>
    <s v="노랑푸드노랑통닭"/>
    <x v="33"/>
    <s v="서비스"/>
    <s v="음식/조리"/>
    <s v="기타 프렌차이즈점"/>
    <s v="Holiday Calendar"/>
    <s v="모바일(대)라이프스타일(중)"/>
    <s v="m.app"/>
    <s v="애드몹"/>
    <s v="25"/>
    <s v="12"/>
    <s v="25.12.29"/>
    <s v="25.12.29"/>
    <n v="242"/>
  </r>
  <r>
    <s v="애드몹"/>
    <s v="리서치애드"/>
    <s v="노랑푸드노랑통닭"/>
    <x v="33"/>
    <s v="서비스"/>
    <s v="음식/조리"/>
    <s v="기타 프렌차이즈점"/>
    <s v="Paper.io 2"/>
    <s v="엔터테인먼트(대)게임(중)"/>
    <s v="m.app"/>
    <s v="애드몹"/>
    <s v="25"/>
    <s v="12"/>
    <s v="25.12.28"/>
    <s v="25.12.28"/>
    <n v="242"/>
  </r>
  <r>
    <s v="애드몹"/>
    <s v="리서치애드"/>
    <s v="노랑푸드노랑통닭"/>
    <x v="33"/>
    <s v="서비스"/>
    <s v="음식/조리"/>
    <s v="기타 프렌차이즈점"/>
    <s v="Crowd City"/>
    <s v="엔터테인먼트(대)게임(중)"/>
    <s v="m.app"/>
    <s v="애드몹"/>
    <s v="25"/>
    <s v="12"/>
    <s v="25.12.29"/>
    <s v="25.12.31"/>
    <n v="1452"/>
  </r>
  <r>
    <s v="애드몹"/>
    <s v="리서치애드"/>
    <s v="노랑푸드노랑통닭"/>
    <x v="33"/>
    <s v="서비스"/>
    <s v="음식/조리"/>
    <s v="기타 프렌차이즈점"/>
    <s v="Epic Race 3D"/>
    <s v="엔터테인먼트(대)게임(중)"/>
    <s v="m.app"/>
    <s v="애드몹"/>
    <s v="25"/>
    <s v="12"/>
    <s v="25.12.27"/>
    <s v="25.12.27"/>
    <n v="242"/>
  </r>
  <r>
    <s v="애드몹"/>
    <s v="리서치애드"/>
    <s v="노랑푸드노랑통닭"/>
    <x v="33"/>
    <s v="서비스"/>
    <s v="음식/조리"/>
    <s v="기타 프렌차이즈점"/>
    <s v="Epic Race 3D"/>
    <s v="엔터테인먼트(대)게임(중)"/>
    <s v="m.app"/>
    <s v="애드몹"/>
    <s v="25"/>
    <s v="12"/>
    <s v="25.12.29"/>
    <s v="25.12.31"/>
    <n v="726"/>
  </r>
  <r>
    <s v="애드몹"/>
    <s v="리서치애드"/>
    <s v="노랑푸드노랑통닭"/>
    <x v="33"/>
    <s v="서비스"/>
    <s v="음식/조리"/>
    <s v="기타 프렌차이즈점"/>
    <s v="Epic Race 3D"/>
    <s v="엔터테인먼트(대)게임(중)"/>
    <s v="m.app"/>
    <s v="애드몹"/>
    <s v="25"/>
    <s v="12"/>
    <s v="25.12.31"/>
    <s v="25.12.31"/>
    <n v="242"/>
  </r>
  <r>
    <s v="애드몹"/>
    <s v="리서치애드"/>
    <s v="노랑푸드노랑통닭"/>
    <x v="33"/>
    <s v="서비스"/>
    <s v="음식/조리"/>
    <s v="기타 프렌차이즈점"/>
    <s v="연필 스케치"/>
    <s v="모바일(대)도구/유틸리티(중)"/>
    <s v="m.app"/>
    <s v="애드몹"/>
    <s v="25"/>
    <s v="12"/>
    <s v="25.12.31"/>
    <s v="25.12.31"/>
    <n v="242"/>
  </r>
  <r>
    <s v="애드몹"/>
    <s v="리서치애드"/>
    <s v="노랑푸드노랑통닭"/>
    <x v="33"/>
    <s v="서비스"/>
    <s v="음식/조리"/>
    <s v="기타 프렌차이즈점"/>
    <s v="무승부등산가 - Draw Climber"/>
    <s v="엔터테인먼트(대)게임(중)"/>
    <s v="m.app"/>
    <s v="애드몹"/>
    <s v="25"/>
    <s v="12"/>
    <s v="25.12.29"/>
    <s v="25.12.29"/>
    <n v="242"/>
  </r>
  <r>
    <s v="애드몹"/>
    <s v="리서치애드"/>
    <s v="노랑푸드노랑통닭"/>
    <x v="33"/>
    <s v="서비스"/>
    <s v="음식/조리"/>
    <s v="기타 프렌차이즈점"/>
    <s v="울산 등산로"/>
    <s v="엔터테인먼트(대)스포츠/레포츠(중)"/>
    <s v="m.app"/>
    <s v="애드몹"/>
    <s v="25"/>
    <s v="09"/>
    <s v="25.09.03"/>
    <s v="25.09.03"/>
    <n v="168"/>
  </r>
  <r>
    <s v="애드몹"/>
    <s v="리서치애드"/>
    <s v="노랑푸드노랑통닭"/>
    <x v="33"/>
    <s v="서비스"/>
    <s v="음식/조리"/>
    <s v="기타 프렌차이즈점"/>
    <s v="Ball Sort Puzzle"/>
    <s v="엔터테인먼트(대)게임(중)"/>
    <s v="m.app"/>
    <s v="애드몹"/>
    <s v="25"/>
    <s v="12"/>
    <s v="25.12.29"/>
    <s v="25.12.29"/>
    <n v="242"/>
  </r>
  <r>
    <s v="애드몹"/>
    <s v="리서치애드"/>
    <s v="노랑푸드노랑통닭"/>
    <x v="33"/>
    <s v="서비스"/>
    <s v="음식/조리"/>
    <s v="기타 프렌차이즈점"/>
    <s v="Ball Sort Puzzle"/>
    <s v="엔터테인먼트(대)게임(중)"/>
    <s v="m.app"/>
    <s v="애드몹"/>
    <s v="25"/>
    <s v="12"/>
    <s v="25.12.31"/>
    <s v="25.12.31"/>
    <n v="242"/>
  </r>
  <r>
    <s v="애드몹"/>
    <s v="리서치애드"/>
    <s v="노랑푸드노랑통닭"/>
    <x v="33"/>
    <s v="서비스"/>
    <s v="음식/조리"/>
    <s v="기타 프렌차이즈점"/>
    <s v="먹방 키우기"/>
    <s v="엔터테인먼트(대)게임(중)"/>
    <s v="m.app"/>
    <s v="애드몹"/>
    <s v="25"/>
    <s v="12"/>
    <s v="25.12.29"/>
    <s v="25.12.29"/>
    <n v="242"/>
  </r>
  <r>
    <s v="애드몹"/>
    <s v="리서치애드"/>
    <s v="노랑푸드노랑통닭"/>
    <x v="33"/>
    <s v="서비스"/>
    <s v="음식/조리"/>
    <s v="기타 프렌차이즈점"/>
    <s v="Blob Runner 3D"/>
    <s v="엔터테인먼트(대)게임(중)"/>
    <s v="m.app"/>
    <s v="애드몹"/>
    <s v="25"/>
    <s v="12"/>
    <s v="25.12.23"/>
    <s v="25.12.23"/>
    <n v="242"/>
  </r>
  <r>
    <s v="애드몹"/>
    <s v="리서치애드"/>
    <s v="노랑푸드노랑통닭"/>
    <x v="33"/>
    <s v="서비스"/>
    <s v="음식/조리"/>
    <s v="기타 프렌차이즈점"/>
    <s v="Blob Runner 3D"/>
    <s v="엔터테인먼트(대)게임(중)"/>
    <s v="m.app"/>
    <s v="애드몹"/>
    <s v="25"/>
    <s v="12"/>
    <s v="25.12.28"/>
    <s v="25.12.28"/>
    <n v="242"/>
  </r>
  <r>
    <s v="애드몹"/>
    <s v="리서치애드"/>
    <s v="노랑푸드노랑통닭"/>
    <x v="33"/>
    <s v="서비스"/>
    <s v="음식/조리"/>
    <s v="기타 프렌차이즈점"/>
    <s v="Blob Runner 3D"/>
    <s v="엔터테인먼트(대)게임(중)"/>
    <s v="m.app"/>
    <s v="애드몹"/>
    <s v="25"/>
    <s v="12"/>
    <s v="25.12.31"/>
    <s v="25.12.31"/>
    <n v="484"/>
  </r>
  <r>
    <s v="애드몹"/>
    <s v="리서치애드"/>
    <s v="노랑푸드노랑통닭"/>
    <x v="33"/>
    <s v="서비스"/>
    <s v="음식/조리"/>
    <s v="기타 프렌차이즈점"/>
    <s v="Stacky Dash"/>
    <s v="엔터테인먼트(대)게임(중)"/>
    <s v="m.app"/>
    <s v="애드몹"/>
    <s v="25"/>
    <s v="12"/>
    <s v="25.12.29"/>
    <s v="25.12.29"/>
    <n v="242"/>
  </r>
  <r>
    <s v="애드몹"/>
    <s v="리서치애드"/>
    <s v="노랑푸드노랑통닭"/>
    <x v="33"/>
    <s v="서비스"/>
    <s v="음식/조리"/>
    <s v="기타 프렌차이즈점"/>
    <s v="Stacky Dash"/>
    <s v="엔터테인먼트(대)게임(중)"/>
    <s v="m.app"/>
    <s v="애드몹"/>
    <s v="25"/>
    <s v="12"/>
    <s v="25.12.31"/>
    <s v="25.12.31"/>
    <n v="242"/>
  </r>
  <r>
    <s v="애드몹"/>
    <s v="리서치애드"/>
    <s v="노랑푸드노랑통닭"/>
    <x v="33"/>
    <s v="서비스"/>
    <s v="음식/조리"/>
    <s v="기타 프렌차이즈점"/>
    <s v="경찰간부후보시험"/>
    <s v="모바일(대)모바일기타(중)"/>
    <s v="m.app"/>
    <s v="애드몹"/>
    <s v="25"/>
    <s v="09"/>
    <s v="25.09.02"/>
    <s v="25.09.03"/>
    <n v="336"/>
  </r>
  <r>
    <s v="애드몹"/>
    <s v="리서치애드"/>
    <s v="노랑푸드노랑통닭"/>
    <x v="33"/>
    <s v="서비스"/>
    <s v="음식/조리"/>
    <s v="기타 프렌차이즈점"/>
    <s v="경찰간부후보시험"/>
    <s v="모바일(대)모바일기타(중)"/>
    <s v="m.app"/>
    <s v="애드몹"/>
    <s v="25"/>
    <s v="09"/>
    <s v="25.09.03"/>
    <s v="25.09.03"/>
    <n v="168"/>
  </r>
  <r>
    <s v="애드몹"/>
    <s v="리서치애드"/>
    <s v="노랑푸드노랑통닭"/>
    <x v="33"/>
    <s v="서비스"/>
    <s v="음식/조리"/>
    <s v="기타 프렌차이즈점"/>
    <s v="전국아동복지급식정보"/>
    <s v="생활정보(대)생활정보 기타(중)"/>
    <s v="m.app"/>
    <s v="애드몹"/>
    <s v="25"/>
    <s v="09"/>
    <s v="25.09.03"/>
    <s v="25.09.03"/>
    <n v="168"/>
  </r>
  <r>
    <s v="애드몹"/>
    <s v="리서치애드"/>
    <s v="노랑푸드노랑통닭"/>
    <x v="33"/>
    <s v="서비스"/>
    <s v="음식/조리"/>
    <s v="기타 프렌차이즈점"/>
    <s v="이달의 소녀 2048"/>
    <s v="엔터테인먼트(대)게임(중)"/>
    <s v="m.app"/>
    <s v="애드몹"/>
    <s v="25"/>
    <s v="12"/>
    <s v="25.12.31"/>
    <s v="25.12.31"/>
    <n v="242"/>
  </r>
  <r>
    <s v="애드몹"/>
    <s v="리서치애드"/>
    <s v="노랑푸드노랑통닭"/>
    <x v="33"/>
    <s v="서비스"/>
    <s v="음식/조리"/>
    <s v="기타 프렌차이즈점"/>
    <s v="APINK 2048"/>
    <s v="엔터테인먼트(대)게임(중)"/>
    <s v="m.app"/>
    <s v="애드몹"/>
    <s v="25"/>
    <s v="12"/>
    <s v="25.12.27"/>
    <s v="25.12.28"/>
    <n v="484"/>
  </r>
  <r>
    <s v="애드몹"/>
    <s v="리서치애드"/>
    <s v="노랑푸드노랑통닭"/>
    <x v="33"/>
    <s v="서비스"/>
    <s v="음식/조리"/>
    <s v="기타 프렌차이즈점"/>
    <s v="Match Color Rotate"/>
    <s v="엔터테인먼트(대)게임(중)"/>
    <s v="m.app"/>
    <s v="애드몹"/>
    <s v="25"/>
    <s v="12"/>
    <s v="25.12.26"/>
    <s v="25.12.26"/>
    <n v="484"/>
  </r>
  <r>
    <s v="애드몹"/>
    <s v="리서치애드"/>
    <s v="노랑푸드노랑통닭"/>
    <x v="33"/>
    <s v="서비스"/>
    <s v="음식/조리"/>
    <s v="기타 프렌차이즈점"/>
    <s v="부부의 장난 2"/>
    <s v="엔터테인먼트(대)게임(중)"/>
    <s v="m.app"/>
    <s v="애드몹"/>
    <s v="25"/>
    <s v="12"/>
    <s v="25.12.27"/>
    <s v="25.12.27"/>
    <n v="242"/>
  </r>
  <r>
    <s v="애드몹"/>
    <s v="리서치애드"/>
    <s v="노랑푸드노랑통닭"/>
    <x v="33"/>
    <s v="서비스"/>
    <s v="음식/조리"/>
    <s v="기타 프렌차이즈점"/>
    <s v="부부의장난"/>
    <s v="엔터테인먼트(대)게임(중)"/>
    <s v="m.app"/>
    <s v="애드몹"/>
    <s v="25"/>
    <s v="10"/>
    <s v="25.10.24"/>
    <s v="25.10.24"/>
    <n v="222"/>
  </r>
  <r>
    <s v="애드몹"/>
    <s v="리서치애드"/>
    <s v="노랑푸드노랑통닭"/>
    <x v="33"/>
    <s v="서비스"/>
    <s v="음식/조리"/>
    <s v="기타 프렌차이즈점"/>
    <s v="?Fast Downloader"/>
    <s v="모바일(대)도구/유틸리티(중)"/>
    <s v="m.app"/>
    <s v="애드몹"/>
    <s v="25"/>
    <s v="07"/>
    <s v="25.07.16"/>
    <s v="25.07.17"/>
    <n v="710"/>
  </r>
  <r>
    <s v="애드몹"/>
    <s v="리서치애드"/>
    <s v="제이케이글로벌"/>
    <x v="35"/>
    <s v="서비스"/>
    <s v="음식/조리"/>
    <s v="기타 프렌차이즈점"/>
    <s v="nate.com"/>
    <s v="포털(대)포털(중)"/>
    <s v="m.web"/>
    <s v="애드몹"/>
    <s v="25"/>
    <s v="10"/>
    <s v="25.10.12"/>
    <s v="25.10.12"/>
    <n v="1798"/>
  </r>
  <r>
    <s v="애드몹"/>
    <s v="리서치애드"/>
    <s v="제이케이글로벌"/>
    <x v="35"/>
    <s v="서비스"/>
    <s v="음식/조리"/>
    <s v="기타 프렌차이즈점"/>
    <s v="chosun.com"/>
    <s v="신문/잡지(대)종합일간지(중)"/>
    <s v="m.web"/>
    <s v="애드몹"/>
    <s v="25"/>
    <s v="10"/>
    <s v="25.10.14"/>
    <s v="25.10.15"/>
    <n v="760"/>
  </r>
  <r>
    <s v="애드몹"/>
    <s v="리서치애드"/>
    <s v="제이케이글로벌"/>
    <x v="35"/>
    <s v="서비스"/>
    <s v="음식/조리"/>
    <s v="기타 프렌차이즈점"/>
    <s v="dt.co.kr"/>
    <s v="신문/잡지(대)IT관련 뉴스(중)"/>
    <s v="m.web"/>
    <s v="애드몹"/>
    <s v="25"/>
    <s v="10"/>
    <s v="25.10.13"/>
    <s v="25.10.13"/>
    <n v="754"/>
  </r>
  <r>
    <s v="애드몹"/>
    <s v="리서치애드"/>
    <s v="제이케이글로벌"/>
    <x v="35"/>
    <s v="서비스"/>
    <s v="음식/조리"/>
    <s v="기타 프렌차이즈점"/>
    <s v="newdaily.co.kr"/>
    <s v="신문/잡지(대)온라인뉴스(중)"/>
    <s v="m.web"/>
    <s v="애드몹"/>
    <s v="25"/>
    <s v="10"/>
    <s v="25.10.15"/>
    <s v="25.10.15"/>
    <n v="241"/>
  </r>
  <r>
    <s v="애드몹"/>
    <s v="리서치애드"/>
    <s v="제이케이글로벌"/>
    <x v="35"/>
    <s v="서비스"/>
    <s v="음식/조리"/>
    <s v="기타 프렌차이즈점"/>
    <s v="거제에가면"/>
    <s v="생활정보(대)생활정보 기타(중)"/>
    <s v="m.app"/>
    <s v="애드몹"/>
    <s v="25"/>
    <s v="09"/>
    <s v="25.09.27"/>
    <s v="25.09.27"/>
    <n v="168"/>
  </r>
  <r>
    <s v="애드몹"/>
    <s v="리서치애드"/>
    <s v="제이케이글로벌"/>
    <x v="35"/>
    <s v="서비스"/>
    <s v="음식/조리"/>
    <s v="기타 프렌차이즈점"/>
    <s v="갈맷길에가면"/>
    <s v="생활정보(대)생활정보 기타(중)"/>
    <s v="m.app"/>
    <s v="애드몹"/>
    <s v="25"/>
    <s v="10"/>
    <s v="25.10.13"/>
    <s v="25.10.13"/>
    <n v="222"/>
  </r>
  <r>
    <s v="애드몹"/>
    <s v="리서치애드"/>
    <s v="혜인유통"/>
    <x v="5"/>
    <s v="서비스"/>
    <s v="음식/조리"/>
    <s v="기타 프렌차이즈점"/>
    <s v="감옥탈출"/>
    <s v="엔터테인먼트(대)게임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바운스볼"/>
    <s v="엔터테인먼트(대)게임(중)"/>
    <s v="m.app"/>
    <s v="애드몹"/>
    <s v="25"/>
    <s v="03"/>
    <s v="25.03.06"/>
    <s v="25.03.09"/>
    <n v="532"/>
  </r>
  <r>
    <s v="애드몹"/>
    <s v="리서치애드"/>
    <s v="혜인유통"/>
    <x v="5"/>
    <s v="서비스"/>
    <s v="음식/조리"/>
    <s v="기타 프렌차이즈점"/>
    <s v="바운스볼"/>
    <s v="엔터테인먼트(대)게임(중)"/>
    <s v="m.app"/>
    <s v="애드몹"/>
    <s v="25"/>
    <s v="03"/>
    <s v="25.03.10"/>
    <s v="25.03.10"/>
    <n v="133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5"/>
    <s v="25.05.15"/>
    <s v="25.05.16"/>
    <n v="294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5"/>
    <s v="25.05.20"/>
    <s v="25.05.25"/>
    <n v="881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5"/>
    <s v="25.05.26"/>
    <s v="25.05.29"/>
    <n v="587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5"/>
    <s v="25.05.28"/>
    <s v="25.05.31"/>
    <n v="587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6"/>
    <s v="25.06.07"/>
    <s v="25.06.08"/>
    <n v="320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6"/>
    <s v="25.06.16"/>
    <s v="25.06.19"/>
    <n v="640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6"/>
    <s v="25.06.19"/>
    <s v="25.06.22"/>
    <n v="640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6"/>
    <s v="25.06.23"/>
    <s v="25.06.23"/>
    <n v="160"/>
  </r>
  <r>
    <s v="애드몹"/>
    <s v="리서치애드"/>
    <s v="혜인유통"/>
    <x v="5"/>
    <s v="서비스"/>
    <s v="음식/조리"/>
    <s v="기타 프렌차이즈점"/>
    <s v="블럭 퍼즐의 왕"/>
    <s v="엔터테인먼트(대)게임(중)"/>
    <s v="m.app"/>
    <s v="애드몹"/>
    <s v="25"/>
    <s v="06"/>
    <s v="25.06.24"/>
    <s v="25.06.27"/>
    <n v="640"/>
  </r>
  <r>
    <s v="애드몹"/>
    <s v="리서치애드"/>
    <s v="혜인유통"/>
    <x v="5"/>
    <s v="서비스"/>
    <s v="음식/조리"/>
    <s v="기타 프렌차이즈점"/>
    <s v="블럭퍼즐"/>
    <s v="엔터테인먼트(대)엔터테인먼트 기타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좀비고"/>
    <s v="엔터테인먼트(대)게임(중)"/>
    <s v="m.app"/>
    <s v="애드몹"/>
    <s v="25"/>
    <s v="03"/>
    <s v="25.03.05"/>
    <s v="25.03.05"/>
    <n v="133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02"/>
    <s v="25.05.02"/>
    <n v="16386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07"/>
    <s v="25.05.07"/>
    <n v="24579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08"/>
    <s v="25.05.08"/>
    <n v="16386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14"/>
    <s v="25.05.17"/>
    <n v="32773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14"/>
    <s v="25.05.18"/>
    <n v="40966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18"/>
    <s v="25.05.18"/>
    <n v="8193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19"/>
    <s v="25.05.19"/>
    <n v="16386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5"/>
    <s v="25.05.27"/>
    <s v="25.05.30"/>
    <n v="65546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6"/>
    <s v="25.06.04"/>
    <s v="25.06.04"/>
    <n v="22488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6"/>
    <s v="25.06.19"/>
    <s v="25.06.19"/>
    <n v="22488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6"/>
    <s v="25.06.20"/>
    <s v="25.06.20"/>
    <n v="22488"/>
  </r>
  <r>
    <s v="카카오광고"/>
    <s v="리서치애드"/>
    <s v="혜인유통"/>
    <x v="5"/>
    <s v="서비스"/>
    <s v="음식/조리"/>
    <s v="기타 프렌차이즈점"/>
    <s v="카카오톡"/>
    <s v="커뮤니케이션(대)채팅/메신저(중)"/>
    <s v="m.app"/>
    <s v="카카오광고"/>
    <s v="25"/>
    <s v="06"/>
    <s v="25.06.24"/>
    <s v="25.06.24"/>
    <n v="22488"/>
  </r>
  <r>
    <s v="애드몹"/>
    <s v="리서치애드"/>
    <s v="혜인유통"/>
    <x v="5"/>
    <s v="서비스"/>
    <s v="음식/조리"/>
    <s v="기타 프렌차이즈점"/>
    <s v="한붓그리기"/>
    <s v="엔터테인먼트(대)게임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한붓그리기"/>
    <s v="엔터테인먼트(대)게임(중)"/>
    <s v="m.app"/>
    <s v="애드몹"/>
    <s v="25"/>
    <s v="06"/>
    <s v="25.06.05"/>
    <s v="25.06.05"/>
    <n v="160"/>
  </r>
  <r>
    <s v="애드몹"/>
    <s v="리서치애드"/>
    <s v="혜인유통"/>
    <x v="5"/>
    <s v="서비스"/>
    <s v="음식/조리"/>
    <s v="기타 프렌차이즈점"/>
    <s v="한붓그리기"/>
    <s v="엔터테인먼트(대)게임(중)"/>
    <s v="m.app"/>
    <s v="애드몹"/>
    <s v="25"/>
    <s v="06"/>
    <s v="25.06.07"/>
    <s v="25.06.07"/>
    <n v="160"/>
  </r>
  <r>
    <s v="애드몹"/>
    <s v="리서치애드"/>
    <s v="혜인유통"/>
    <x v="5"/>
    <s v="서비스"/>
    <s v="음식/조리"/>
    <s v="기타 프렌차이즈점"/>
    <s v="한붓그리기"/>
    <s v="엔터테인먼트(대)게임(중)"/>
    <s v="m.app"/>
    <s v="애드몹"/>
    <s v="25"/>
    <s v="06"/>
    <s v="25.06.09"/>
    <s v="25.06.10"/>
    <n v="320"/>
  </r>
  <r>
    <s v="애드몹"/>
    <s v="리서치애드"/>
    <s v="혜인유통"/>
    <x v="5"/>
    <s v="서비스"/>
    <s v="음식/조리"/>
    <s v="기타 프렌차이즈점"/>
    <s v="한붓그리기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Stick Hero"/>
    <s v="엔터테인먼트(대)게임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Stick Hero"/>
    <s v="엔터테인먼트(대)게임(중)"/>
    <s v="m.app"/>
    <s v="애드몹"/>
    <s v="25"/>
    <s v="06"/>
    <s v="25.06.09"/>
    <s v="25.06.09"/>
    <n v="160"/>
  </r>
  <r>
    <s v="애드몹"/>
    <s v="리서치애드"/>
    <s v="혜인유통"/>
    <x v="5"/>
    <s v="서비스"/>
    <s v="음식/조리"/>
    <s v="기타 프렌차이즈점"/>
    <s v="Stack"/>
    <s v="엔터테인먼트(대)게임(중)"/>
    <s v="m.app"/>
    <s v="애드몹"/>
    <s v="25"/>
    <s v="06"/>
    <s v="25.06.02"/>
    <s v="25.06.02"/>
    <n v="160"/>
  </r>
  <r>
    <s v="애드몹"/>
    <s v="리서치애드"/>
    <s v="혜인유통"/>
    <x v="5"/>
    <s v="서비스"/>
    <s v="음식/조리"/>
    <s v="기타 프렌차이즈점"/>
    <s v="정통오목"/>
    <s v="엔터테인먼트(대)게임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정통오목"/>
    <s v="엔터테인먼트(대)게임(중)"/>
    <s v="m.app"/>
    <s v="애드몹"/>
    <s v="25"/>
    <s v="05"/>
    <s v="25.05.21"/>
    <s v="25.05.21"/>
    <n v="147"/>
  </r>
  <r>
    <s v="애드몹"/>
    <s v="리서치애드"/>
    <s v="혜인유통"/>
    <x v="5"/>
    <s v="서비스"/>
    <s v="음식/조리"/>
    <s v="기타 프렌차이즈점"/>
    <s v="정통오목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주차의 달인 4"/>
    <s v="엔터테인먼트(대)게임(중)"/>
    <s v="m.app"/>
    <s v="애드몹"/>
    <s v="25"/>
    <s v="06"/>
    <s v="25.06.12"/>
    <s v="25.06.13"/>
    <n v="320"/>
  </r>
  <r>
    <s v="애드몹"/>
    <s v="리서치애드"/>
    <s v="혜인유통"/>
    <x v="5"/>
    <s v="서비스"/>
    <s v="음식/조리"/>
    <s v="기타 프렌차이즈점"/>
    <s v="마이토킹안젤라"/>
    <s v="엔터테인먼트(대)게임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5"/>
    <s v="25.05.08"/>
    <s v="25.05.11"/>
    <n v="587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KBO STATS"/>
    <s v="엔터테인먼트(대)스포츠/레포츠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5"/>
    <s v="25.05.21"/>
    <s v="25.05.24"/>
    <n v="58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5"/>
    <s v="25.05.28"/>
    <s v="25.05.31"/>
    <n v="58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6"/>
    <s v="25.06.09"/>
    <s v="25.06.09"/>
    <n v="320"/>
  </r>
  <r>
    <s v="애드몹"/>
    <s v="리서치애드"/>
    <s v="혜인유통"/>
    <x v="5"/>
    <s v="서비스"/>
    <s v="음식/조리"/>
    <s v="기타 프렌차이즈점"/>
    <s v="게임을 숨겼다"/>
    <s v="엔터테인먼트(대)게임(중)"/>
    <s v="m.app"/>
    <s v="애드몹"/>
    <s v="25"/>
    <s v="06"/>
    <s v="25.06.12"/>
    <s v="25.06.14"/>
    <n v="960"/>
  </r>
  <r>
    <s v="애드몹"/>
    <s v="리서치애드"/>
    <s v="혜인유통"/>
    <x v="5"/>
    <s v="서비스"/>
    <s v="음식/조리"/>
    <s v="기타 프렌차이즈점"/>
    <s v="Hide&amp;Seek"/>
    <s v="엔터테인먼트(대)게임(중)"/>
    <s v="m.app"/>
    <s v="애드몹"/>
    <s v="25"/>
    <s v="05"/>
    <s v="25.05.14"/>
    <s v="25.05.18"/>
    <n v="734"/>
  </r>
  <r>
    <s v="애드몹"/>
    <s v="리서치애드"/>
    <s v="혜인유통"/>
    <x v="5"/>
    <s v="서비스"/>
    <s v="음식/조리"/>
    <s v="기타 프렌차이즈점"/>
    <s v="Hide&amp;Seek"/>
    <s v="엔터테인먼트(대)게임(중)"/>
    <s v="m.app"/>
    <s v="애드몹"/>
    <s v="25"/>
    <s v="05"/>
    <s v="25.05.20"/>
    <s v="25.05.24"/>
    <n v="734"/>
  </r>
  <r>
    <s v="애드몹"/>
    <s v="리서치애드"/>
    <s v="혜인유통"/>
    <x v="5"/>
    <s v="서비스"/>
    <s v="음식/조리"/>
    <s v="기타 프렌차이즈점"/>
    <s v="Hide&amp;Seek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편한가계부"/>
    <s v="모바일(대)라이프스타일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편한가계부"/>
    <s v="모바일(대)라이프스타일(중)"/>
    <s v="m.app"/>
    <s v="애드몹"/>
    <s v="25"/>
    <s v="05"/>
    <s v="25.05.24"/>
    <s v="25.05.25"/>
    <n v="294"/>
  </r>
  <r>
    <s v="애드몹"/>
    <s v="리서치애드"/>
    <s v="혜인유통"/>
    <x v="5"/>
    <s v="서비스"/>
    <s v="음식/조리"/>
    <s v="기타 프렌차이즈점"/>
    <s v="편한가계부"/>
    <s v="모바일(대)라이프스타일(중)"/>
    <s v="m.app"/>
    <s v="애드몹"/>
    <s v="25"/>
    <s v="06"/>
    <s v="25.06.09"/>
    <s v="25.06.14"/>
    <n v="960"/>
  </r>
  <r>
    <s v="애드몹"/>
    <s v="리서치애드"/>
    <s v="혜인유통"/>
    <x v="5"/>
    <s v="서비스"/>
    <s v="음식/조리"/>
    <s v="기타 프렌차이즈점"/>
    <s v="게임을 숨겼다2"/>
    <s v="엔터테인먼트(대)게임(중)"/>
    <s v="m.app"/>
    <s v="애드몹"/>
    <s v="25"/>
    <s v="06"/>
    <s v="25.06.11"/>
    <s v="25.06.11"/>
    <n v="160"/>
  </r>
  <r>
    <s v="애드몹"/>
    <s v="리서치애드"/>
    <s v="혜인유통"/>
    <x v="5"/>
    <s v="서비스"/>
    <s v="음식/조리"/>
    <s v="기타 프렌차이즈점"/>
    <s v="전광판 LED"/>
    <s v="모바일(대)도구/유틸리티(중)"/>
    <s v="m.app"/>
    <s v="애드몹"/>
    <s v="25"/>
    <s v="06"/>
    <s v="25.06.11"/>
    <s v="25.06.11"/>
    <n v="160"/>
  </r>
  <r>
    <s v="애드몹"/>
    <s v="리서치애드"/>
    <s v="혜인유통"/>
    <x v="5"/>
    <s v="서비스"/>
    <s v="음식/조리"/>
    <s v="기타 프렌차이즈점"/>
    <s v="깨진 화면"/>
    <s v="엔터테인먼트(대)엔터테인먼트 기타(중)"/>
    <s v="m.app"/>
    <s v="애드몹"/>
    <s v="25"/>
    <s v="05"/>
    <s v="25.05.08"/>
    <s v="25.05.11"/>
    <n v="587"/>
  </r>
  <r>
    <s v="애드몹"/>
    <s v="리서치애드"/>
    <s v="혜인유통"/>
    <x v="5"/>
    <s v="서비스"/>
    <s v="음식/조리"/>
    <s v="기타 프렌차이즈점"/>
    <s v="7분 운동"/>
    <s v="모바일(대)라이프스타일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7분 운동"/>
    <s v="모바일(대)라이프스타일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자"/>
    <s v="모바일(대)도구/유틸리티(중)"/>
    <s v="m.app"/>
    <s v="애드몹"/>
    <s v="25"/>
    <s v="06"/>
    <s v="25.06.11"/>
    <s v="25.06.13"/>
    <n v="48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04"/>
    <s v="25.05.04"/>
    <n v="147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05"/>
    <s v="25.05.07"/>
    <n v="44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10"/>
    <s v="25.05.11"/>
    <n v="294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14"/>
    <s v="25.05.18"/>
    <n v="734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20"/>
    <s v="25.05.24"/>
    <n v="734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5"/>
    <s v="25.05.26"/>
    <s v="25.05.31"/>
    <n v="881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02"/>
    <s v="25.06.08"/>
    <n v="112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06"/>
    <s v="25.06.08"/>
    <n v="48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09"/>
    <s v="25.06.15"/>
    <n v="112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16"/>
    <s v="25.06.18"/>
    <n v="48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18"/>
    <s v="25.06.19"/>
    <n v="32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19"/>
    <s v="25.06.21"/>
    <n v="480"/>
  </r>
  <r>
    <s v="애드몹"/>
    <s v="리서치애드"/>
    <s v="혜인유통"/>
    <x v="5"/>
    <s v="서비스"/>
    <s v="음식/조리"/>
    <s v="기타 프렌차이즈점"/>
    <s v="CookingMama"/>
    <s v="엔터테인먼트(대)게임(중)"/>
    <s v="m.app"/>
    <s v="애드몹"/>
    <s v="25"/>
    <s v="06"/>
    <s v="25.06.23"/>
    <s v="25.06.26"/>
    <n v="640"/>
  </r>
  <r>
    <s v="애드몹"/>
    <s v="리서치애드"/>
    <s v="혜인유통"/>
    <x v="5"/>
    <s v="서비스"/>
    <s v="음식/조리"/>
    <s v="기타 프렌차이즈점"/>
    <s v="번호추첨기"/>
    <s v="엔터테인먼트(대)엔터테인먼트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Night mode - Blue light filter"/>
    <s v="모바일(대)도구/유틸리티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Night mode - Blue light filter"/>
    <s v="모바일(대)도구/유틸리티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사격의 왕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매일 유산소 운동 무료"/>
    <s v="모바일(대)라이프스타일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매일 유산소 운동 무료"/>
    <s v="모바일(대)라이프스타일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매일 유산소 운동 무료"/>
    <s v="모바일(대)라이프스타일(중)"/>
    <s v="m.app"/>
    <s v="애드몹"/>
    <s v="25"/>
    <s v="05"/>
    <s v="25.05.20"/>
    <s v="25.05.25"/>
    <n v="881"/>
  </r>
  <r>
    <s v="애드몹"/>
    <s v="리서치애드"/>
    <s v="혜인유통"/>
    <x v="5"/>
    <s v="서비스"/>
    <s v="음식/조리"/>
    <s v="기타 프렌차이즈점"/>
    <s v="매일 유산소 운동 무료"/>
    <s v="모바일(대)라이프스타일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해파리 육성"/>
    <s v="엔터테인먼트(대)게임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매일 8잔"/>
    <s v="모바일(대)라이프스타일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주부''s 생활백서"/>
    <s v="생활정보(대)생활정보 기타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드릴 키우기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이름궁합"/>
    <s v="엔터테인먼트(대)엔터테인먼트 기타(중)"/>
    <s v="m.app"/>
    <s v="애드몹"/>
    <s v="25"/>
    <s v="06"/>
    <s v="25.06.14"/>
    <s v="25.06.14"/>
    <n v="160"/>
  </r>
  <r>
    <s v="애드몹"/>
    <s v="리서치애드"/>
    <s v="혜인유통"/>
    <x v="5"/>
    <s v="서비스"/>
    <s v="음식/조리"/>
    <s v="기타 프렌차이즈점"/>
    <s v="이름궁합"/>
    <s v="엔터테인먼트(대)엔터테인먼트 기타(중)"/>
    <s v="m.app"/>
    <s v="애드몹"/>
    <s v="25"/>
    <s v="06"/>
    <s v="25.06.19"/>
    <s v="25.06.19"/>
    <n v="160"/>
  </r>
  <r>
    <s v="애드몹"/>
    <s v="리서치애드"/>
    <s v="혜인유통"/>
    <x v="5"/>
    <s v="서비스"/>
    <s v="음식/조리"/>
    <s v="기타 프렌차이즈점"/>
    <s v="그림 퀴즈"/>
    <s v="엔터테인먼트(대)게임(중)"/>
    <s v="m.app"/>
    <s v="애드몹"/>
    <s v="25"/>
    <s v="05"/>
    <s v="25.05.22"/>
    <s v="25.05.23"/>
    <n v="294"/>
  </r>
  <r>
    <s v="애드몹"/>
    <s v="리서치애드"/>
    <s v="혜인유통"/>
    <x v="5"/>
    <s v="서비스"/>
    <s v="음식/조리"/>
    <s v="기타 프렌차이즈점"/>
    <s v="그림 퀴즈"/>
    <s v="엔터테인먼트(대)게임(중)"/>
    <s v="m.app"/>
    <s v="애드몹"/>
    <s v="25"/>
    <s v="05"/>
    <s v="25.05.24"/>
    <s v="25.05.24"/>
    <n v="147"/>
  </r>
  <r>
    <s v="애드몹"/>
    <s v="리서치애드"/>
    <s v="혜인유통"/>
    <x v="5"/>
    <s v="서비스"/>
    <s v="음식/조리"/>
    <s v="기타 프렌차이즈점"/>
    <s v="그림 퀴즈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13"/>
    <s v="25.05.15"/>
    <n v="440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16"/>
    <s v="25.05.17"/>
    <n v="294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19"/>
    <s v="25.05.24"/>
    <n v="881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20"/>
    <s v="25.05.25"/>
    <n v="881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26"/>
    <s v="25.05.27"/>
    <n v="294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5"/>
    <s v="25.05.28"/>
    <s v="25.05.31"/>
    <n v="587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6"/>
    <s v="25.06.09"/>
    <s v="25.06.09"/>
    <n v="160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6"/>
    <s v="25.06.11"/>
    <s v="25.06.11"/>
    <n v="160"/>
  </r>
  <r>
    <s v="애드몹"/>
    <s v="리서치애드"/>
    <s v="혜인유통"/>
    <x v="5"/>
    <s v="서비스"/>
    <s v="음식/조리"/>
    <s v="기타 프렌차이즈점"/>
    <s v="푸딩이 없어졌다"/>
    <s v="엔터테인먼트(대)게임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엉덩이 및 다리 운동"/>
    <s v="모바일(대)라이프스타일(중)"/>
    <s v="m.app"/>
    <s v="애드몹"/>
    <s v="25"/>
    <s v="06"/>
    <s v="25.06.10"/>
    <s v="25.06.10"/>
    <n v="160"/>
  </r>
  <r>
    <s v="애드몹"/>
    <s v="리서치애드"/>
    <s v="혜인유통"/>
    <x v="5"/>
    <s v="서비스"/>
    <s v="음식/조리"/>
    <s v="기타 프렌차이즈점"/>
    <s v="엉덩이 및 다리 운동"/>
    <s v="모바일(대)라이프스타일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초성퀴즈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04"/>
    <s v="25.05.04"/>
    <n v="147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12"/>
    <s v="25.05.18"/>
    <n v="1027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19"/>
    <s v="25.05.23"/>
    <n v="734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26"/>
    <s v="25.05.27"/>
    <n v="294"/>
  </r>
  <r>
    <s v="애드몹"/>
    <s v="리서치애드"/>
    <s v="혜인유통"/>
    <x v="5"/>
    <s v="서비스"/>
    <s v="음식/조리"/>
    <s v="기타 프렌차이즈점"/>
    <s v="Impossible Bottle Flip"/>
    <s v="엔터테인먼트(대)게임(중)"/>
    <s v="m.app"/>
    <s v="애드몹"/>
    <s v="25"/>
    <s v="05"/>
    <s v="25.05.28"/>
    <s v="25.05.29"/>
    <n v="294"/>
  </r>
  <r>
    <s v="애드몹"/>
    <s v="리서치애드"/>
    <s v="혜인유통"/>
    <x v="5"/>
    <s v="서비스"/>
    <s v="음식/조리"/>
    <s v="기타 프렌차이즈점"/>
    <s v="소리 퀴즈"/>
    <s v="엔터테인먼트(대)게임(중)"/>
    <s v="m.app"/>
    <s v="애드몹"/>
    <s v="25"/>
    <s v="06"/>
    <s v="25.06.12"/>
    <s v="25.06.12"/>
    <n v="32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5"/>
    <s v="25.05.10"/>
    <s v="25.05.11"/>
    <n v="294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5"/>
    <s v="25.05.15"/>
    <s v="25.05.18"/>
    <n v="587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5"/>
    <s v="25.05.26"/>
    <s v="25.05.30"/>
    <n v="734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03"/>
    <s v="25.06.08"/>
    <n v="96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05"/>
    <s v="25.06.06"/>
    <n v="32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09"/>
    <s v="25.06.15"/>
    <n v="112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11"/>
    <s v="25.06.15"/>
    <n v="80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15"/>
    <s v="25.06.15"/>
    <n v="16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16"/>
    <s v="25.06.19"/>
    <n v="64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17"/>
    <s v="25.06.17"/>
    <n v="16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21"/>
    <s v="25.06.22"/>
    <n v="32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23"/>
    <s v="25.06.23"/>
    <n v="160"/>
  </r>
  <r>
    <s v="애드몹"/>
    <s v="리서치애드"/>
    <s v="혜인유통"/>
    <x v="5"/>
    <s v="서비스"/>
    <s v="음식/조리"/>
    <s v="기타 프렌차이즈점"/>
    <s v="막장 학교 퀴즈"/>
    <s v="엔터테인먼트(대)게임(중)"/>
    <s v="m.app"/>
    <s v="애드몹"/>
    <s v="25"/>
    <s v="06"/>
    <s v="25.06.24"/>
    <s v="25.06.25"/>
    <n v="320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6"/>
    <s v="25.06.10"/>
    <s v="25.06.15"/>
    <n v="960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6"/>
    <s v="25.06.12"/>
    <s v="25.06.13"/>
    <n v="320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6"/>
    <s v="25.06.16"/>
    <s v="25.06.16"/>
    <n v="160"/>
  </r>
  <r>
    <s v="애드몹"/>
    <s v="리서치애드"/>
    <s v="혜인유통"/>
    <x v="5"/>
    <s v="서비스"/>
    <s v="음식/조리"/>
    <s v="기타 프렌차이즈점"/>
    <s v="연상퀴즈"/>
    <s v="엔터테인먼트(대)게임(중)"/>
    <s v="m.app"/>
    <s v="애드몹"/>
    <s v="25"/>
    <s v="06"/>
    <s v="25.06.20"/>
    <s v="25.06.21"/>
    <n v="320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5"/>
    <s v="25.05.05"/>
    <s v="25.05.05"/>
    <n v="147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5"/>
    <s v="25.05.20"/>
    <s v="25.05.25"/>
    <n v="881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5"/>
    <s v="25.05.27"/>
    <s v="25.05.27"/>
    <n v="147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6"/>
    <s v="25.06.09"/>
    <s v="25.06.09"/>
    <n v="160"/>
  </r>
  <r>
    <s v="애드몹"/>
    <s v="리서치애드"/>
    <s v="혜인유통"/>
    <x v="5"/>
    <s v="서비스"/>
    <s v="음식/조리"/>
    <s v="기타 프렌차이즈점"/>
    <s v="탈출! 일기장퀴즈"/>
    <s v="엔터테인먼트(대)게임(중)"/>
    <s v="m.app"/>
    <s v="애드몹"/>
    <s v="25"/>
    <s v="06"/>
    <s v="25.06.11"/>
    <s v="25.06.11"/>
    <n v="160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6"/>
    <s v="25.06.07"/>
    <s v="25.06.07"/>
    <n v="320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6"/>
    <s v="25.06.10"/>
    <s v="25.06.12"/>
    <n v="480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하루동안 연예인"/>
    <s v="엔터테인먼트(대)게임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Sweet Fruit Candy"/>
    <s v="엔터테인먼트(대)게임(중)"/>
    <s v="m.app"/>
    <s v="애드몹"/>
    <s v="25"/>
    <s v="03"/>
    <s v="25.03.24"/>
    <s v="25.03.28"/>
    <n v="665"/>
  </r>
  <r>
    <s v="애드몹"/>
    <s v="리서치애드"/>
    <s v="혜인유통"/>
    <x v="5"/>
    <s v="서비스"/>
    <s v="음식/조리"/>
    <s v="기타 프렌차이즈점"/>
    <s v="발레리나"/>
    <s v="엔터테인먼트(대)게임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발레리나"/>
    <s v="엔터테인먼트(대)게임(중)"/>
    <s v="m.app"/>
    <s v="애드몹"/>
    <s v="25"/>
    <s v="05"/>
    <s v="25.05.06"/>
    <s v="25.05.11"/>
    <n v="881"/>
  </r>
  <r>
    <s v="애드몹"/>
    <s v="리서치애드"/>
    <s v="혜인유통"/>
    <x v="5"/>
    <s v="서비스"/>
    <s v="음식/조리"/>
    <s v="기타 프렌차이즈점"/>
    <s v="발레리나"/>
    <s v="엔터테인먼트(대)게임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발레리나"/>
    <s v="엔터테인먼트(대)게임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발레리나"/>
    <s v="엔터테인먼트(대)게임(중)"/>
    <s v="m.app"/>
    <s v="애드몹"/>
    <s v="25"/>
    <s v="05"/>
    <s v="25.05.12"/>
    <s v="25.05.13"/>
    <n v="294"/>
  </r>
  <r>
    <s v="SNS"/>
    <s v="리서치애드"/>
    <s v="혜인유통"/>
    <x v="5"/>
    <s v="서비스"/>
    <s v="음식/조리"/>
    <s v="기타 프렌차이즈점"/>
    <s v="Instagram"/>
    <s v="커뮤니티(대)홈페이지(중)"/>
    <s v="m.app"/>
    <s v="-"/>
    <s v="25"/>
    <s v="03"/>
    <s v="25.03.13"/>
    <s v="25.03.13"/>
    <n v="819"/>
  </r>
  <r>
    <s v="SNS"/>
    <s v="리서치애드"/>
    <s v="혜인유통"/>
    <x v="5"/>
    <s v="서비스"/>
    <s v="음식/조리"/>
    <s v="기타 프렌차이즈점"/>
    <s v="Instagram"/>
    <s v="커뮤니티(대)홈페이지(중)"/>
    <s v="m.app"/>
    <s v="-"/>
    <s v="25"/>
    <s v="03"/>
    <s v="25.03.17"/>
    <s v="25.03.19"/>
    <n v="2456"/>
  </r>
  <r>
    <s v="SNS"/>
    <s v="리서치애드"/>
    <s v="혜인유통"/>
    <x v="5"/>
    <s v="서비스"/>
    <s v="음식/조리"/>
    <s v="기타 프렌차이즈점"/>
    <s v="Instagram"/>
    <s v="커뮤니티(대)홈페이지(중)"/>
    <s v="m.app"/>
    <s v="-"/>
    <s v="25"/>
    <s v="05"/>
    <s v="25.05.27"/>
    <s v="25.05.30"/>
    <n v="2242"/>
  </r>
  <r>
    <s v="애드몹"/>
    <s v="리서치애드"/>
    <s v="혜인유통"/>
    <x v="5"/>
    <s v="서비스"/>
    <s v="음식/조리"/>
    <s v="기타 프렌차이즈점"/>
    <s v="다리 운동"/>
    <s v="모바일(대)라이프스타일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06"/>
    <s v="25.05.06"/>
    <n v="147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08"/>
    <s v="25.05.10"/>
    <n v="440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15"/>
    <s v="25.05.16"/>
    <n v="294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19"/>
    <s v="25.05.22"/>
    <n v="587"/>
  </r>
  <r>
    <s v="애드몹"/>
    <s v="리서치애드"/>
    <s v="혜인유통"/>
    <x v="5"/>
    <s v="서비스"/>
    <s v="음식/조리"/>
    <s v="기타 프렌차이즈점"/>
    <s v="My Heart"/>
    <s v="생활정보(대)병원/건강정보(중)"/>
    <s v="m.app"/>
    <s v="애드몹"/>
    <s v="25"/>
    <s v="05"/>
    <s v="25.05.21"/>
    <s v="25.05.23"/>
    <n v="440"/>
  </r>
  <r>
    <s v="애드몹"/>
    <s v="리서치애드"/>
    <s v="혜인유통"/>
    <x v="5"/>
    <s v="서비스"/>
    <s v="음식/조리"/>
    <s v="기타 프렌차이즈점"/>
    <s v="Rocket Sky!"/>
    <s v="엔터테인먼트(대)게임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Brain Out"/>
    <s v="엔터테인먼트(대)게임(중)"/>
    <s v="m.app"/>
    <s v="애드몹"/>
    <s v="25"/>
    <s v="06"/>
    <s v="25.06.04"/>
    <s v="25.06.04"/>
    <n v="160"/>
  </r>
  <r>
    <s v="애드몹"/>
    <s v="리서치애드"/>
    <s v="혜인유통"/>
    <x v="5"/>
    <s v="서비스"/>
    <s v="음식/조리"/>
    <s v="기타 프렌차이즈점"/>
    <s v="Wood Block Puzzle"/>
    <s v="엔터테인먼트(대)게임(중)"/>
    <s v="m.app"/>
    <s v="애드몹"/>
    <s v="25"/>
    <s v="03"/>
    <s v="25.03.17"/>
    <s v="25.03.21"/>
    <n v="665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02"/>
    <s v="25.05.03"/>
    <n v="294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05"/>
    <s v="25.05.05"/>
    <n v="147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07"/>
    <s v="25.05.07"/>
    <n v="294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09"/>
    <s v="25.05.11"/>
    <n v="440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13"/>
    <s v="25.05.13"/>
    <n v="147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5"/>
    <s v="25.05.27"/>
    <s v="25.05.27"/>
    <n v="147"/>
  </r>
  <r>
    <s v="애드몹"/>
    <s v="리서치애드"/>
    <s v="혜인유통"/>
    <x v="5"/>
    <s v="서비스"/>
    <s v="음식/조리"/>
    <s v="기타 프렌차이즈점"/>
    <s v="Slime Simulator Time"/>
    <s v="모바일(대)라이프스타일(중)"/>
    <s v="m.app"/>
    <s v="애드몹"/>
    <s v="25"/>
    <s v="06"/>
    <s v="25.06.13"/>
    <s v="25.06.13"/>
    <n v="160"/>
  </r>
  <r>
    <s v="애드몹"/>
    <s v="리서치애드"/>
    <s v="혜인유통"/>
    <x v="5"/>
    <s v="서비스"/>
    <s v="음식/조리"/>
    <s v="기타 프렌차이즈점"/>
    <s v="Brain Test"/>
    <s v="엔터테인먼트(대)게임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Tiles Hop"/>
    <s v="엔터테인먼트(대)게임(중)"/>
    <s v="m.app"/>
    <s v="애드몹"/>
    <s v="25"/>
    <s v="05"/>
    <s v="25.05.13"/>
    <s v="25.05.13"/>
    <n v="147"/>
  </r>
  <r>
    <s v="애드몹"/>
    <s v="리서치애드"/>
    <s v="혜인유통"/>
    <x v="5"/>
    <s v="서비스"/>
    <s v="음식/조리"/>
    <s v="기타 프렌차이즈점"/>
    <s v="Tiles Hop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5"/>
    <s v="25.05.22"/>
    <s v="25.05.24"/>
    <n v="44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5"/>
    <s v="25.05.28"/>
    <s v="25.05.31"/>
    <n v="587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5"/>
    <s v="25.05.29"/>
    <s v="25.05.29"/>
    <n v="147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02"/>
    <s v="25.06.05"/>
    <n v="64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04"/>
    <s v="25.06.06"/>
    <n v="48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05"/>
    <s v="25.06.05"/>
    <n v="16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09"/>
    <s v="25.06.09"/>
    <n v="16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10"/>
    <s v="25.06.10"/>
    <n v="16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15"/>
    <s v="25.06.15"/>
    <n v="320"/>
  </r>
  <r>
    <s v="애드몹"/>
    <s v="리서치애드"/>
    <s v="혜인유통"/>
    <x v="5"/>
    <s v="서비스"/>
    <s v="음식/조리"/>
    <s v="기타 프렌차이즈점"/>
    <s v="Brainzzz"/>
    <s v="엔터테인먼트(대)게임(중)"/>
    <s v="m.app"/>
    <s v="애드몹"/>
    <s v="25"/>
    <s v="06"/>
    <s v="25.06.18"/>
    <s v="25.06.18"/>
    <n v="160"/>
  </r>
  <r>
    <s v="애드몹"/>
    <s v="리서치애드"/>
    <s v="혜인유통"/>
    <x v="5"/>
    <s v="서비스"/>
    <s v="음식/조리"/>
    <s v="기타 프렌차이즈점"/>
    <s v="연필 스케치"/>
    <s v="모바일(대)도구/유틸리티(중)"/>
    <s v="m.app"/>
    <s v="애드몹"/>
    <s v="25"/>
    <s v="03"/>
    <s v="25.03.06"/>
    <s v="25.03.09"/>
    <n v="532"/>
  </r>
  <r>
    <s v="애드몹"/>
    <s v="리서치애드"/>
    <s v="혜인유통"/>
    <x v="5"/>
    <s v="서비스"/>
    <s v="음식/조리"/>
    <s v="기타 프렌차이즈점"/>
    <s v="연필 스케치"/>
    <s v="모바일(대)도구/유틸리티(중)"/>
    <s v="m.app"/>
    <s v="애드몹"/>
    <s v="25"/>
    <s v="03"/>
    <s v="25.03.10"/>
    <s v="25.03.10"/>
    <n v="133"/>
  </r>
  <r>
    <s v="애드몹"/>
    <s v="리서치애드"/>
    <s v="혜인유통"/>
    <x v="5"/>
    <s v="서비스"/>
    <s v="음식/조리"/>
    <s v="기타 프렌차이즈점"/>
    <s v="Video Player"/>
    <s v="모바일(대)도구/유틸리티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Video Player"/>
    <s v="모바일(대)도구/유틸리티(중)"/>
    <s v="m.app"/>
    <s v="애드몹"/>
    <s v="25"/>
    <s v="05"/>
    <s v="25.05.07"/>
    <s v="25.05.07"/>
    <n v="294"/>
  </r>
  <r>
    <s v="애드몹"/>
    <s v="리서치애드"/>
    <s v="혜인유통"/>
    <x v="5"/>
    <s v="서비스"/>
    <s v="음식/조리"/>
    <s v="기타 프렌차이즈점"/>
    <s v="Video Player"/>
    <s v="모바일(대)도구/유틸리티(중)"/>
    <s v="m.app"/>
    <s v="애드몹"/>
    <s v="25"/>
    <s v="05"/>
    <s v="25.05.09"/>
    <s v="25.05.11"/>
    <n v="440"/>
  </r>
  <r>
    <s v="애드몹"/>
    <s v="리서치애드"/>
    <s v="혜인유통"/>
    <x v="5"/>
    <s v="서비스"/>
    <s v="음식/조리"/>
    <s v="기타 프렌차이즈점"/>
    <s v="Video Player"/>
    <s v="모바일(대)도구/유틸리티(중)"/>
    <s v="m.app"/>
    <s v="애드몹"/>
    <s v="25"/>
    <s v="05"/>
    <s v="25.05.13"/>
    <s v="25.05.13"/>
    <n v="147"/>
  </r>
  <r>
    <s v="애드몹"/>
    <s v="리서치애드"/>
    <s v="혜인유통"/>
    <x v="5"/>
    <s v="서비스"/>
    <s v="음식/조리"/>
    <s v="기타 프렌차이즈점"/>
    <s v="Video Player"/>
    <s v="모바일(대)도구/유틸리티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Video Player"/>
    <s v="모바일(대)도구/유틸리티(중)"/>
    <s v="m.app"/>
    <s v="애드몹"/>
    <s v="25"/>
    <s v="05"/>
    <s v="25.05.24"/>
    <s v="25.05.24"/>
    <n v="147"/>
  </r>
  <r>
    <s v="애드몹"/>
    <s v="리서치애드"/>
    <s v="혜인유통"/>
    <x v="5"/>
    <s v="서비스"/>
    <s v="음식/조리"/>
    <s v="기타 프렌차이즈점"/>
    <s v="바탕 화면"/>
    <s v="모바일(대)도구/유틸리티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바탕 화면"/>
    <s v="모바일(대)도구/유틸리티(중)"/>
    <s v="m.app"/>
    <s v="애드몹"/>
    <s v="25"/>
    <s v="05"/>
    <s v="25.05.23"/>
    <s v="25.05.24"/>
    <n v="294"/>
  </r>
  <r>
    <s v="애드몹"/>
    <s v="리서치애드"/>
    <s v="혜인유통"/>
    <x v="5"/>
    <s v="서비스"/>
    <s v="음식/조리"/>
    <s v="기타 프렌차이즈점"/>
    <s v="바탕 화면"/>
    <s v="모바일(대)도구/유틸리티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바탕 화면"/>
    <s v="모바일(대)도구/유틸리티(중)"/>
    <s v="m.app"/>
    <s v="애드몹"/>
    <s v="25"/>
    <s v="06"/>
    <s v="25.06.05"/>
    <s v="25.06.05"/>
    <n v="160"/>
  </r>
  <r>
    <s v="애드몹"/>
    <s v="리서치애드"/>
    <s v="혜인유통"/>
    <x v="5"/>
    <s v="서비스"/>
    <s v="음식/조리"/>
    <s v="기타 프렌차이즈점"/>
    <s v="Decision Roulette"/>
    <s v="모바일(대)엔터테인먼트(중)"/>
    <s v="m.app"/>
    <s v="애드몹"/>
    <s v="25"/>
    <s v="06"/>
    <s v="25.06.07"/>
    <s v="25.06.07"/>
    <n v="160"/>
  </r>
  <r>
    <s v="애드몹"/>
    <s v="리서치애드"/>
    <s v="혜인유통"/>
    <x v="5"/>
    <s v="서비스"/>
    <s v="음식/조리"/>
    <s v="기타 프렌차이즈점"/>
    <s v="염라대왕 체험하기"/>
    <s v="모바일(대)엔터테인먼트(중)"/>
    <s v="m.app"/>
    <s v="애드몹"/>
    <s v="25"/>
    <s v="05"/>
    <s v="25.05.12"/>
    <s v="25.05.18"/>
    <n v="1027"/>
  </r>
  <r>
    <s v="애드몹"/>
    <s v="리서치애드"/>
    <s v="혜인유통"/>
    <x v="5"/>
    <s v="서비스"/>
    <s v="음식/조리"/>
    <s v="기타 프렌차이즈점"/>
    <s v="염라대왕 체험하기"/>
    <s v="모바일(대)엔터테인먼트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6"/>
    <s v="25.06.14"/>
    <s v="25.06.15"/>
    <n v="320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6"/>
    <s v="25.06.15"/>
    <s v="25.06.15"/>
    <n v="160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6"/>
    <s v="25.06.20"/>
    <s v="25.06.22"/>
    <n v="480"/>
  </r>
  <r>
    <s v="애드몹"/>
    <s v="리서치애드"/>
    <s v="혜인유통"/>
    <x v="5"/>
    <s v="서비스"/>
    <s v="음식/조리"/>
    <s v="기타 프렌차이즈점"/>
    <s v="아이돌 짝맞추기"/>
    <s v="엔터테인먼트(대)게임(중)"/>
    <s v="m.app"/>
    <s v="애드몹"/>
    <s v="25"/>
    <s v="06"/>
    <s v="25.06.21"/>
    <s v="25.06.21"/>
    <n v="160"/>
  </r>
  <r>
    <s v="애드몹"/>
    <s v="리서치애드"/>
    <s v="혜인유통"/>
    <x v="5"/>
    <s v="서비스"/>
    <s v="음식/조리"/>
    <s v="기타 프렌차이즈점"/>
    <s v="사진속 귀신찾기"/>
    <s v="엔터테인먼트(대)게임(중)"/>
    <s v="m.app"/>
    <s v="애드몹"/>
    <s v="25"/>
    <s v="06"/>
    <s v="25.06.04"/>
    <s v="25.06.04"/>
    <n v="160"/>
  </r>
  <r>
    <s v="애드몹"/>
    <s v="리서치애드"/>
    <s v="혜인유통"/>
    <x v="5"/>
    <s v="서비스"/>
    <s v="음식/조리"/>
    <s v="기타 프렌차이즈점"/>
    <s v="기획사 체험하기"/>
    <s v="엔터테인먼트(대)게임(중)"/>
    <s v="m.app"/>
    <s v="애드몹"/>
    <s v="25"/>
    <s v="06"/>
    <s v="25.06.15"/>
    <s v="25.06.15"/>
    <n v="160"/>
  </r>
  <r>
    <s v="애드몹"/>
    <s v="리서치애드"/>
    <s v="혜인유통"/>
    <x v="5"/>
    <s v="서비스"/>
    <s v="음식/조리"/>
    <s v="기타 프렌차이즈점"/>
    <s v="기획사 체험하기"/>
    <s v="엔터테인먼트(대)게임(중)"/>
    <s v="m.app"/>
    <s v="애드몹"/>
    <s v="25"/>
    <s v="06"/>
    <s v="25.06.19"/>
    <s v="25.06.21"/>
    <n v="480"/>
  </r>
  <r>
    <s v="애드몹"/>
    <s v="리서치애드"/>
    <s v="혜인유통"/>
    <x v="5"/>
    <s v="서비스"/>
    <s v="음식/조리"/>
    <s v="기타 프렌차이즈점"/>
    <s v="TRUE대구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TRUE대구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TRUE순천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TRUE순천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TRUE순천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TRUE순천"/>
    <s v="생활정보(대)생활정보 기타(중)"/>
    <s v="m.app"/>
    <s v="애드몹"/>
    <s v="25"/>
    <s v="05"/>
    <s v="25.05.27"/>
    <s v="25.05.29"/>
    <n v="440"/>
  </r>
  <r>
    <s v="애드몹"/>
    <s v="리서치애드"/>
    <s v="혜인유통"/>
    <x v="5"/>
    <s v="서비스"/>
    <s v="음식/조리"/>
    <s v="기타 프렌차이즈점"/>
    <s v="TRUE부산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TRUE부산"/>
    <s v="생활정보(대)생활정보 기타(중)"/>
    <s v="m.app"/>
    <s v="애드몹"/>
    <s v="25"/>
    <s v="05"/>
    <s v="25.05.09"/>
    <s v="25.05.10"/>
    <n v="294"/>
  </r>
  <r>
    <s v="애드몹"/>
    <s v="리서치애드"/>
    <s v="혜인유통"/>
    <x v="5"/>
    <s v="서비스"/>
    <s v="음식/조리"/>
    <s v="기타 프렌차이즈점"/>
    <s v="TRUE부산"/>
    <s v="생활정보(대)생활정보 기타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TRUE부산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TRUE목포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TRUE목포"/>
    <s v="생활정보(대)생활정보 기타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TRUE목포"/>
    <s v="생활정보(대)생활정보 기타(중)"/>
    <s v="m.app"/>
    <s v="애드몹"/>
    <s v="25"/>
    <s v="05"/>
    <s v="25.05.15"/>
    <s v="25.05.16"/>
    <n v="294"/>
  </r>
  <r>
    <s v="애드몹"/>
    <s v="리서치애드"/>
    <s v="혜인유통"/>
    <x v="5"/>
    <s v="서비스"/>
    <s v="음식/조리"/>
    <s v="기타 프렌차이즈점"/>
    <s v="TRUE목포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TRUE목포"/>
    <s v="생활정보(대)생활정보 기타(중)"/>
    <s v="m.app"/>
    <s v="애드몹"/>
    <s v="25"/>
    <s v="05"/>
    <s v="25.05.25"/>
    <s v="25.05.25"/>
    <n v="147"/>
  </r>
  <r>
    <s v="애드몹"/>
    <s v="리서치애드"/>
    <s v="혜인유통"/>
    <x v="5"/>
    <s v="서비스"/>
    <s v="음식/조리"/>
    <s v="기타 프렌차이즈점"/>
    <s v="TRUE울산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TRUE울산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TRUE울산"/>
    <s v="생활정보(대)생활정보 기타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대구 등산로"/>
    <s v="모바일(대)라이프스타일(중)"/>
    <s v="m.app"/>
    <s v="애드몹"/>
    <s v="25"/>
    <s v="05"/>
    <s v="25.05.16"/>
    <s v="25.05.17"/>
    <n v="294"/>
  </r>
  <r>
    <s v="애드몹"/>
    <s v="리서치애드"/>
    <s v="혜인유통"/>
    <x v="5"/>
    <s v="서비스"/>
    <s v="음식/조리"/>
    <s v="기타 프렌차이즈점"/>
    <s v="대구 등산로"/>
    <s v="모바일(대)라이프스타일(중)"/>
    <s v="m.app"/>
    <s v="애드몹"/>
    <s v="25"/>
    <s v="05"/>
    <s v="25.05.22"/>
    <s v="25.05.23"/>
    <n v="294"/>
  </r>
  <r>
    <s v="애드몹"/>
    <s v="리서치애드"/>
    <s v="혜인유통"/>
    <x v="5"/>
    <s v="서비스"/>
    <s v="음식/조리"/>
    <s v="기타 프렌차이즈점"/>
    <s v="TRUE인천"/>
    <s v="생활정보(대)생활정보 기타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TRUE인천"/>
    <s v="생활정보(대)생활정보 기타(중)"/>
    <s v="m.app"/>
    <s v="애드몹"/>
    <s v="25"/>
    <s v="05"/>
    <s v="25.05.20"/>
    <s v="25.05.22"/>
    <n v="440"/>
  </r>
  <r>
    <s v="애드몹"/>
    <s v="리서치애드"/>
    <s v="혜인유통"/>
    <x v="5"/>
    <s v="서비스"/>
    <s v="음식/조리"/>
    <s v="기타 프렌차이즈점"/>
    <s v="보령에가면"/>
    <s v="생활정보(대)생활정보 기타(중)"/>
    <s v="m.app"/>
    <s v="애드몹"/>
    <s v="25"/>
    <s v="05"/>
    <s v="25.05.06"/>
    <s v="25.05.06"/>
    <n v="147"/>
  </r>
  <r>
    <s v="애드몹"/>
    <s v="리서치애드"/>
    <s v="혜인유통"/>
    <x v="5"/>
    <s v="서비스"/>
    <s v="음식/조리"/>
    <s v="기타 프렌차이즈점"/>
    <s v="보령에가면"/>
    <s v="생활정보(대)생활정보 기타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보령에가면"/>
    <s v="생활정보(대)생활정보 기타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보령에가면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보령에가면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보령에가면"/>
    <s v="생활정보(대)생활정보 기타(중)"/>
    <s v="m.app"/>
    <s v="애드몹"/>
    <s v="25"/>
    <s v="05"/>
    <s v="25.05.24"/>
    <s v="25.05.24"/>
    <n v="147"/>
  </r>
  <r>
    <s v="애드몹"/>
    <s v="리서치애드"/>
    <s v="혜인유통"/>
    <x v="5"/>
    <s v="서비스"/>
    <s v="음식/조리"/>
    <s v="기타 프렌차이즈점"/>
    <s v="TRUE 춘천"/>
    <s v="생활정보(대)생활정보 기타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TRUE전주"/>
    <s v="생활정보(대)생활정보 기타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TRUE전주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TRUE전주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TRUE통영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TRUE통영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TRUE통영"/>
    <s v="생활정보(대)생활정보 기타(중)"/>
    <s v="m.app"/>
    <s v="애드몹"/>
    <s v="25"/>
    <s v="05"/>
    <s v="25.05.25"/>
    <s v="25.05.25"/>
    <n v="147"/>
  </r>
  <r>
    <s v="애드몹"/>
    <s v="리서치애드"/>
    <s v="혜인유통"/>
    <x v="5"/>
    <s v="서비스"/>
    <s v="음식/조리"/>
    <s v="기타 프렌차이즈점"/>
    <s v="진주에가면"/>
    <s v="생활정보(대)생활정보 기타(중)"/>
    <s v="m.app"/>
    <s v="애드몹"/>
    <s v="25"/>
    <s v="05"/>
    <s v="25.05.12"/>
    <s v="25.05.17"/>
    <n v="881"/>
  </r>
  <r>
    <s v="애드몹"/>
    <s v="리서치애드"/>
    <s v="혜인유통"/>
    <x v="5"/>
    <s v="서비스"/>
    <s v="음식/조리"/>
    <s v="기타 프렌차이즈점"/>
    <s v="진주에가면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진주에가면"/>
    <s v="생활정보(대)생활정보 기타(중)"/>
    <s v="m.app"/>
    <s v="애드몹"/>
    <s v="25"/>
    <s v="05"/>
    <s v="25.05.20"/>
    <s v="25.05.21"/>
    <n v="294"/>
  </r>
  <r>
    <s v="애드몹"/>
    <s v="리서치애드"/>
    <s v="혜인유통"/>
    <x v="5"/>
    <s v="서비스"/>
    <s v="음식/조리"/>
    <s v="기타 프렌차이즈점"/>
    <s v="진주에가면"/>
    <s v="생활정보(대)생활정보 기타(중)"/>
    <s v="m.app"/>
    <s v="애드몹"/>
    <s v="25"/>
    <s v="05"/>
    <s v="25.05.25"/>
    <s v="25.05.25"/>
    <n v="147"/>
  </r>
  <r>
    <s v="애드몹"/>
    <s v="리서치애드"/>
    <s v="혜인유통"/>
    <x v="5"/>
    <s v="서비스"/>
    <s v="음식/조리"/>
    <s v="기타 프렌차이즈점"/>
    <s v="진주에가면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TRUE포항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TRUE포항"/>
    <s v="생활정보(대)생활정보 기타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TRUE포항"/>
    <s v="생활정보(대)생활정보 기타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TRUE포항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TRUE속초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TRUE속초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TRUE속초"/>
    <s v="생활정보(대)생활정보 기타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TRUE속초"/>
    <s v="생활정보(대)생활정보 기타(중)"/>
    <s v="m.app"/>
    <s v="애드몹"/>
    <s v="25"/>
    <s v="05"/>
    <s v="25.05.27"/>
    <s v="25.05.27"/>
    <n v="147"/>
  </r>
  <r>
    <s v="애드몹"/>
    <s v="리서치애드"/>
    <s v="혜인유통"/>
    <x v="5"/>
    <s v="서비스"/>
    <s v="음식/조리"/>
    <s v="기타 프렌차이즈점"/>
    <s v="TRUE속초"/>
    <s v="생활정보(대)생활정보 기타(중)"/>
    <s v="m.app"/>
    <s v="애드몹"/>
    <s v="25"/>
    <s v="05"/>
    <s v="25.05.28"/>
    <s v="25.05.28"/>
    <n v="147"/>
  </r>
  <r>
    <s v="애드몹"/>
    <s v="리서치애드"/>
    <s v="혜인유통"/>
    <x v="5"/>
    <s v="서비스"/>
    <s v="음식/조리"/>
    <s v="기타 프렌차이즈점"/>
    <s v="충청남도 등산로"/>
    <s v="모바일(대)라이프스타일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충청남도 등산로"/>
    <s v="모바일(대)라이프스타일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충청남도 등산로"/>
    <s v="모바일(대)라이프스타일(중)"/>
    <s v="m.app"/>
    <s v="애드몹"/>
    <s v="25"/>
    <s v="05"/>
    <s v="25.05.21"/>
    <s v="25.05.21"/>
    <n v="147"/>
  </r>
  <r>
    <s v="애드몹"/>
    <s v="리서치애드"/>
    <s v="혜인유통"/>
    <x v="5"/>
    <s v="서비스"/>
    <s v="음식/조리"/>
    <s v="기타 프렌차이즈점"/>
    <s v="충청남도 등산로"/>
    <s v="모바일(대)라이프스타일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TRUE창원"/>
    <s v="생활정보(대)생활정보 기타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TRUE창원"/>
    <s v="생활정보(대)생활정보 기타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TRUE천안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TRUE천안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TRUE천안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TRUE제주"/>
    <s v="생활정보(대)생활정보 기타(중)"/>
    <s v="m.app"/>
    <s v="애드몹"/>
    <s v="25"/>
    <s v="05"/>
    <s v="25.05.01"/>
    <s v="25.05.02"/>
    <n v="294"/>
  </r>
  <r>
    <s v="애드몹"/>
    <s v="리서치애드"/>
    <s v="혜인유통"/>
    <x v="5"/>
    <s v="서비스"/>
    <s v="음식/조리"/>
    <s v="기타 프렌차이즈점"/>
    <s v="TRUE제주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TRUE제주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TRUE제주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TRUE경주"/>
    <s v="생활정보(대)생활정보 기타(중)"/>
    <s v="m.app"/>
    <s v="애드몹"/>
    <s v="25"/>
    <s v="05"/>
    <s v="25.05.16"/>
    <s v="25.05.17"/>
    <n v="294"/>
  </r>
  <r>
    <s v="애드몹"/>
    <s v="리서치애드"/>
    <s v="혜인유통"/>
    <x v="5"/>
    <s v="서비스"/>
    <s v="음식/조리"/>
    <s v="기타 프렌차이즈점"/>
    <s v="TRUE경주"/>
    <s v="생활정보(대)생활정보 기타(중)"/>
    <s v="m.app"/>
    <s v="애드몹"/>
    <s v="25"/>
    <s v="05"/>
    <s v="25.05.21"/>
    <s v="25.05.22"/>
    <n v="294"/>
  </r>
  <r>
    <s v="애드몹"/>
    <s v="리서치애드"/>
    <s v="혜인유통"/>
    <x v="5"/>
    <s v="서비스"/>
    <s v="음식/조리"/>
    <s v="기타 프렌차이즈점"/>
    <s v="TRUE경주"/>
    <s v="생활정보(대)생활정보 기타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12"/>
    <s v="25.05.17"/>
    <n v="881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14"/>
    <s v="25.05.18"/>
    <n v="734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19"/>
    <s v="25.05.23"/>
    <n v="734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25"/>
    <s v="25.05.25"/>
    <n v="147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27"/>
    <s v="25.05.27"/>
    <n v="147"/>
  </r>
  <r>
    <s v="애드몹"/>
    <s v="리서치애드"/>
    <s v="혜인유통"/>
    <x v="5"/>
    <s v="서비스"/>
    <s v="음식/조리"/>
    <s v="기타 프렌차이즈점"/>
    <s v="AllTourmap"/>
    <s v="생활정보(대)생활정보 기타(중)"/>
    <s v="m.app"/>
    <s v="애드몹"/>
    <s v="25"/>
    <s v="05"/>
    <s v="25.05.28"/>
    <s v="25.05.28"/>
    <n v="147"/>
  </r>
  <r>
    <s v="애드몹"/>
    <s v="리서치애드"/>
    <s v="혜인유통"/>
    <x v="5"/>
    <s v="서비스"/>
    <s v="음식/조리"/>
    <s v="기타 프렌차이즈점"/>
    <s v="TRUE대전"/>
    <s v="생활정보(대)생활정보 기타(중)"/>
    <s v="m.app"/>
    <s v="애드몹"/>
    <s v="25"/>
    <s v="05"/>
    <s v="25.05.22"/>
    <s v="25.05.24"/>
    <n v="440"/>
  </r>
  <r>
    <s v="애드몹"/>
    <s v="리서치애드"/>
    <s v="혜인유통"/>
    <x v="5"/>
    <s v="서비스"/>
    <s v="음식/조리"/>
    <s v="기타 프렌차이즈점"/>
    <s v="TRUE대전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TRUE대전"/>
    <s v="생활정보(대)생활정보 기타(중)"/>
    <s v="m.app"/>
    <s v="애드몹"/>
    <s v="25"/>
    <s v="06"/>
    <s v="25.06.04"/>
    <s v="25.06.04"/>
    <n v="160"/>
  </r>
  <r>
    <s v="애드몹"/>
    <s v="리서치애드"/>
    <s v="혜인유통"/>
    <x v="5"/>
    <s v="서비스"/>
    <s v="음식/조리"/>
    <s v="기타 프렌차이즈점"/>
    <s v="TRUE여행"/>
    <s v="생활정보(대)생활정보 기타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TRUE여행"/>
    <s v="생활정보(대)생활정보 기타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TRUE여행"/>
    <s v="생활정보(대)생활정보 기타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TRUE여행"/>
    <s v="생활정보(대)생활정보 기타(중)"/>
    <s v="m.app"/>
    <s v="애드몹"/>
    <s v="25"/>
    <s v="05"/>
    <s v="25.05.12"/>
    <s v="25.05.13"/>
    <n v="294"/>
  </r>
  <r>
    <s v="애드몹"/>
    <s v="리서치애드"/>
    <s v="혜인유통"/>
    <x v="5"/>
    <s v="서비스"/>
    <s v="음식/조리"/>
    <s v="기타 프렌차이즈점"/>
    <s v="TRUE여행"/>
    <s v="생활정보(대)생활정보 기타(중)"/>
    <s v="m.app"/>
    <s v="애드몹"/>
    <s v="25"/>
    <s v="05"/>
    <s v="25.05.25"/>
    <s v="25.05.25"/>
    <n v="147"/>
  </r>
  <r>
    <s v="애드몹"/>
    <s v="리서치애드"/>
    <s v="혜인유통"/>
    <x v="5"/>
    <s v="서비스"/>
    <s v="음식/조리"/>
    <s v="기타 프렌차이즈점"/>
    <s v="거제에가면"/>
    <s v="생활정보(대)생활정보 기타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거제에가면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거제에가면"/>
    <s v="생활정보(대)생활정보 기타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거제에가면"/>
    <s v="생활정보(대)생활정보 기타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거제에가면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전주에가면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전주에가면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전주에가면"/>
    <s v="생활정보(대)생활정보 기타(중)"/>
    <s v="m.app"/>
    <s v="애드몹"/>
    <s v="25"/>
    <s v="05"/>
    <s v="25.05.13"/>
    <s v="25.05.16"/>
    <n v="587"/>
  </r>
  <r>
    <s v="애드몹"/>
    <s v="리서치애드"/>
    <s v="혜인유통"/>
    <x v="5"/>
    <s v="서비스"/>
    <s v="음식/조리"/>
    <s v="기타 프렌차이즈점"/>
    <s v="전주에가면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전주에가면"/>
    <s v="생활정보(대)생활정보 기타(중)"/>
    <s v="m.app"/>
    <s v="애드몹"/>
    <s v="25"/>
    <s v="05"/>
    <s v="25.05.19"/>
    <s v="25.05.24"/>
    <n v="881"/>
  </r>
  <r>
    <s v="애드몹"/>
    <s v="리서치애드"/>
    <s v="혜인유통"/>
    <x v="5"/>
    <s v="서비스"/>
    <s v="음식/조리"/>
    <s v="기타 프렌차이즈점"/>
    <s v="전주에가면"/>
    <s v="생활정보(대)생활정보 기타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03"/>
    <s v="25.05.03"/>
    <n v="147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05"/>
    <s v="25.05.05"/>
    <n v="147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08"/>
    <s v="25.05.09"/>
    <n v="294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12"/>
    <s v="25.05.17"/>
    <n v="881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13"/>
    <s v="25.05.13"/>
    <n v="147"/>
  </r>
  <r>
    <s v="애드몹"/>
    <s v="리서치애드"/>
    <s v="혜인유통"/>
    <x v="5"/>
    <s v="서비스"/>
    <s v="음식/조리"/>
    <s v="기타 프렌차이즈점"/>
    <s v="경주에가면"/>
    <s v="생활정보(대)생활정보 기타(중)"/>
    <s v="m.app"/>
    <s v="애드몹"/>
    <s v="25"/>
    <s v="05"/>
    <s v="25.05.19"/>
    <s v="25.05.22"/>
    <n v="587"/>
  </r>
  <r>
    <s v="애드몹"/>
    <s v="리서치애드"/>
    <s v="혜인유통"/>
    <x v="5"/>
    <s v="서비스"/>
    <s v="음식/조리"/>
    <s v="기타 프렌차이즈점"/>
    <s v="부산시 등산로"/>
    <s v="엔터테인먼트(대)스포츠/레포츠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서울 등산로"/>
    <s v="엔터테인먼트(대)스포츠/레포츠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서울 등산로"/>
    <s v="엔터테인먼트(대)스포츠/레포츠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서울 등산로"/>
    <s v="엔터테인먼트(대)스포츠/레포츠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서울 등산로"/>
    <s v="엔터테인먼트(대)스포츠/레포츠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울산 등산로"/>
    <s v="엔터테인먼트(대)스포츠/레포츠(중)"/>
    <s v="m.app"/>
    <s v="애드몹"/>
    <s v="25"/>
    <s v="05"/>
    <s v="25.05.08"/>
    <s v="25.05.11"/>
    <n v="587"/>
  </r>
  <r>
    <s v="애드몹"/>
    <s v="리서치애드"/>
    <s v="혜인유통"/>
    <x v="5"/>
    <s v="서비스"/>
    <s v="음식/조리"/>
    <s v="기타 프렌차이즈점"/>
    <s v="울산 등산로"/>
    <s v="엔터테인먼트(대)스포츠/레포츠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울산 등산로"/>
    <s v="엔터테인먼트(대)스포츠/레포츠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울산 등산로"/>
    <s v="엔터테인먼트(대)스포츠/레포츠(중)"/>
    <s v="m.app"/>
    <s v="애드몹"/>
    <s v="25"/>
    <s v="06"/>
    <s v="25.06.09"/>
    <s v="25.06.09"/>
    <n v="160"/>
  </r>
  <r>
    <s v="애드몹"/>
    <s v="리서치애드"/>
    <s v="혜인유통"/>
    <x v="5"/>
    <s v="서비스"/>
    <s v="음식/조리"/>
    <s v="기타 프렌차이즈점"/>
    <s v="제주 등산로"/>
    <s v="엔터테인먼트(대)스포츠/레포츠(중)"/>
    <s v="m.app"/>
    <s v="애드몹"/>
    <s v="25"/>
    <s v="05"/>
    <s v="25.05.10"/>
    <s v="25.05.11"/>
    <n v="294"/>
  </r>
  <r>
    <s v="애드몹"/>
    <s v="리서치애드"/>
    <s v="혜인유통"/>
    <x v="5"/>
    <s v="서비스"/>
    <s v="음식/조리"/>
    <s v="기타 프렌차이즈점"/>
    <s v="광주 등산로"/>
    <s v="엔터테인먼트(대)스포츠/레포츠(중)"/>
    <s v="m.app"/>
    <s v="애드몹"/>
    <s v="25"/>
    <s v="05"/>
    <s v="25.05.08"/>
    <s v="25.05.09"/>
    <n v="294"/>
  </r>
  <r>
    <s v="애드몹"/>
    <s v="리서치애드"/>
    <s v="혜인유통"/>
    <x v="5"/>
    <s v="서비스"/>
    <s v="음식/조리"/>
    <s v="기타 프렌차이즈점"/>
    <s v="광주 등산로"/>
    <s v="엔터테인먼트(대)스포츠/레포츠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광주 등산로"/>
    <s v="엔터테인먼트(대)스포츠/레포츠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경상북도 등산로"/>
    <s v="엔터테인먼트(대)스포츠/레포츠(중)"/>
    <s v="m.app"/>
    <s v="애드몹"/>
    <s v="25"/>
    <s v="05"/>
    <s v="25.05.05"/>
    <s v="25.05.05"/>
    <n v="147"/>
  </r>
  <r>
    <s v="애드몹"/>
    <s v="리서치애드"/>
    <s v="혜인유통"/>
    <x v="5"/>
    <s v="서비스"/>
    <s v="음식/조리"/>
    <s v="기타 프렌차이즈점"/>
    <s v="경상북도 등산로"/>
    <s v="엔터테인먼트(대)스포츠/레포츠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경상북도 등산로"/>
    <s v="엔터테인먼트(대)스포츠/레포츠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경상북도 등산로"/>
    <s v="엔터테인먼트(대)스포츠/레포츠(중)"/>
    <s v="m.app"/>
    <s v="애드몹"/>
    <s v="25"/>
    <s v="05"/>
    <s v="25.05.13"/>
    <s v="25.05.13"/>
    <n v="147"/>
  </r>
  <r>
    <s v="애드몹"/>
    <s v="리서치애드"/>
    <s v="혜인유통"/>
    <x v="5"/>
    <s v="서비스"/>
    <s v="음식/조리"/>
    <s v="기타 프렌차이즈점"/>
    <s v="경상북도 등산로"/>
    <s v="엔터테인먼트(대)스포츠/레포츠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경상북도 등산로"/>
    <s v="엔터테인먼트(대)스포츠/레포츠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경기도 등산로"/>
    <s v="엔터테인먼트(대)스포츠/레포츠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경기도 등산로"/>
    <s v="엔터테인먼트(대)스포츠/레포츠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경기도 등산로"/>
    <s v="엔터테인먼트(대)스포츠/레포츠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대전 등산로"/>
    <s v="엔터테인먼트(대)스포츠/레포츠(중)"/>
    <s v="m.app"/>
    <s v="애드몹"/>
    <s v="25"/>
    <s v="05"/>
    <s v="25.05.21"/>
    <s v="25.05.23"/>
    <n v="440"/>
  </r>
  <r>
    <s v="애드몹"/>
    <s v="리서치애드"/>
    <s v="혜인유통"/>
    <x v="5"/>
    <s v="서비스"/>
    <s v="음식/조리"/>
    <s v="기타 프렌차이즈점"/>
    <s v="경상남도 등산로"/>
    <s v="엔터테인먼트(대)스포츠/레포츠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경상남도 등산로"/>
    <s v="엔터테인먼트(대)스포츠/레포츠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경상남도 등산로"/>
    <s v="엔터테인먼트(대)스포츠/레포츠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충청북도 등산로"/>
    <s v="엔터테인먼트(대)스포츠/레포츠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충청북도 등산로"/>
    <s v="엔터테인먼트(대)스포츠/레포츠(중)"/>
    <s v="m.app"/>
    <s v="애드몹"/>
    <s v="25"/>
    <s v="05"/>
    <s v="25.05.21"/>
    <s v="25.05.23"/>
    <n v="440"/>
  </r>
  <r>
    <s v="애드몹"/>
    <s v="리서치애드"/>
    <s v="혜인유통"/>
    <x v="5"/>
    <s v="서비스"/>
    <s v="음식/조리"/>
    <s v="기타 프렌차이즈점"/>
    <s v="인천 등산로"/>
    <s v="엔터테인먼트(대)스포츠/레포츠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인천 등산로"/>
    <s v="엔터테인먼트(대)스포츠/레포츠(중)"/>
    <s v="m.app"/>
    <s v="애드몹"/>
    <s v="25"/>
    <s v="05"/>
    <s v="25.05.10"/>
    <s v="25.05.11"/>
    <n v="294"/>
  </r>
  <r>
    <s v="애드몹"/>
    <s v="리서치애드"/>
    <s v="혜인유통"/>
    <x v="5"/>
    <s v="서비스"/>
    <s v="음식/조리"/>
    <s v="기타 프렌차이즈점"/>
    <s v="인천 등산로"/>
    <s v="엔터테인먼트(대)스포츠/레포츠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13"/>
    <s v="25.05.14"/>
    <n v="294"/>
  </r>
  <r>
    <s v="애드몹"/>
    <s v="리서치애드"/>
    <s v="혜인유통"/>
    <x v="5"/>
    <s v="서비스"/>
    <s v="음식/조리"/>
    <s v="기타 프렌차이즈점"/>
    <s v="전라북도 등산로"/>
    <s v="엔터테인먼트(대)스포츠/레포츠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전라남도 등산로"/>
    <s v="엔터테인먼트(대)스포츠/레포츠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전라남도 등산로"/>
    <s v="엔터테인먼트(대)스포츠/레포츠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전라남도 등산로"/>
    <s v="엔터테인먼트(대)스포츠/레포츠(중)"/>
    <s v="m.app"/>
    <s v="애드몹"/>
    <s v="25"/>
    <s v="05"/>
    <s v="25.05.21"/>
    <s v="25.05.21"/>
    <n v="147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5"/>
    <s v="25.05.22"/>
    <s v="25.05.24"/>
    <n v="440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6"/>
    <s v="25.06.07"/>
    <s v="25.06.07"/>
    <n v="160"/>
  </r>
  <r>
    <s v="애드몹"/>
    <s v="리서치애드"/>
    <s v="혜인유통"/>
    <x v="5"/>
    <s v="서비스"/>
    <s v="음식/조리"/>
    <s v="기타 프렌차이즈점"/>
    <s v="전국여성안심택배함 정보"/>
    <s v="모바일(대)라이프스타일(중)"/>
    <s v="m.app"/>
    <s v="애드몹"/>
    <s v="25"/>
    <s v="06"/>
    <s v="25.06.11"/>
    <s v="25.06.11"/>
    <n v="160"/>
  </r>
  <r>
    <s v="애드몹"/>
    <s v="리서치애드"/>
    <s v="혜인유통"/>
    <x v="5"/>
    <s v="서비스"/>
    <s v="음식/조리"/>
    <s v="기타 프렌차이즈점"/>
    <s v="갈맷길에가면"/>
    <s v="생활정보(대)생활정보 기타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갈맷길에가면"/>
    <s v="생활정보(대)생활정보 기타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갈맷길에가면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갈맷길에가면"/>
    <s v="생활정보(대)생활정보 기타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Voice Recorder"/>
    <s v="모바일(대)도구/유틸리티(중)"/>
    <s v="m.app"/>
    <s v="애드몹"/>
    <s v="25"/>
    <s v="05"/>
    <s v="25.05.07"/>
    <s v="25.05.07"/>
    <n v="294"/>
  </r>
  <r>
    <s v="애드몹"/>
    <s v="리서치애드"/>
    <s v="혜인유통"/>
    <x v="5"/>
    <s v="서비스"/>
    <s v="음식/조리"/>
    <s v="기타 프렌차이즈점"/>
    <s v="Voice Recorder"/>
    <s v="모바일(대)도구/유틸리티(중)"/>
    <s v="m.app"/>
    <s v="애드몹"/>
    <s v="25"/>
    <s v="05"/>
    <s v="25.05.08"/>
    <s v="25.05.09"/>
    <n v="294"/>
  </r>
  <r>
    <s v="애드몹"/>
    <s v="리서치애드"/>
    <s v="혜인유통"/>
    <x v="5"/>
    <s v="서비스"/>
    <s v="음식/조리"/>
    <s v="기타 프렌차이즈점"/>
    <s v="Voice Recorder"/>
    <s v="모바일(대)도구/유틸리티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Voice Recorder"/>
    <s v="모바일(대)도구/유틸리티(중)"/>
    <s v="m.app"/>
    <s v="애드몹"/>
    <s v="25"/>
    <s v="05"/>
    <s v="25.05.15"/>
    <s v="25.05.17"/>
    <n v="440"/>
  </r>
  <r>
    <s v="애드몹"/>
    <s v="리서치애드"/>
    <s v="혜인유통"/>
    <x v="5"/>
    <s v="서비스"/>
    <s v="음식/조리"/>
    <s v="기타 프렌차이즈점"/>
    <s v="Voice Recorder"/>
    <s v="모바일(대)도구/유틸리티(중)"/>
    <s v="m.app"/>
    <s v="애드몹"/>
    <s v="25"/>
    <s v="05"/>
    <s v="25.05.20"/>
    <s v="25.05.22"/>
    <n v="440"/>
  </r>
  <r>
    <s v="애드몹"/>
    <s v="리서치애드"/>
    <s v="혜인유통"/>
    <x v="5"/>
    <s v="서비스"/>
    <s v="음식/조리"/>
    <s v="기타 프렌차이즈점"/>
    <s v="Floor is Lava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냥방망이 - 고양이 장난감"/>
    <s v="엔터테인먼트(대)게임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냥방망이 - 고양이 장난감"/>
    <s v="엔터테인먼트(대)게임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냥방망이 - 고양이 장난감"/>
    <s v="엔터테인먼트(대)게임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냥방망이 - 고양이 장난감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농촌다움여행정보"/>
    <s v="생활정보(대)생활정보 기타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농촌다움여행정보"/>
    <s v="생활정보(대)생활정보 기타(중)"/>
    <s v="m.app"/>
    <s v="애드몹"/>
    <s v="25"/>
    <s v="05"/>
    <s v="25.05.12"/>
    <s v="25.05.15"/>
    <n v="587"/>
  </r>
  <r>
    <s v="애드몹"/>
    <s v="리서치애드"/>
    <s v="혜인유통"/>
    <x v="5"/>
    <s v="서비스"/>
    <s v="음식/조리"/>
    <s v="기타 프렌차이즈점"/>
    <s v="농촌다움여행정보"/>
    <s v="생활정보(대)생활정보 기타(중)"/>
    <s v="m.app"/>
    <s v="애드몹"/>
    <s v="25"/>
    <s v="05"/>
    <s v="25.05.13"/>
    <s v="25.05.17"/>
    <n v="734"/>
  </r>
  <r>
    <s v="애드몹"/>
    <s v="리서치애드"/>
    <s v="혜인유통"/>
    <x v="5"/>
    <s v="서비스"/>
    <s v="음식/조리"/>
    <s v="기타 프렌차이즈점"/>
    <s v="농촌다움여행정보"/>
    <s v="생활정보(대)생활정보 기타(중)"/>
    <s v="m.app"/>
    <s v="애드몹"/>
    <s v="25"/>
    <s v="05"/>
    <s v="25.05.23"/>
    <s v="25.05.23"/>
    <n v="147"/>
  </r>
  <r>
    <s v="애드몹"/>
    <s v="리서치애드"/>
    <s v="혜인유통"/>
    <x v="5"/>
    <s v="서비스"/>
    <s v="음식/조리"/>
    <s v="기타 프렌차이즈점"/>
    <s v="등산로날씨지도"/>
    <s v="엔터테인먼트(대)스포츠/레포츠(중)"/>
    <s v="m.app"/>
    <s v="애드몹"/>
    <s v="25"/>
    <s v="05"/>
    <s v="25.05.14"/>
    <s v="25.05.17"/>
    <n v="587"/>
  </r>
  <r>
    <s v="애드몹"/>
    <s v="리서치애드"/>
    <s v="혜인유통"/>
    <x v="5"/>
    <s v="서비스"/>
    <s v="음식/조리"/>
    <s v="기타 프렌차이즈점"/>
    <s v="등산로날씨지도"/>
    <s v="엔터테인먼트(대)스포츠/레포츠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등산로날씨지도"/>
    <s v="엔터테인먼트(대)스포츠/레포츠(중)"/>
    <s v="m.app"/>
    <s v="애드몹"/>
    <s v="25"/>
    <s v="05"/>
    <s v="25.05.20"/>
    <s v="25.05.22"/>
    <n v="440"/>
  </r>
  <r>
    <s v="애드몹"/>
    <s v="리서치애드"/>
    <s v="혜인유통"/>
    <x v="5"/>
    <s v="서비스"/>
    <s v="음식/조리"/>
    <s v="기타 프렌차이즈점"/>
    <s v="등산로날씨지도"/>
    <s v="엔터테인먼트(대)스포츠/레포츠(중)"/>
    <s v="m.app"/>
    <s v="애드몹"/>
    <s v="25"/>
    <s v="05"/>
    <s v="25.05.21"/>
    <s v="25.05.25"/>
    <n v="734"/>
  </r>
  <r>
    <s v="애드몹"/>
    <s v="리서치애드"/>
    <s v="혜인유통"/>
    <x v="5"/>
    <s v="서비스"/>
    <s v="음식/조리"/>
    <s v="기타 프렌차이즈점"/>
    <s v="보조금24 신청가이드"/>
    <s v="금융/비즈니스(대)금융정보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전국교육(체험)농장정보"/>
    <s v="생활정보(대)생활정보 기타(중)"/>
    <s v="m.app"/>
    <s v="애드몹"/>
    <s v="25"/>
    <s v="05"/>
    <s v="25.05.15"/>
    <s v="25.05.17"/>
    <n v="440"/>
  </r>
  <r>
    <s v="애드몹"/>
    <s v="리서치애드"/>
    <s v="혜인유통"/>
    <x v="5"/>
    <s v="서비스"/>
    <s v="음식/조리"/>
    <s v="기타 프렌차이즈점"/>
    <s v="전국교육(체험)농장정보"/>
    <s v="생활정보(대)생활정보 기타(중)"/>
    <s v="m.app"/>
    <s v="애드몹"/>
    <s v="25"/>
    <s v="05"/>
    <s v="25.05.21"/>
    <s v="25.05.23"/>
    <n v="440"/>
  </r>
  <r>
    <s v="애드몹"/>
    <s v="리서치애드"/>
    <s v="혜인유통"/>
    <x v="5"/>
    <s v="서비스"/>
    <s v="음식/조리"/>
    <s v="기타 프렌차이즈점"/>
    <s v="전국교육(체험)농장정보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오늘의 운세"/>
    <s v="엔터테인먼트(대)엔터테인먼트 기타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오늘의 운세"/>
    <s v="엔터테인먼트(대)엔터테인먼트 기타(중)"/>
    <s v="m.app"/>
    <s v="애드몹"/>
    <s v="25"/>
    <s v="05"/>
    <s v="25.05.12"/>
    <s v="25.05.12"/>
    <n v="147"/>
  </r>
  <r>
    <s v="애드몹"/>
    <s v="리서치애드"/>
    <s v="혜인유통"/>
    <x v="5"/>
    <s v="서비스"/>
    <s v="음식/조리"/>
    <s v="기타 프렌차이즈점"/>
    <s v="오늘의 운세"/>
    <s v="엔터테인먼트(대)엔터테인먼트 기타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오늘의 운세"/>
    <s v="엔터테인먼트(대)엔터테인먼트 기타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광주에가면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광주에가면"/>
    <s v="생활정보(대)생활정보 기타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광주에가면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광주에가면"/>
    <s v="생활정보(대)생활정보 기타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광주에가면"/>
    <s v="생활정보(대)생활정보 기타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광주에가면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곡성에가면"/>
    <s v="생활정보(대)생활정보 기타(중)"/>
    <s v="m.app"/>
    <s v="애드몹"/>
    <s v="25"/>
    <s v="05"/>
    <s v="25.05.14"/>
    <s v="25.05.15"/>
    <n v="294"/>
  </r>
  <r>
    <s v="애드몹"/>
    <s v="리서치애드"/>
    <s v="혜인유통"/>
    <x v="5"/>
    <s v="서비스"/>
    <s v="음식/조리"/>
    <s v="기타 프렌차이즈점"/>
    <s v="곡성에가면"/>
    <s v="생활정보(대)생활정보 기타(중)"/>
    <s v="m.app"/>
    <s v="애드몹"/>
    <s v="25"/>
    <s v="05"/>
    <s v="25.05.16"/>
    <s v="25.05.17"/>
    <n v="294"/>
  </r>
  <r>
    <s v="애드몹"/>
    <s v="리서치애드"/>
    <s v="혜인유통"/>
    <x v="5"/>
    <s v="서비스"/>
    <s v="음식/조리"/>
    <s v="기타 프렌차이즈점"/>
    <s v="곡성에가면"/>
    <s v="생활정보(대)생활정보 기타(중)"/>
    <s v="m.app"/>
    <s v="애드몹"/>
    <s v="25"/>
    <s v="05"/>
    <s v="25.05.19"/>
    <s v="25.05.21"/>
    <n v="440"/>
  </r>
  <r>
    <s v="애드몹"/>
    <s v="리서치애드"/>
    <s v="혜인유통"/>
    <x v="5"/>
    <s v="서비스"/>
    <s v="음식/조리"/>
    <s v="기타 프렌차이즈점"/>
    <s v="전국모범음식점정보"/>
    <s v="생활정보(대)요리/외식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전국모범음식점정보"/>
    <s v="생활정보(대)요리/외식(중)"/>
    <s v="m.app"/>
    <s v="애드몹"/>
    <s v="25"/>
    <s v="05"/>
    <s v="25.05.21"/>
    <s v="25.05.23"/>
    <n v="440"/>
  </r>
  <r>
    <s v="애드몹"/>
    <s v="리서치애드"/>
    <s v="혜인유통"/>
    <x v="5"/>
    <s v="서비스"/>
    <s v="음식/조리"/>
    <s v="기타 프렌차이즈점"/>
    <s v="경산에가면"/>
    <s v="생활정보(대)생활정보 기타(중)"/>
    <s v="m.app"/>
    <s v="애드몹"/>
    <s v="25"/>
    <s v="05"/>
    <s v="25.05.15"/>
    <s v="25.05.15"/>
    <n v="147"/>
  </r>
  <r>
    <s v="애드몹"/>
    <s v="리서치애드"/>
    <s v="혜인유통"/>
    <x v="5"/>
    <s v="서비스"/>
    <s v="음식/조리"/>
    <s v="기타 프렌차이즈점"/>
    <s v="경산에가면"/>
    <s v="생활정보(대)생활정보 기타(중)"/>
    <s v="m.app"/>
    <s v="애드몹"/>
    <s v="25"/>
    <s v="05"/>
    <s v="25.05.16"/>
    <s v="25.05.18"/>
    <n v="440"/>
  </r>
  <r>
    <s v="애드몹"/>
    <s v="리서치애드"/>
    <s v="혜인유통"/>
    <x v="5"/>
    <s v="서비스"/>
    <s v="음식/조리"/>
    <s v="기타 프렌차이즈점"/>
    <s v="경산에가면"/>
    <s v="생활정보(대)생활정보 기타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경산에가면"/>
    <s v="생활정보(대)생활정보 기타(중)"/>
    <s v="m.app"/>
    <s v="애드몹"/>
    <s v="25"/>
    <s v="05"/>
    <s v="25.05.20"/>
    <s v="25.05.25"/>
    <n v="881"/>
  </r>
  <r>
    <s v="애드몹"/>
    <s v="리서치애드"/>
    <s v="혜인유통"/>
    <x v="5"/>
    <s v="서비스"/>
    <s v="음식/조리"/>
    <s v="기타 프렌차이즈점"/>
    <s v="제주에가면"/>
    <s v="생활정보(대)생활정보 기타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제주에가면"/>
    <s v="생활정보(대)생활정보 기타(중)"/>
    <s v="m.app"/>
    <s v="애드몹"/>
    <s v="25"/>
    <s v="05"/>
    <s v="25.05.16"/>
    <s v="25.05.17"/>
    <n v="294"/>
  </r>
  <r>
    <s v="애드몹"/>
    <s v="리서치애드"/>
    <s v="혜인유통"/>
    <x v="5"/>
    <s v="서비스"/>
    <s v="음식/조리"/>
    <s v="기타 프렌차이즈점"/>
    <s v="제주에가면"/>
    <s v="생활정보(대)생활정보 기타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제주에가면"/>
    <s v="생활정보(대)생활정보 기타(중)"/>
    <s v="m.app"/>
    <s v="애드몹"/>
    <s v="25"/>
    <s v="05"/>
    <s v="25.05.20"/>
    <s v="25.05.21"/>
    <n v="294"/>
  </r>
  <r>
    <s v="애드몹"/>
    <s v="리서치애드"/>
    <s v="혜인유통"/>
    <x v="5"/>
    <s v="서비스"/>
    <s v="음식/조리"/>
    <s v="기타 프렌차이즈점"/>
    <s v="제주에가면"/>
    <s v="생활정보(대)생활정보 기타(중)"/>
    <s v="m.app"/>
    <s v="애드몹"/>
    <s v="25"/>
    <s v="05"/>
    <s v="25.05.22"/>
    <s v="25.05.23"/>
    <n v="294"/>
  </r>
  <r>
    <s v="애드몹"/>
    <s v="리서치애드"/>
    <s v="혜인유통"/>
    <x v="5"/>
    <s v="서비스"/>
    <s v="음식/조리"/>
    <s v="기타 프렌차이즈점"/>
    <s v="문장가"/>
    <s v="생활정보(대)미용/패션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문장가"/>
    <s v="생활정보(대)미용/패션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문장가"/>
    <s v="생활정보(대)미용/패션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문장가"/>
    <s v="생활정보(대)미용/패션(중)"/>
    <s v="m.app"/>
    <s v="애드몹"/>
    <s v="25"/>
    <s v="06"/>
    <s v="25.06.09"/>
    <s v="25.06.09"/>
    <n v="160"/>
  </r>
  <r>
    <s v="애드몹"/>
    <s v="리서치애드"/>
    <s v="혜인유통"/>
    <x v="5"/>
    <s v="서비스"/>
    <s v="음식/조리"/>
    <s v="기타 프렌차이즈점"/>
    <s v="하루5분 베트남어 생활회화"/>
    <s v="생활정보(대)생활정보 기타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하루5분 베트남어 생활회화"/>
    <s v="생활정보(대)생활정보 기타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하루5분 베트남어 생활회화"/>
    <s v="생활정보(대)생활정보 기타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하루5분 베트남어 생활회화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전국 렌트카업체 정보"/>
    <s v="생활정보(대)교통/날씨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전국 렌트카업체 정보"/>
    <s v="생활정보(대)교통/날씨(중)"/>
    <s v="m.app"/>
    <s v="애드몹"/>
    <s v="25"/>
    <s v="05"/>
    <s v="25.05.24"/>
    <s v="25.05.24"/>
    <n v="147"/>
  </r>
  <r>
    <s v="애드몹"/>
    <s v="리서치애드"/>
    <s v="혜인유통"/>
    <x v="5"/>
    <s v="서비스"/>
    <s v="음식/조리"/>
    <s v="기타 프렌차이즈점"/>
    <s v="전국 렌트카업체 정보"/>
    <s v="생활정보(대)교통/날씨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01"/>
    <s v="25.05.01"/>
    <n v="147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04"/>
    <s v="25.05.04"/>
    <n v="147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12"/>
    <s v="25.05.16"/>
    <n v="734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13"/>
    <s v="25.05.14"/>
    <n v="294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20"/>
    <s v="25.05.22"/>
    <n v="440"/>
  </r>
  <r>
    <s v="애드몹"/>
    <s v="리서치애드"/>
    <s v="혜인유통"/>
    <x v="5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21"/>
    <s v="25.05.21"/>
    <n v="147"/>
  </r>
  <r>
    <s v="애드몹"/>
    <s v="리서치애드"/>
    <s v="혜인유통"/>
    <x v="5"/>
    <s v="서비스"/>
    <s v="음식/조리"/>
    <s v="기타 프렌차이즈점"/>
    <s v="약초와 나물 백과사전"/>
    <s v="모바일(대)라이프스타일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약초와 나물 백과사전"/>
    <s v="모바일(대)라이프스타일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약초와 나물 백과사전"/>
    <s v="모바일(대)라이프스타일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PDF 리더기 - Hi Read"/>
    <s v="모바일(대)도구/유틸리티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PDF 리더기 - Hi Read"/>
    <s v="모바일(대)도구/유틸리티(중)"/>
    <s v="m.app"/>
    <s v="애드몹"/>
    <s v="25"/>
    <s v="05"/>
    <s v="25.05.03"/>
    <s v="25.05.03"/>
    <n v="147"/>
  </r>
  <r>
    <s v="애드몹"/>
    <s v="리서치애드"/>
    <s v="혜인유통"/>
    <x v="5"/>
    <s v="서비스"/>
    <s v="음식/조리"/>
    <s v="기타 프렌차이즈점"/>
    <s v="PDF 리더기 - Hi Read"/>
    <s v="모바일(대)도구/유틸리티(중)"/>
    <s v="m.app"/>
    <s v="애드몹"/>
    <s v="25"/>
    <s v="05"/>
    <s v="25.05.06"/>
    <s v="25.05.06"/>
    <n v="147"/>
  </r>
  <r>
    <s v="애드몹"/>
    <s v="리서치애드"/>
    <s v="혜인유통"/>
    <x v="5"/>
    <s v="서비스"/>
    <s v="음식/조리"/>
    <s v="기타 프렌차이즈점"/>
    <s v="PDF 리더기 - Hi Read"/>
    <s v="모바일(대)도구/유틸리티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PDF 리더기 - Hi Read"/>
    <s v="모바일(대)도구/유틸리티(중)"/>
    <s v="m.app"/>
    <s v="애드몹"/>
    <s v="25"/>
    <s v="05"/>
    <s v="25.05.21"/>
    <s v="25.05.21"/>
    <n v="147"/>
  </r>
  <r>
    <s v="애드몹"/>
    <s v="리서치애드"/>
    <s v="혜인유통"/>
    <x v="5"/>
    <s v="서비스"/>
    <s v="음식/조리"/>
    <s v="기타 프렌차이즈점"/>
    <s v="PDF 리더기 - Hi Read"/>
    <s v="모바일(대)도구/유틸리티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증상별 약초와 효능"/>
    <s v="모바일(대)라이프스타일(중)"/>
    <s v="m.app"/>
    <s v="애드몹"/>
    <s v="25"/>
    <s v="05"/>
    <s v="25.05.13"/>
    <s v="25.05.13"/>
    <n v="147"/>
  </r>
  <r>
    <s v="애드몹"/>
    <s v="리서치애드"/>
    <s v="혜인유통"/>
    <x v="5"/>
    <s v="서비스"/>
    <s v="음식/조리"/>
    <s v="기타 프렌차이즈점"/>
    <s v="증상별 약초와 효능"/>
    <s v="모바일(대)라이프스타일(중)"/>
    <s v="m.app"/>
    <s v="애드몹"/>
    <s v="25"/>
    <s v="05"/>
    <s v="25.05.23"/>
    <s v="25.05.25"/>
    <n v="440"/>
  </r>
  <r>
    <s v="애드몹"/>
    <s v="리서치애드"/>
    <s v="혜인유통"/>
    <x v="5"/>
    <s v="서비스"/>
    <s v="음식/조리"/>
    <s v="기타 프렌차이즈점"/>
    <s v="낱말퀴즈"/>
    <s v="모바일(대)엔터테인먼트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Speed Alarm"/>
    <s v="모바일(대)도구/유틸리티(중)"/>
    <s v="m.app"/>
    <s v="애드몹"/>
    <s v="25"/>
    <s v="02"/>
    <s v="25.02.14"/>
    <s v="25.02.15"/>
    <n v="257"/>
  </r>
  <r>
    <s v="애드몹"/>
    <s v="리서치애드"/>
    <s v="혜인유통"/>
    <x v="5"/>
    <s v="서비스"/>
    <s v="음식/조리"/>
    <s v="기타 프렌차이즈점"/>
    <s v="여행 영어"/>
    <s v="모바일(대)라이프스타일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여행 영어"/>
    <s v="모바일(대)라이프스타일(중)"/>
    <s v="m.app"/>
    <s v="애드몹"/>
    <s v="25"/>
    <s v="05"/>
    <s v="25.05.06"/>
    <s v="25.05.08"/>
    <n v="440"/>
  </r>
  <r>
    <s v="애드몹"/>
    <s v="리서치애드"/>
    <s v="혜인유통"/>
    <x v="5"/>
    <s v="서비스"/>
    <s v="음식/조리"/>
    <s v="기타 프렌차이즈점"/>
    <s v="Kungfu Ragdoll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Super Jabber Jump"/>
    <s v="엔터테인먼트(대)게임(중)"/>
    <s v="m.app"/>
    <s v="애드몹"/>
    <s v="25"/>
    <s v="01"/>
    <s v="25.01.30"/>
    <s v="25.01.30"/>
    <n v="93"/>
  </r>
  <r>
    <s v="애드몹"/>
    <s v="리서치애드"/>
    <s v="혜인유통"/>
    <x v="5"/>
    <s v="서비스"/>
    <s v="음식/조리"/>
    <s v="기타 프렌차이즈점"/>
    <s v="Super Jabber Jump"/>
    <s v="엔터테인먼트(대)게임(중)"/>
    <s v="m.app"/>
    <s v="애드몹"/>
    <s v="25"/>
    <s v="05"/>
    <s v="25.05.10"/>
    <s v="25.05.10"/>
    <n v="147"/>
  </r>
  <r>
    <s v="애드몹"/>
    <s v="리서치애드"/>
    <s v="혜인유통"/>
    <x v="5"/>
    <s v="서비스"/>
    <s v="음식/조리"/>
    <s v="기타 프렌차이즈점"/>
    <s v="Super Jabber Jump 3"/>
    <s v="엔터테인먼트(대)게임(중)"/>
    <s v="m.app"/>
    <s v="애드몹"/>
    <s v="25"/>
    <s v="01"/>
    <s v="25.01.25"/>
    <s v="25.01.25"/>
    <n v="93"/>
  </r>
  <r>
    <s v="애드몹"/>
    <s v="리서치애드"/>
    <s v="혜인유통"/>
    <x v="5"/>
    <s v="서비스"/>
    <s v="음식/조리"/>
    <s v="기타 프렌차이즈점"/>
    <s v="Super Jabber Jump 3"/>
    <s v="엔터테인먼트(대)게임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Super Jabber Jump 3"/>
    <s v="엔터테인먼트(대)게임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Super Jabber Jump 3"/>
    <s v="엔터테인먼트(대)게임(중)"/>
    <s v="m.app"/>
    <s v="애드몹"/>
    <s v="25"/>
    <s v="05"/>
    <s v="25.05.14"/>
    <s v="25.05.18"/>
    <n v="734"/>
  </r>
  <r>
    <s v="애드몹"/>
    <s v="리서치애드"/>
    <s v="혜인유통"/>
    <x v="5"/>
    <s v="서비스"/>
    <s v="음식/조리"/>
    <s v="기타 프렌차이즈점"/>
    <s v="Super Jabber Jump 3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07"/>
    <s v="25.05.07"/>
    <n v="147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15"/>
    <s v="25.05.16"/>
    <n v="294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22"/>
    <s v="25.05.24"/>
    <n v="440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25"/>
    <s v="25.05.25"/>
    <n v="147"/>
  </r>
  <r>
    <s v="애드몹"/>
    <s v="리서치애드"/>
    <s v="혜인유통"/>
    <x v="5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충북에가면"/>
    <s v="생활정보(대)생활정보 기타(중)"/>
    <s v="m.app"/>
    <s v="애드몹"/>
    <s v="25"/>
    <s v="05"/>
    <s v="25.05.03"/>
    <s v="25.05.03"/>
    <n v="147"/>
  </r>
  <r>
    <s v="애드몹"/>
    <s v="리서치애드"/>
    <s v="혜인유통"/>
    <x v="5"/>
    <s v="서비스"/>
    <s v="음식/조리"/>
    <s v="기타 프렌차이즈점"/>
    <s v="충북에가면"/>
    <s v="생활정보(대)생활정보 기타(중)"/>
    <s v="m.app"/>
    <s v="애드몹"/>
    <s v="25"/>
    <s v="05"/>
    <s v="25.05.09"/>
    <s v="25.05.09"/>
    <n v="147"/>
  </r>
  <r>
    <s v="애드몹"/>
    <s v="리서치애드"/>
    <s v="혜인유통"/>
    <x v="5"/>
    <s v="서비스"/>
    <s v="음식/조리"/>
    <s v="기타 프렌차이즈점"/>
    <s v="충북에가면"/>
    <s v="생활정보(대)생활정보 기타(중)"/>
    <s v="m.app"/>
    <s v="애드몹"/>
    <s v="25"/>
    <s v="05"/>
    <s v="25.05.14"/>
    <s v="25.05.17"/>
    <n v="587"/>
  </r>
  <r>
    <s v="애드몹"/>
    <s v="리서치애드"/>
    <s v="혜인유통"/>
    <x v="5"/>
    <s v="서비스"/>
    <s v="음식/조리"/>
    <s v="기타 프렌차이즈점"/>
    <s v="충북에가면"/>
    <s v="생활정보(대)생활정보 기타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충북에가면"/>
    <s v="생활정보(대)생활정보 기타(중)"/>
    <s v="m.app"/>
    <s v="애드몹"/>
    <s v="25"/>
    <s v="05"/>
    <s v="25.05.20"/>
    <s v="25.05.24"/>
    <n v="734"/>
  </r>
  <r>
    <s v="애드몹"/>
    <s v="리서치애드"/>
    <s v="혜인유통"/>
    <x v="5"/>
    <s v="서비스"/>
    <s v="음식/조리"/>
    <s v="기타 프렌차이즈점"/>
    <s v="충북에가면"/>
    <s v="생활정보(대)생활정보 기타(중)"/>
    <s v="m.app"/>
    <s v="애드몹"/>
    <s v="25"/>
    <s v="05"/>
    <s v="25.05.30"/>
    <s v="25.05.30"/>
    <n v="147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01"/>
    <s v="25.05.03"/>
    <n v="440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04"/>
    <s v="25.05.04"/>
    <n v="147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07"/>
    <s v="25.05.08"/>
    <n v="294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14"/>
    <s v="25.05.14"/>
    <n v="147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20"/>
    <s v="25.05.24"/>
    <n v="734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21"/>
    <s v="25.05.23"/>
    <n v="440"/>
  </r>
  <r>
    <s v="애드몹"/>
    <s v="리서치애드"/>
    <s v="혜인유통"/>
    <x v="5"/>
    <s v="서비스"/>
    <s v="음식/조리"/>
    <s v="기타 프렌차이즈점"/>
    <s v="춘천에가면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05"/>
    <s v="25.05.05"/>
    <n v="14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08"/>
    <s v="25.05.11"/>
    <n v="58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12"/>
    <s v="25.05.15"/>
    <n v="58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16"/>
    <s v="25.05.16"/>
    <n v="14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백두대간 산 정보"/>
    <s v="엔터테인먼트(대)스포츠/레포츠(중)"/>
    <s v="m.app"/>
    <s v="애드몹"/>
    <s v="25"/>
    <s v="05"/>
    <s v="25.05.20"/>
    <s v="25.05.20"/>
    <n v="147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02"/>
    <s v="25.05.02"/>
    <n v="147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08"/>
    <s v="25.05.08"/>
    <n v="147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11"/>
    <s v="25.05.11"/>
    <n v="147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12"/>
    <s v="25.05.15"/>
    <n v="587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16"/>
    <s v="25.05.17"/>
    <n v="294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19"/>
    <s v="25.05.21"/>
    <n v="440"/>
  </r>
  <r>
    <s v="애드몹"/>
    <s v="리서치애드"/>
    <s v="혜인유통"/>
    <x v="5"/>
    <s v="서비스"/>
    <s v="음식/조리"/>
    <s v="기타 프렌차이즈점"/>
    <s v="대전에가면"/>
    <s v="생활정보(대)생활정보 기타(중)"/>
    <s v="m.app"/>
    <s v="애드몹"/>
    <s v="25"/>
    <s v="05"/>
    <s v="25.05.22"/>
    <s v="25.05.23"/>
    <n v="294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5"/>
    <s v="25.05.07"/>
    <s v="25.05.08"/>
    <n v="294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5"/>
    <s v="25.05.12"/>
    <s v="25.05.15"/>
    <n v="587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5"/>
    <s v="25.05.19"/>
    <s v="25.05.19"/>
    <n v="147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전남에가면"/>
    <s v="생활정보(대)생활정보 기타(중)"/>
    <s v="m.app"/>
    <s v="애드몹"/>
    <s v="25"/>
    <s v="06"/>
    <s v="25.06.11"/>
    <s v="25.06.11"/>
    <n v="160"/>
  </r>
  <r>
    <s v="애드몹"/>
    <s v="리서치애드"/>
    <s v="혜인유통"/>
    <x v="5"/>
    <s v="서비스"/>
    <s v="음식/조리"/>
    <s v="기타 프렌차이즈점"/>
    <s v="Assistive Touch"/>
    <s v="모바일(대)도구/유틸리티(중)"/>
    <s v="m.app"/>
    <s v="애드몹"/>
    <s v="25"/>
    <s v="05"/>
    <s v="25.05.07"/>
    <s v="25.05.10"/>
    <n v="587"/>
  </r>
  <r>
    <s v="애드몹"/>
    <s v="리서치애드"/>
    <s v="혜인유통"/>
    <x v="5"/>
    <s v="서비스"/>
    <s v="음식/조리"/>
    <s v="기타 프렌차이즈점"/>
    <s v="Assistive Touch"/>
    <s v="모바일(대)도구/유틸리티(중)"/>
    <s v="m.app"/>
    <s v="애드몹"/>
    <s v="25"/>
    <s v="06"/>
    <s v="25.06.14"/>
    <s v="25.06.14"/>
    <n v="160"/>
  </r>
  <r>
    <s v="애드몹"/>
    <s v="리서치애드"/>
    <s v="혜인유통"/>
    <x v="5"/>
    <s v="서비스"/>
    <s v="음식/조리"/>
    <s v="기타 프렌차이즈점"/>
    <s v="철강무게 계산기"/>
    <s v="모바일(대)도구/유틸리티(중)"/>
    <s v="m.app"/>
    <s v="애드몹"/>
    <s v="25"/>
    <s v="06"/>
    <s v="25.06.10"/>
    <s v="25.06.15"/>
    <n v="960"/>
  </r>
  <r>
    <s v="애드몹"/>
    <s v="리서치애드"/>
    <s v="혜인유통"/>
    <x v="5"/>
    <s v="서비스"/>
    <s v="음식/조리"/>
    <s v="기타 프렌차이즈점"/>
    <s v="철강무게 계산기"/>
    <s v="모바일(대)도구/유틸리티(중)"/>
    <s v="m.app"/>
    <s v="애드몹"/>
    <s v="25"/>
    <s v="06"/>
    <s v="25.06.11"/>
    <s v="25.06.15"/>
    <n v="800"/>
  </r>
  <r>
    <s v="애드몹"/>
    <s v="리서치애드"/>
    <s v="혜인유통"/>
    <x v="5"/>
    <s v="서비스"/>
    <s v="음식/조리"/>
    <s v="기타 프렌차이즈점"/>
    <s v="철강무게 계산기"/>
    <s v="모바일(대)도구/유틸리티(중)"/>
    <s v="m.app"/>
    <s v="애드몹"/>
    <s v="25"/>
    <s v="06"/>
    <s v="25.06.16"/>
    <s v="25.06.18"/>
    <n v="480"/>
  </r>
  <r>
    <s v="애드몹"/>
    <s v="리서치애드"/>
    <s v="혜인유통"/>
    <x v="5"/>
    <s v="서비스"/>
    <s v="음식/조리"/>
    <s v="기타 프렌차이즈점"/>
    <s v="철강무게 계산기"/>
    <s v="모바일(대)도구/유틸리티(중)"/>
    <s v="m.app"/>
    <s v="애드몹"/>
    <s v="25"/>
    <s v="06"/>
    <s v="25.06.21"/>
    <s v="25.06.22"/>
    <n v="320"/>
  </r>
  <r>
    <s v="애드몹"/>
    <s v="리서치애드"/>
    <s v="혜인유통"/>
    <x v="5"/>
    <s v="서비스"/>
    <s v="음식/조리"/>
    <s v="기타 프렌차이즈점"/>
    <s v="토킹톰 히어로 대시"/>
    <s v="엔터테인먼트(대)게임(중)"/>
    <s v="m.app"/>
    <s v="애드몹"/>
    <s v="25"/>
    <s v="05"/>
    <s v="25.05.26"/>
    <s v="25.05.26"/>
    <n v="147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5"/>
    <s v="25.05.16"/>
    <s v="25.05.18"/>
    <n v="440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5"/>
    <s v="25.05.19"/>
    <s v="25.05.25"/>
    <n v="1027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5"/>
    <s v="25.05.27"/>
    <s v="25.05.31"/>
    <n v="734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6"/>
    <s v="25.06.07"/>
    <s v="25.06.07"/>
    <n v="320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6"/>
    <s v="25.06.12"/>
    <s v="25.06.12"/>
    <n v="160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6"/>
    <s v="25.06.12"/>
    <s v="25.06.13"/>
    <n v="320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6"/>
    <s v="25.06.12"/>
    <s v="25.06.15"/>
    <n v="640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6"/>
    <s v="25.06.16"/>
    <s v="25.06.17"/>
    <n v="320"/>
  </r>
  <r>
    <s v="애드몹"/>
    <s v="리서치애드"/>
    <s v="혜인유통"/>
    <x v="5"/>
    <s v="서비스"/>
    <s v="음식/조리"/>
    <s v="기타 프렌차이즈점"/>
    <s v="음료수 퀴즈"/>
    <s v="엔터테인먼트(대)게임(중)"/>
    <s v="m.app"/>
    <s v="애드몹"/>
    <s v="25"/>
    <s v="06"/>
    <s v="25.06.21"/>
    <s v="25.06.21"/>
    <n v="16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5"/>
    <s v="25.05.17"/>
    <s v="25.05.17"/>
    <n v="147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5"/>
    <s v="25.05.18"/>
    <s v="25.05.18"/>
    <n v="147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5"/>
    <s v="25.05.20"/>
    <s v="25.05.23"/>
    <n v="587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5"/>
    <s v="25.05.22"/>
    <s v="25.05.22"/>
    <n v="147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5"/>
    <s v="25.05.31"/>
    <s v="25.05.31"/>
    <n v="147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01"/>
    <s v="25.06.01"/>
    <n v="16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07"/>
    <s v="25.06.08"/>
    <n v="32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08"/>
    <s v="25.06.08"/>
    <n v="16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09"/>
    <s v="25.06.13"/>
    <n v="80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10"/>
    <s v="25.06.13"/>
    <n v="64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18"/>
    <s v="25.06.21"/>
    <n v="64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20"/>
    <s v="25.06.22"/>
    <n v="480"/>
  </r>
  <r>
    <s v="애드몹"/>
    <s v="리서치애드"/>
    <s v="혜인유통"/>
    <x v="5"/>
    <s v="서비스"/>
    <s v="음식/조리"/>
    <s v="기타 프렌차이즈점"/>
    <s v="편의점 퀴즈"/>
    <s v="엔터테인먼트(대)게임(중)"/>
    <s v="m.app"/>
    <s v="애드몹"/>
    <s v="25"/>
    <s v="06"/>
    <s v="25.06.23"/>
    <s v="25.06.28"/>
    <n v="960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1"/>
    <s v="25.01.10"/>
    <s v="25.01.10"/>
    <n v="745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5"/>
    <s v="25.05.09"/>
    <s v="25.05.09"/>
    <n v="881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5"/>
    <s v="25.05.11"/>
    <s v="25.05.11"/>
    <n v="881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5"/>
    <s v="25.05.22"/>
    <s v="25.05.22"/>
    <n v="881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5"/>
    <s v="25.05.23"/>
    <s v="25.05.23"/>
    <n v="881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6"/>
    <s v="25.06.04"/>
    <s v="25.06.04"/>
    <n v="881"/>
  </r>
  <r>
    <s v="카카오광고"/>
    <s v="리서치애드"/>
    <s v="제너시스"/>
    <x v="26"/>
    <s v="서비스"/>
    <s v="음식/조리"/>
    <s v="기타 프렌차이즈점"/>
    <s v="daum.net"/>
    <s v="포털(대)포털(중)"/>
    <s v="m.web"/>
    <s v="카카오광고"/>
    <s v="25"/>
    <s v="06"/>
    <s v="25.06.22"/>
    <s v="25.06.22"/>
    <n v="881"/>
  </r>
  <r>
    <s v="애드몹"/>
    <s v="리서치애드"/>
    <s v="제너시스"/>
    <x v="26"/>
    <s v="서비스"/>
    <s v="음식/조리"/>
    <s v="기타 프렌차이즈점"/>
    <s v="chosun.com"/>
    <s v="신문/잡지(대)종합일간지(중)"/>
    <s v="m.web"/>
    <s v="애드몹"/>
    <s v="25"/>
    <s v="02"/>
    <s v="25.02.10"/>
    <s v="25.02.10"/>
    <n v="220"/>
  </r>
  <r>
    <s v="모비온"/>
    <s v="리서치애드"/>
    <s v="제너시스"/>
    <x v="26"/>
    <s v="서비스"/>
    <s v="음식/조리"/>
    <s v="기타 프렌차이즈점"/>
    <s v="sportsseoul.com"/>
    <s v="신문/잡지(대)스포츠신문(중)"/>
    <s v="m.web"/>
    <s v="모비온"/>
    <s v="25"/>
    <s v="01"/>
    <s v="25.01.06"/>
    <s v="25.01.06"/>
    <n v="2530"/>
  </r>
  <r>
    <s v="애드몹"/>
    <s v="리서치애드"/>
    <s v="제너시스"/>
    <x v="26"/>
    <s v="서비스"/>
    <s v="음식/조리"/>
    <s v="기타 프렌차이즈점"/>
    <s v="donga.com"/>
    <s v="신문/잡지(대)종합일간지(중)"/>
    <s v="m.web"/>
    <s v="애드몹"/>
    <s v="25"/>
    <s v="01"/>
    <s v="25.01.09"/>
    <s v="25.01.10"/>
    <n v="318"/>
  </r>
  <r>
    <s v="애드몹"/>
    <s v="리서치애드"/>
    <s v="제너시스"/>
    <x v="26"/>
    <s v="서비스"/>
    <s v="음식/조리"/>
    <s v="기타 프렌차이즈점"/>
    <s v="donga.com"/>
    <s v="신문/잡지(대)종합일간지(중)"/>
    <s v="m.web"/>
    <s v="애드몹"/>
    <s v="25"/>
    <s v="01"/>
    <s v="25.01.10"/>
    <s v="25.01.10"/>
    <n v="159"/>
  </r>
  <r>
    <s v="애드몹"/>
    <s v="리서치애드"/>
    <s v="제너시스"/>
    <x v="26"/>
    <s v="서비스"/>
    <s v="음식/조리"/>
    <s v="기타 프렌차이즈점"/>
    <s v="donga.com"/>
    <s v="신문/잡지(대)종합일간지(중)"/>
    <s v="m.web"/>
    <s v="애드몹"/>
    <s v="25"/>
    <s v="01"/>
    <s v="25.01.15"/>
    <s v="25.01.15"/>
    <n v="159"/>
  </r>
  <r>
    <s v="애드몹"/>
    <s v="리서치애드"/>
    <s v="제너시스"/>
    <x v="26"/>
    <s v="서비스"/>
    <s v="음식/조리"/>
    <s v="기타 프렌차이즈점"/>
    <s v="donga.com"/>
    <s v="신문/잡지(대)종합일간지(중)"/>
    <s v="m.web"/>
    <s v="애드몹"/>
    <s v="25"/>
    <s v="02"/>
    <s v="25.02.05"/>
    <s v="25.02.05"/>
    <n v="440"/>
  </r>
  <r>
    <s v="애드몹"/>
    <s v="리서치애드"/>
    <s v="제너시스"/>
    <x v="26"/>
    <s v="서비스"/>
    <s v="음식/조리"/>
    <s v="기타 프렌차이즈점"/>
    <s v="donga.com"/>
    <s v="신문/잡지(대)종합일간지(중)"/>
    <s v="m.web"/>
    <s v="애드몹"/>
    <s v="25"/>
    <s v="02"/>
    <s v="25.02.12"/>
    <s v="25.02.12"/>
    <n v="220"/>
  </r>
  <r>
    <s v="애드몹"/>
    <s v="리서치애드"/>
    <s v="제너시스"/>
    <x v="26"/>
    <s v="서비스"/>
    <s v="음식/조리"/>
    <s v="기타 프렌차이즈점"/>
    <s v="donga.com"/>
    <s v="신문/잡지(대)종합일간지(중)"/>
    <s v="m.web"/>
    <s v="애드몹"/>
    <s v="25"/>
    <s v="02"/>
    <s v="25.02.13"/>
    <s v="25.02.16"/>
    <n v="879"/>
  </r>
  <r>
    <s v="애드몹"/>
    <s v="리서치애드"/>
    <s v="제너시스"/>
    <x v="26"/>
    <s v="서비스"/>
    <s v="음식/조리"/>
    <s v="기타 프렌차이즈점"/>
    <s v="hankooki.com"/>
    <s v="신문/잡지(대)종합일간지(중)"/>
    <s v="m.web"/>
    <s v="애드몹"/>
    <s v="25"/>
    <s v="01"/>
    <s v="25.01.03"/>
    <s v="25.01.03"/>
    <n v="159"/>
  </r>
  <r>
    <s v="애드몹"/>
    <s v="리서치애드"/>
    <s v="제너시스"/>
    <x v="26"/>
    <s v="서비스"/>
    <s v="음식/조리"/>
    <s v="기타 프렌차이즈점"/>
    <s v="hankooki.com"/>
    <s v="신문/잡지(대)종합일간지(중)"/>
    <s v="m.web"/>
    <s v="애드몹"/>
    <s v="25"/>
    <s v="01"/>
    <s v="25.01.05"/>
    <s v="25.01.05"/>
    <n v="477"/>
  </r>
  <r>
    <s v="애드몹"/>
    <s v="리서치애드"/>
    <s v="제너시스"/>
    <x v="26"/>
    <s v="서비스"/>
    <s v="음식/조리"/>
    <s v="기타 프렌차이즈점"/>
    <s v="hani.co.kr"/>
    <s v="신문/잡지(대)종합일간지(중)"/>
    <s v="m.web"/>
    <s v="애드몹"/>
    <s v="25"/>
    <s v="01"/>
    <s v="25.01.27"/>
    <s v="25.01.27"/>
    <n v="159"/>
  </r>
  <r>
    <s v="애드몹"/>
    <s v="리서치애드"/>
    <s v="제너시스"/>
    <x v="26"/>
    <s v="서비스"/>
    <s v="음식/조리"/>
    <s v="기타 프렌차이즈점"/>
    <s v="hani.co.kr"/>
    <s v="신문/잡지(대)종합일간지(중)"/>
    <s v="m.web"/>
    <s v="애드몹"/>
    <s v="25"/>
    <s v="02"/>
    <s v="25.02.14"/>
    <s v="25.02.14"/>
    <n v="220"/>
  </r>
  <r>
    <s v="애드몹"/>
    <s v="리서치애드"/>
    <s v="제너시스"/>
    <x v="26"/>
    <s v="서비스"/>
    <s v="음식/조리"/>
    <s v="기타 프렌차이즈점"/>
    <s v="mk.co.kr"/>
    <s v="신문/잡지(대)경제신문(중)"/>
    <s v="m.web"/>
    <s v="애드몹"/>
    <s v="25"/>
    <s v="01"/>
    <s v="25.01.01"/>
    <s v="25.01.01"/>
    <n v="159"/>
  </r>
  <r>
    <s v="애드몹"/>
    <s v="리서치애드"/>
    <s v="제너시스"/>
    <x v="26"/>
    <s v="서비스"/>
    <s v="음식/조리"/>
    <s v="기타 프렌차이즈점"/>
    <s v="hankyung.com"/>
    <s v="신문/잡지(대)경제신문(중)"/>
    <s v="m.web"/>
    <s v="애드몹"/>
    <s v="25"/>
    <s v="01"/>
    <s v="25.01.25"/>
    <s v="25.01.25"/>
    <n v="159"/>
  </r>
  <r>
    <s v="애드몹"/>
    <s v="리서치애드"/>
    <s v="제너시스"/>
    <x v="26"/>
    <s v="서비스"/>
    <s v="음식/조리"/>
    <s v="기타 프렌차이즈점"/>
    <s v="hankyung.com"/>
    <s v="신문/잡지(대)경제신문(중)"/>
    <s v="m.web"/>
    <s v="애드몹"/>
    <s v="25"/>
    <s v="01"/>
    <s v="25.01.29"/>
    <s v="25.01.29"/>
    <n v="159"/>
  </r>
  <r>
    <s v="애드몹"/>
    <s v="리서치애드"/>
    <s v="제너시스"/>
    <x v="26"/>
    <s v="서비스"/>
    <s v="음식/조리"/>
    <s v="기타 프렌차이즈점"/>
    <s v="pressian.com"/>
    <s v="신문/잡지(대)온라인뉴스(중)"/>
    <s v="m.web"/>
    <s v="애드몹"/>
    <s v="25"/>
    <s v="02"/>
    <s v="25.02.01"/>
    <s v="25.02.01"/>
    <n v="220"/>
  </r>
  <r>
    <s v="애드몹"/>
    <s v="리서치애드"/>
    <s v="제너시스"/>
    <x v="26"/>
    <s v="서비스"/>
    <s v="음식/조리"/>
    <s v="기타 프렌차이즈점"/>
    <s v="pressian.com"/>
    <s v="신문/잡지(대)온라인뉴스(중)"/>
    <s v="m.web"/>
    <s v="애드몹"/>
    <s v="25"/>
    <s v="06"/>
    <s v="25.06.17"/>
    <s v="25.06.17"/>
    <n v="274"/>
  </r>
  <r>
    <s v="애드몹"/>
    <s v="리서치애드"/>
    <s v="제너시스"/>
    <x v="26"/>
    <s v="서비스"/>
    <s v="음식/조리"/>
    <s v="기타 프렌차이즈점"/>
    <s v="fnnews.com"/>
    <s v="신문/잡지(대)경제신문(중)"/>
    <s v="m.web"/>
    <s v="애드몹"/>
    <s v="25"/>
    <s v="01"/>
    <s v="25.01.01"/>
    <s v="25.01.01"/>
    <n v="159"/>
  </r>
  <r>
    <s v="애드몹"/>
    <s v="리서치애드"/>
    <s v="제너시스"/>
    <x v="26"/>
    <s v="서비스"/>
    <s v="음식/조리"/>
    <s v="기타 프렌차이즈점"/>
    <s v="kmib.co.kr"/>
    <s v="신문/잡지(대)종합일간지(중)"/>
    <s v="m.web"/>
    <s v="애드몹"/>
    <s v="25"/>
    <s v="02"/>
    <s v="25.02.13"/>
    <s v="25.02.13"/>
    <n v="209"/>
  </r>
  <r>
    <s v="애드몹"/>
    <s v="리서치애드"/>
    <s v="제너시스"/>
    <x v="26"/>
    <s v="서비스"/>
    <s v="음식/조리"/>
    <s v="기타 프렌차이즈점"/>
    <s v="inews24.com"/>
    <s v="신문/잡지(대)IT관련 뉴스(중)"/>
    <s v="m.web"/>
    <s v="애드몹"/>
    <s v="25"/>
    <s v="01"/>
    <s v="25.01.09"/>
    <s v="25.01.09"/>
    <n v="159"/>
  </r>
  <r>
    <s v="애드몹"/>
    <s v="리서치애드"/>
    <s v="제너시스"/>
    <x v="26"/>
    <s v="서비스"/>
    <s v="음식/조리"/>
    <s v="기타 프렌차이즈점"/>
    <s v="inews24.com"/>
    <s v="신문/잡지(대)IT관련 뉴스(중)"/>
    <s v="m.web"/>
    <s v="애드몹"/>
    <s v="25"/>
    <s v="02"/>
    <s v="25.02.15"/>
    <s v="25.02.15"/>
    <n v="220"/>
  </r>
  <r>
    <s v="애드몹"/>
    <s v="리서치애드"/>
    <s v="제너시스"/>
    <x v="26"/>
    <s v="서비스"/>
    <s v="음식/조리"/>
    <s v="기타 프렌차이즈점"/>
    <s v="dt.co.kr"/>
    <s v="신문/잡지(대)IT관련 뉴스(중)"/>
    <s v="m.web"/>
    <s v="애드몹"/>
    <s v="25"/>
    <s v="01"/>
    <s v="25.01.02"/>
    <s v="25.01.05"/>
    <n v="1262"/>
  </r>
  <r>
    <s v="애드몹"/>
    <s v="리서치애드"/>
    <s v="제너시스"/>
    <x v="26"/>
    <s v="서비스"/>
    <s v="음식/조리"/>
    <s v="기타 프렌차이즈점"/>
    <s v="zum.com"/>
    <s v="포털(대)포털(중)"/>
    <s v="m.web"/>
    <s v="애드몹"/>
    <s v="25"/>
    <s v="01"/>
    <s v="25.01.25"/>
    <s v="25.01.25"/>
    <n v="316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1"/>
    <s v="25.01.06"/>
    <s v="25.01.06"/>
    <n v="5895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2"/>
    <s v="25.02.01"/>
    <s v="25.02.01"/>
    <n v="5895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2"/>
    <s v="25.02.05"/>
    <s v="25.02.06"/>
    <n v="11790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2"/>
    <s v="25.02.12"/>
    <s v="25.02.12"/>
    <n v="5895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2"/>
    <s v="25.02.17"/>
    <s v="25.02.17"/>
    <n v="5895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2"/>
    <s v="25.02.24"/>
    <s v="25.02.24"/>
    <n v="5895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3"/>
    <s v="25.03.16"/>
    <s v="25.03.16"/>
    <n v="6933"/>
  </r>
  <r>
    <s v="카카오광고"/>
    <s v="리서치애드"/>
    <s v="제너시스"/>
    <x v="26"/>
    <s v="서비스"/>
    <s v="음식/조리"/>
    <s v="기타 프렌차이즈점"/>
    <s v="카카오톡"/>
    <s v="커뮤니케이션(대)채팅/메신저(중)"/>
    <s v="m.app"/>
    <s v="카카오광고"/>
    <s v="25"/>
    <s v="05"/>
    <s v="25.05.16"/>
    <s v="25.05.16"/>
    <n v="8193"/>
  </r>
  <r>
    <s v="카카오광고"/>
    <s v="리서치애드"/>
    <s v="제너시스"/>
    <x v="26"/>
    <s v="서비스"/>
    <s v="음식/조리"/>
    <s v="기타 프렌차이즈점"/>
    <s v="Draw Cartoon"/>
    <s v="엔터테인먼트(대)엔터테인먼트 기타(중)"/>
    <s v="m.app"/>
    <s v="카카오광고"/>
    <s v="25"/>
    <s v="03"/>
    <s v="25.03.16"/>
    <s v="25.03.16"/>
    <n v="13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3"/>
    <s v="25.03.31"/>
    <s v="25.03.31"/>
    <n v="680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4"/>
    <s v="25.04.01"/>
    <s v="25.04.06"/>
    <n v="4077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4"/>
    <s v="25.04.07"/>
    <s v="25.04.13"/>
    <n v="4757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4"/>
    <s v="25.04.14"/>
    <s v="25.04.20"/>
    <n v="4757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4"/>
    <s v="25.04.22"/>
    <s v="25.04.24"/>
    <n v="2039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4"/>
    <s v="25.04.25"/>
    <s v="25.04.27"/>
    <n v="2039"/>
  </r>
  <r>
    <s v="버즈빌"/>
    <s v="리서치애드"/>
    <s v="제너시스"/>
    <x v="26"/>
    <s v="서비스"/>
    <s v="음식/조리"/>
    <s v="기타 프렌차이즈점"/>
    <s v="버즈빌"/>
    <s v="모바일(대)모바일기타(중)"/>
    <s v="m.app"/>
    <s v="버즈빌"/>
    <s v="25"/>
    <s v="04"/>
    <s v="25.04.28"/>
    <s v="25.04.30"/>
    <n v="2039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2"/>
    <s v="25.02.17"/>
    <s v="25.02.18"/>
    <n v="1637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4"/>
    <s v="25.04.22"/>
    <s v="25.04.27"/>
    <n v="2420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4"/>
    <s v="25.04.25"/>
    <s v="25.04.27"/>
    <n v="1210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4"/>
    <s v="25.04.28"/>
    <s v="25.04.29"/>
    <n v="1614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5"/>
    <s v="25.05.16"/>
    <s v="25.05.18"/>
    <n v="1682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5"/>
    <s v="25.05.19"/>
    <s v="25.05.23"/>
    <n v="2803"/>
  </r>
  <r>
    <s v="SNS"/>
    <s v="리서치애드"/>
    <s v="제너시스"/>
    <x v="26"/>
    <s v="서비스"/>
    <s v="음식/조리"/>
    <s v="기타 프렌차이즈점"/>
    <s v="Instagram"/>
    <s v="커뮤니티(대)홈페이지(중)"/>
    <s v="m.app"/>
    <s v="-"/>
    <s v="25"/>
    <s v="06"/>
    <s v="25.06.05"/>
    <s v="25.06.05"/>
    <n v="561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11"/>
    <s v="25.03.14"/>
    <n v="6612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11"/>
    <s v="25.03.16"/>
    <n v="14877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15"/>
    <s v="25.03.16"/>
    <n v="3306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17"/>
    <s v="25.03.20"/>
    <n v="3306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17"/>
    <s v="25.03.23"/>
    <n v="23144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21"/>
    <s v="25.03.23"/>
    <n v="2480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24"/>
    <s v="25.03.30"/>
    <n v="28930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3"/>
    <s v="25.03.31"/>
    <s v="25.03.31"/>
    <n v="4135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6"/>
    <s v="25.06.24"/>
    <s v="25.06.29"/>
    <n v="28870"/>
  </r>
  <r>
    <s v="ADPACKER"/>
    <s v="리서치애드"/>
    <s v="제너시스"/>
    <x v="26"/>
    <s v="서비스"/>
    <s v="음식/조리"/>
    <s v="기타 프렌차이즈점"/>
    <s v="adpacker"/>
    <s v="모바일(대)모바일기타(중)"/>
    <s v="m.app"/>
    <s v="ADPACKER"/>
    <s v="25"/>
    <s v="06"/>
    <s v="25.06.30"/>
    <s v="25.06.30"/>
    <n v="4810"/>
  </r>
  <r>
    <s v="애드몹"/>
    <s v="리서치애드"/>
    <s v="제너시스"/>
    <x v="26"/>
    <s v="서비스"/>
    <s v="음식/조리"/>
    <s v="기타 프렌차이즈점"/>
    <s v="joongang.co.kr"/>
    <s v="신문/잡지(대)종합일간지(중)"/>
    <s v="m.web"/>
    <s v="애드몹"/>
    <s v="25"/>
    <s v="01"/>
    <s v="25.01.19"/>
    <s v="25.01.19"/>
    <n v="152"/>
  </r>
  <r>
    <s v="카카오광고"/>
    <s v="리서치애드"/>
    <s v="제너시스"/>
    <x v="26"/>
    <s v="서비스"/>
    <s v="음식/조리"/>
    <s v="기타 프렌차이즈점"/>
    <s v="카카오지하철"/>
    <s v="생활정보(대)교통/날씨(중)"/>
    <s v="m.app"/>
    <s v="카카오광고"/>
    <s v="25"/>
    <s v="01"/>
    <s v="25.01.02"/>
    <s v="25.01.02"/>
    <n v="13"/>
  </r>
  <r>
    <s v="카카오광고"/>
    <s v="리서치애드"/>
    <s v="제너시스"/>
    <x v="26"/>
    <s v="서비스"/>
    <s v="음식/조리"/>
    <s v="기타 프렌차이즈점"/>
    <s v="카카오지하철"/>
    <s v="생활정보(대)교통/날씨(중)"/>
    <s v="m.app"/>
    <s v="카카오광고"/>
    <s v="25"/>
    <s v="01"/>
    <s v="25.01.09"/>
    <s v="25.01.09"/>
    <n v="13"/>
  </r>
  <r>
    <s v="카카오광고"/>
    <s v="리서치애드"/>
    <s v="제너시스"/>
    <x v="26"/>
    <s v="서비스"/>
    <s v="음식/조리"/>
    <s v="기타 프렌차이즈점"/>
    <s v="카카오지하철"/>
    <s v="생활정보(대)교통/날씨(중)"/>
    <s v="m.app"/>
    <s v="카카오광고"/>
    <s v="25"/>
    <s v="01"/>
    <s v="25.01.10"/>
    <s v="25.01.10"/>
    <n v="13"/>
  </r>
  <r>
    <s v="카카오광고"/>
    <s v="리서치애드"/>
    <s v="제너시스"/>
    <x v="26"/>
    <s v="서비스"/>
    <s v="음식/조리"/>
    <s v="기타 프렌차이즈점"/>
    <s v="카카오지하철"/>
    <s v="생활정보(대)교통/날씨(중)"/>
    <s v="m.app"/>
    <s v="카카오광고"/>
    <s v="25"/>
    <s v="01"/>
    <s v="25.01.30"/>
    <s v="25.01.30"/>
    <n v="13"/>
  </r>
  <r>
    <s v="카카오광고"/>
    <s v="리서치애드"/>
    <s v="제너시스"/>
    <x v="26"/>
    <s v="서비스"/>
    <s v="음식/조리"/>
    <s v="기타 프렌차이즈점"/>
    <s v="Speed Alarm"/>
    <s v="모바일(대)도구/유틸리티(중)"/>
    <s v="m.app"/>
    <s v="카카오광고"/>
    <s v="25"/>
    <s v="01"/>
    <s v="25.01.30"/>
    <s v="25.01.30"/>
    <n v="13"/>
  </r>
  <r>
    <s v="애드몹"/>
    <s v="리서치애드"/>
    <s v="교촌F&amp;B"/>
    <x v="6"/>
    <s v="서비스"/>
    <s v="음식/조리"/>
    <s v="기타 프렌차이즈점"/>
    <s v="mt.co.kr"/>
    <s v="신문/잡지(대)경제신문(중)"/>
    <s v="m.web"/>
    <s v="애드몹"/>
    <s v="25"/>
    <s v="06"/>
    <s v="25.06.08"/>
    <s v="25.06.08"/>
    <n v="174"/>
  </r>
  <r>
    <s v="MOLOCO"/>
    <s v="리서치애드"/>
    <s v="교촌F&amp;B"/>
    <x v="6"/>
    <s v="서비스"/>
    <s v="음식/조리"/>
    <s v="기타 프렌차이즈점"/>
    <s v="블럭 퍼즐의 왕"/>
    <s v="엔터테인먼트(대)게임(중)"/>
    <s v="m.app"/>
    <s v="MOLOCO"/>
    <s v="25"/>
    <s v="06"/>
    <s v="25.06.24"/>
    <s v="25.06.24"/>
    <n v="198"/>
  </r>
  <r>
    <s v="애드몹"/>
    <s v="리서치애드"/>
    <s v="교촌F&amp;B"/>
    <x v="6"/>
    <s v="서비스"/>
    <s v="음식/조리"/>
    <s v="기타 프렌차이즈점"/>
    <s v="주차의 달인 4"/>
    <s v="엔터테인먼트(대)게임(중)"/>
    <s v="m.app"/>
    <s v="애드몹"/>
    <s v="25"/>
    <s v="04"/>
    <s v="25.04.30"/>
    <s v="25.04.30"/>
    <n v="133"/>
  </r>
  <r>
    <s v="애드몹"/>
    <s v="리서치애드"/>
    <s v="교촌F&amp;B"/>
    <x v="6"/>
    <s v="서비스"/>
    <s v="음식/조리"/>
    <s v="기타 프렌차이즈점"/>
    <s v="모두의 웹툰"/>
    <s v="엔터테인먼트(대)만화(중)"/>
    <s v="m.app"/>
    <s v="애드몹"/>
    <s v="25"/>
    <s v="04"/>
    <s v="25.04.26"/>
    <s v="25.04.27"/>
    <n v="266"/>
  </r>
  <r>
    <s v="애드몹"/>
    <s v="리서치애드"/>
    <s v="교촌F&amp;B"/>
    <x v="6"/>
    <s v="서비스"/>
    <s v="음식/조리"/>
    <s v="기타 프렌차이즈점"/>
    <s v="모두의 웹툰"/>
    <s v="엔터테인먼트(대)만화(중)"/>
    <s v="m.app"/>
    <s v="애드몹"/>
    <s v="25"/>
    <s v="04"/>
    <s v="25.04.27"/>
    <s v="25.04.27"/>
    <n v="133"/>
  </r>
  <r>
    <s v="애드몹"/>
    <s v="리서치애드"/>
    <s v="교촌F&amp;B"/>
    <x v="6"/>
    <s v="서비스"/>
    <s v="음식/조리"/>
    <s v="기타 프렌차이즈점"/>
    <s v="모두의 웹툰"/>
    <s v="엔터테인먼트(대)만화(중)"/>
    <s v="m.app"/>
    <s v="애드몹"/>
    <s v="25"/>
    <s v="04"/>
    <s v="25.04.28"/>
    <s v="25.04.29"/>
    <n v="266"/>
  </r>
  <r>
    <s v="애드몹"/>
    <s v="리서치애드"/>
    <s v="교촌F&amp;B"/>
    <x v="6"/>
    <s v="서비스"/>
    <s v="음식/조리"/>
    <s v="기타 프렌차이즈점"/>
    <s v="모두의 웹툰"/>
    <s v="엔터테인먼트(대)만화(중)"/>
    <s v="m.app"/>
    <s v="애드몹"/>
    <s v="25"/>
    <s v="04"/>
    <s v="25.04.28"/>
    <s v="25.04.30"/>
    <n v="399"/>
  </r>
  <r>
    <s v="애드몹"/>
    <s v="리서치애드"/>
    <s v="교촌F&amp;B"/>
    <x v="6"/>
    <s v="서비스"/>
    <s v="음식/조리"/>
    <s v="기타 프렌차이즈점"/>
    <s v="모두의 웹툰"/>
    <s v="엔터테인먼트(대)만화(중)"/>
    <s v="m.app"/>
    <s v="애드몹"/>
    <s v="25"/>
    <s v="05"/>
    <s v="25.05.01"/>
    <s v="25.05.04"/>
    <n v="587"/>
  </r>
  <r>
    <s v="애드몹"/>
    <s v="리서치애드"/>
    <s v="교촌F&amp;B"/>
    <x v="6"/>
    <s v="서비스"/>
    <s v="음식/조리"/>
    <s v="기타 프렌차이즈점"/>
    <s v="모두의 웹툰"/>
    <s v="엔터테인먼트(대)만화(중)"/>
    <s v="m.app"/>
    <s v="애드몹"/>
    <s v="25"/>
    <s v="05"/>
    <s v="25.05.05"/>
    <s v="25.05.05"/>
    <n v="147"/>
  </r>
  <r>
    <s v="애드몹"/>
    <s v="리서치애드"/>
    <s v="교촌F&amp;B"/>
    <x v="6"/>
    <s v="서비스"/>
    <s v="음식/조리"/>
    <s v="기타 프렌차이즈점"/>
    <s v="Brainzzz"/>
    <s v="엔터테인먼트(대)게임(중)"/>
    <s v="m.app"/>
    <s v="애드몹"/>
    <s v="25"/>
    <s v="04"/>
    <s v="25.04.26"/>
    <s v="25.04.26"/>
    <n v="133"/>
  </r>
  <r>
    <s v="애드몹"/>
    <s v="리서치애드"/>
    <s v="교촌F&amp;B"/>
    <x v="6"/>
    <s v="서비스"/>
    <s v="음식/조리"/>
    <s v="기타 프렌차이즈점"/>
    <s v="Draw Joust"/>
    <s v="엔터테인먼트(대)게임(중)"/>
    <s v="m.app"/>
    <s v="애드몹"/>
    <s v="25"/>
    <s v="04"/>
    <s v="25.04.26"/>
    <s v="25.04.26"/>
    <n v="133"/>
  </r>
  <r>
    <s v="애드몹"/>
    <s v="리서치애드"/>
    <s v="교촌F&amp;B"/>
    <x v="6"/>
    <s v="서비스"/>
    <s v="음식/조리"/>
    <s v="기타 프렌차이즈점"/>
    <s v="Draw Joust"/>
    <s v="엔터테인먼트(대)게임(중)"/>
    <s v="m.app"/>
    <s v="애드몹"/>
    <s v="25"/>
    <s v="04"/>
    <s v="25.04.27"/>
    <s v="25.04.27"/>
    <n v="133"/>
  </r>
  <r>
    <s v="애드몹"/>
    <s v="리서치애드"/>
    <s v="교촌F&amp;B"/>
    <x v="6"/>
    <s v="서비스"/>
    <s v="음식/조리"/>
    <s v="기타 프렌차이즈점"/>
    <s v="Draw Joust"/>
    <s v="엔터테인먼트(대)게임(중)"/>
    <s v="m.app"/>
    <s v="애드몹"/>
    <s v="25"/>
    <s v="04"/>
    <s v="25.04.30"/>
    <s v="25.04.30"/>
    <n v="133"/>
  </r>
  <r>
    <s v="애드몹"/>
    <s v="리서치애드"/>
    <s v="교촌F&amp;B"/>
    <x v="6"/>
    <s v="서비스"/>
    <s v="음식/조리"/>
    <s v="기타 프렌차이즈점"/>
    <s v="TRUE용인"/>
    <s v="생활정보(대)생활정보 기타(중)"/>
    <s v="m.app"/>
    <s v="애드몹"/>
    <s v="25"/>
    <s v="04"/>
    <s v="25.04.26"/>
    <s v="25.04.26"/>
    <n v="133"/>
  </r>
  <r>
    <s v="애드몹"/>
    <s v="리서치애드"/>
    <s v="교촌F&amp;B"/>
    <x v="6"/>
    <s v="서비스"/>
    <s v="음식/조리"/>
    <s v="기타 프렌차이즈점"/>
    <s v="TRUE용인"/>
    <s v="생활정보(대)생활정보 기타(중)"/>
    <s v="m.app"/>
    <s v="애드몹"/>
    <s v="25"/>
    <s v="04"/>
    <s v="25.04.27"/>
    <s v="25.04.27"/>
    <n v="133"/>
  </r>
  <r>
    <s v="애드몹"/>
    <s v="리서치애드"/>
    <s v="교촌F&amp;B"/>
    <x v="6"/>
    <s v="서비스"/>
    <s v="음식/조리"/>
    <s v="기타 프렌차이즈점"/>
    <s v="무장애 여행 ver.서울"/>
    <s v="생활정보(대)생활정보 기타(중)"/>
    <s v="m.app"/>
    <s v="애드몹"/>
    <s v="25"/>
    <s v="04"/>
    <s v="25.04.26"/>
    <s v="25.04.26"/>
    <n v="133"/>
  </r>
  <r>
    <s v="애드몹"/>
    <s v="리서치애드"/>
    <s v="교촌F&amp;B"/>
    <x v="6"/>
    <s v="서비스"/>
    <s v="음식/조리"/>
    <s v="기타 프렌차이즈점"/>
    <s v="무장애 여행 ver.서울"/>
    <s v="생활정보(대)생활정보 기타(중)"/>
    <s v="m.app"/>
    <s v="애드몹"/>
    <s v="25"/>
    <s v="04"/>
    <s v="25.04.28"/>
    <s v="25.04.28"/>
    <n v="133"/>
  </r>
  <r>
    <s v="애드몹"/>
    <s v="리서치애드"/>
    <s v="교촌F&amp;B"/>
    <x v="6"/>
    <s v="서비스"/>
    <s v="음식/조리"/>
    <s v="기타 프렌차이즈점"/>
    <s v="경상남도 등산로"/>
    <s v="엔터테인먼트(대)스포츠/레포츠(중)"/>
    <s v="m.app"/>
    <s v="애드몹"/>
    <s v="25"/>
    <s v="04"/>
    <s v="25.04.26"/>
    <s v="25.04.26"/>
    <n v="133"/>
  </r>
  <r>
    <s v="애드몹"/>
    <s v="리서치애드"/>
    <s v="교촌F&amp;B"/>
    <x v="6"/>
    <s v="서비스"/>
    <s v="음식/조리"/>
    <s v="기타 프렌차이즈점"/>
    <s v="경상남도 등산로"/>
    <s v="엔터테인먼트(대)스포츠/레포츠(중)"/>
    <s v="m.app"/>
    <s v="애드몹"/>
    <s v="25"/>
    <s v="04"/>
    <s v="25.04.27"/>
    <s v="25.04.27"/>
    <n v="133"/>
  </r>
  <r>
    <s v="애드몹"/>
    <s v="리서치애드"/>
    <s v="교촌F&amp;B"/>
    <x v="6"/>
    <s v="서비스"/>
    <s v="음식/조리"/>
    <s v="기타 프렌차이즈점"/>
    <s v="과속 카메라 레이더"/>
    <s v="생활정보(대)교통/날씨(중)"/>
    <s v="m.app"/>
    <s v="애드몹"/>
    <s v="25"/>
    <s v="04"/>
    <s v="25.04.26"/>
    <s v="25.04.26"/>
    <n v="133"/>
  </r>
  <r>
    <s v="애드몹"/>
    <s v="리서치애드"/>
    <s v="교촌F&amp;B"/>
    <x v="6"/>
    <s v="서비스"/>
    <s v="음식/조리"/>
    <s v="기타 프렌차이즈점"/>
    <s v="과속 카메라 레이더"/>
    <s v="생활정보(대)교통/날씨(중)"/>
    <s v="m.app"/>
    <s v="애드몹"/>
    <s v="25"/>
    <s v="05"/>
    <s v="25.05.01"/>
    <s v="25.05.04"/>
    <n v="587"/>
  </r>
  <r>
    <s v="애드몹"/>
    <s v="리서치애드"/>
    <s v="교촌F&amp;B"/>
    <x v="6"/>
    <s v="서비스"/>
    <s v="음식/조리"/>
    <s v="기타 프렌차이즈점"/>
    <s v="순산해요"/>
    <s v="생활정보(대)여성/육아(중)"/>
    <s v="m.app"/>
    <s v="애드몹"/>
    <s v="25"/>
    <s v="04"/>
    <s v="25.04.25"/>
    <s v="25.04.25"/>
    <n v="133"/>
  </r>
  <r>
    <s v="애드몹"/>
    <s v="리서치애드"/>
    <s v="교촌F&amp;B"/>
    <x v="6"/>
    <s v="서비스"/>
    <s v="음식/조리"/>
    <s v="기타 프렌차이즈점"/>
    <s v="BeautyMirror"/>
    <s v="모바일(대)라이프스타일(중)"/>
    <s v="m.app"/>
    <s v="애드몹"/>
    <s v="25"/>
    <s v="04"/>
    <s v="25.04.27"/>
    <s v="25.04.27"/>
    <n v="133"/>
  </r>
  <r>
    <s v="애드몹"/>
    <s v="리서치애드"/>
    <s v="교촌F&amp;B"/>
    <x v="6"/>
    <s v="서비스"/>
    <s v="음식/조리"/>
    <s v="기타 프렌차이즈점"/>
    <s v="부부의 장난 2"/>
    <s v="엔터테인먼트(대)게임(중)"/>
    <s v="m.app"/>
    <s v="애드몹"/>
    <s v="25"/>
    <s v="04"/>
    <s v="25.04.28"/>
    <s v="25.04.28"/>
    <n v="133"/>
  </r>
  <r>
    <s v="애드몹"/>
    <s v="리서치애드"/>
    <s v="교촌F&amp;B"/>
    <x v="6"/>
    <s v="서비스"/>
    <s v="음식/조리"/>
    <s v="기타 프렌차이즈점"/>
    <s v="부부의 장난 2"/>
    <s v="엔터테인먼트(대)게임(중)"/>
    <s v="m.app"/>
    <s v="애드몹"/>
    <s v="25"/>
    <s v="05"/>
    <s v="25.05.01"/>
    <s v="25.05.02"/>
    <n v="294"/>
  </r>
  <r>
    <s v="애드몹"/>
    <s v="리서치애드"/>
    <s v="교촌F&amp;B"/>
    <x v="6"/>
    <s v="서비스"/>
    <s v="음식/조리"/>
    <s v="기타 프렌차이즈점"/>
    <s v="충북에가면"/>
    <s v="생활정보(대)생활정보 기타(중)"/>
    <s v="m.app"/>
    <s v="애드몹"/>
    <s v="25"/>
    <s v="04"/>
    <s v="25.04.27"/>
    <s v="25.04.27"/>
    <n v="133"/>
  </r>
  <r>
    <s v="애드몹"/>
    <s v="리서치애드"/>
    <s v="교촌F&amp;B"/>
    <x v="6"/>
    <s v="서비스"/>
    <s v="음식/조리"/>
    <s v="기타 프렌차이즈점"/>
    <s v="충북에가면"/>
    <s v="생활정보(대)생활정보 기타(중)"/>
    <s v="m.app"/>
    <s v="애드몹"/>
    <s v="25"/>
    <s v="04"/>
    <s v="25.04.28"/>
    <s v="25.04.28"/>
    <n v="133"/>
  </r>
  <r>
    <s v="카카오광고"/>
    <s v="리서치애드"/>
    <s v="리치빔"/>
    <x v="27"/>
    <s v="서비스"/>
    <s v="음식/조리"/>
    <s v="기타 프렌차이즈점"/>
    <s v="daum.net"/>
    <s v="포털(대)포털(중)"/>
    <s v="m.web"/>
    <s v="카카오광고"/>
    <s v="25"/>
    <s v="04"/>
    <s v="25.04.24"/>
    <s v="25.04.27"/>
    <n v="2981"/>
  </r>
  <r>
    <s v="카카오광고"/>
    <s v="리서치애드"/>
    <s v="리치빔"/>
    <x v="27"/>
    <s v="서비스"/>
    <s v="음식/조리"/>
    <s v="기타 프렌차이즈점"/>
    <s v="daum.net"/>
    <s v="포털(대)포털(중)"/>
    <s v="m.web"/>
    <s v="카카오광고"/>
    <s v="25"/>
    <s v="04"/>
    <s v="25.04.28"/>
    <s v="25.04.28"/>
    <n v="745"/>
  </r>
  <r>
    <s v="포털"/>
    <s v="리서치애드"/>
    <s v="리치빔"/>
    <x v="27"/>
    <s v="서비스"/>
    <s v="음식/조리"/>
    <s v="기타 프렌차이즈점"/>
    <s v="naver.com"/>
    <s v="포털(대)포털(중)"/>
    <s v="m.web"/>
    <s v="-"/>
    <s v="25"/>
    <s v="04"/>
    <s v="25.04.28"/>
    <s v="25.04.28"/>
    <n v="2547"/>
  </r>
  <r>
    <s v="애드몹"/>
    <s v="리서치애드"/>
    <s v="리치빔"/>
    <x v="27"/>
    <s v="서비스"/>
    <s v="음식/조리"/>
    <s v="기타 프렌차이즈점"/>
    <s v="pressian.com"/>
    <s v="신문/잡지(대)온라인뉴스(중)"/>
    <s v="m.web"/>
    <s v="애드몹"/>
    <s v="25"/>
    <s v="04"/>
    <s v="25.04.11"/>
    <s v="25.04.11"/>
    <n v="228"/>
  </r>
  <r>
    <s v="애드몹"/>
    <s v="리서치애드"/>
    <s v="리치빔"/>
    <x v="27"/>
    <s v="서비스"/>
    <s v="음식/조리"/>
    <s v="기타 프렌차이즈점"/>
    <s v="dt.co.kr"/>
    <s v="신문/잡지(대)IT관련 뉴스(중)"/>
    <s v="m.web"/>
    <s v="애드몹"/>
    <s v="25"/>
    <s v="04"/>
    <s v="25.04.13"/>
    <s v="25.04.13"/>
    <n v="452"/>
  </r>
  <r>
    <s v="애드몹"/>
    <s v="리서치애드"/>
    <s v="리치빔"/>
    <x v="27"/>
    <s v="서비스"/>
    <s v="음식/조리"/>
    <s v="기타 프렌차이즈점"/>
    <s v="말하는 진저"/>
    <s v="엔터테인먼트(대)엔터테인먼트 기타(중)"/>
    <s v="m.app"/>
    <s v="애드몹"/>
    <s v="25"/>
    <s v="04"/>
    <s v="25.04.17"/>
    <s v="25.04.17"/>
    <n v="133"/>
  </r>
  <r>
    <s v="애드몹"/>
    <s v="리서치애드"/>
    <s v="리치빔"/>
    <x v="27"/>
    <s v="서비스"/>
    <s v="음식/조리"/>
    <s v="기타 프렌차이즈점"/>
    <s v="브라이티스트 플래시라이트 무료"/>
    <s v="모바일(대)도구/유틸리티(중)"/>
    <s v="m.app"/>
    <s v="애드몹"/>
    <s v="25"/>
    <s v="04"/>
    <s v="25.04.18"/>
    <s v="25.04.18"/>
    <n v="133"/>
  </r>
  <r>
    <s v="카카오광고"/>
    <s v="리서치애드"/>
    <s v="리치빔"/>
    <x v="27"/>
    <s v="서비스"/>
    <s v="음식/조리"/>
    <s v="기타 프렌차이즈점"/>
    <s v="카카오톡"/>
    <s v="커뮤니케이션(대)채팅/메신저(중)"/>
    <s v="m.app"/>
    <s v="카카오광고"/>
    <s v="25"/>
    <s v="04"/>
    <s v="25.04.25"/>
    <s v="25.04.25"/>
    <n v="6933"/>
  </r>
  <r>
    <s v="카카오광고"/>
    <s v="리서치애드"/>
    <s v="리치빔"/>
    <x v="27"/>
    <s v="서비스"/>
    <s v="음식/조리"/>
    <s v="기타 프렌차이즈점"/>
    <s v="카카오톡"/>
    <s v="커뮤니케이션(대)채팅/메신저(중)"/>
    <s v="m.app"/>
    <s v="카카오광고"/>
    <s v="25"/>
    <s v="04"/>
    <s v="25.04.26"/>
    <s v="25.04.26"/>
    <n v="6933"/>
  </r>
  <r>
    <s v="애드몹"/>
    <s v="리서치애드"/>
    <s v="리치빔"/>
    <x v="27"/>
    <s v="서비스"/>
    <s v="음식/조리"/>
    <s v="기타 프렌차이즈점"/>
    <s v="주차의 달인 4"/>
    <s v="엔터테인먼트(대)게임(중)"/>
    <s v="m.app"/>
    <s v="애드몹"/>
    <s v="25"/>
    <s v="04"/>
    <s v="25.04.18"/>
    <s v="25.04.18"/>
    <n v="133"/>
  </r>
  <r>
    <s v="애드몹"/>
    <s v="리서치애드"/>
    <s v="리치빔"/>
    <x v="27"/>
    <s v="서비스"/>
    <s v="음식/조리"/>
    <s v="기타 프렌차이즈점"/>
    <s v="마루"/>
    <s v="모바일(대)도구/유틸리티(중)"/>
    <s v="m.app"/>
    <s v="애드몹"/>
    <s v="25"/>
    <s v="04"/>
    <s v="25.04.10"/>
    <s v="25.04.13"/>
    <n v="532"/>
  </r>
  <r>
    <s v="애드몹"/>
    <s v="리서치애드"/>
    <s v="리치빔"/>
    <x v="27"/>
    <s v="서비스"/>
    <s v="음식/조리"/>
    <s v="기타 프렌차이즈점"/>
    <s v="gamemeca.com"/>
    <s v="신문/잡지(대)온라인뉴스(중)"/>
    <s v="m.web"/>
    <s v="애드몹"/>
    <s v="25"/>
    <s v="04"/>
    <s v="25.04.11"/>
    <s v="25.04.13"/>
    <n v="1193"/>
  </r>
  <r>
    <s v="애드몹"/>
    <s v="리서치애드"/>
    <s v="리치빔"/>
    <x v="27"/>
    <s v="서비스"/>
    <s v="음식/조리"/>
    <s v="기타 프렌차이즈점"/>
    <s v="gamemeca.com"/>
    <s v="신문/잡지(대)온라인뉴스(중)"/>
    <s v="m.web"/>
    <s v="애드몹"/>
    <s v="25"/>
    <s v="04"/>
    <s v="25.04.12"/>
    <s v="25.04.12"/>
    <n v="796"/>
  </r>
  <r>
    <s v="애드몹"/>
    <s v="리서치애드"/>
    <s v="리치빔"/>
    <x v="27"/>
    <s v="서비스"/>
    <s v="음식/조리"/>
    <s v="기타 프렌차이즈점"/>
    <s v="진통측정기"/>
    <s v="생활정보(대)여성/육아(중)"/>
    <s v="m.app"/>
    <s v="애드몹"/>
    <s v="25"/>
    <s v="04"/>
    <s v="25.04.18"/>
    <s v="25.04.18"/>
    <n v="133"/>
  </r>
  <r>
    <s v="애드몹"/>
    <s v="리서치애드"/>
    <s v="리치빔"/>
    <x v="27"/>
    <s v="서비스"/>
    <s v="음식/조리"/>
    <s v="기타 프렌차이즈점"/>
    <s v="나침반"/>
    <s v="모바일(대)도구/유틸리티(중)"/>
    <s v="m.app"/>
    <s v="애드몹"/>
    <s v="25"/>
    <s v="04"/>
    <s v="25.04.13"/>
    <s v="25.04.13"/>
    <n v="133"/>
  </r>
  <r>
    <s v="애드몹"/>
    <s v="리서치애드"/>
    <s v="리치빔"/>
    <x v="27"/>
    <s v="서비스"/>
    <s v="음식/조리"/>
    <s v="기타 프렌차이즈점"/>
    <s v="게임을 숨겼다2"/>
    <s v="엔터테인먼트(대)게임(중)"/>
    <s v="m.app"/>
    <s v="애드몹"/>
    <s v="25"/>
    <s v="04"/>
    <s v="25.04.18"/>
    <s v="25.04.19"/>
    <n v="266"/>
  </r>
  <r>
    <s v="애드몹"/>
    <s v="리서치애드"/>
    <s v="리치빔"/>
    <x v="27"/>
    <s v="서비스"/>
    <s v="음식/조리"/>
    <s v="기타 프렌차이즈점"/>
    <s v="게임을 숨겼다2"/>
    <s v="엔터테인먼트(대)게임(중)"/>
    <s v="m.app"/>
    <s v="애드몹"/>
    <s v="25"/>
    <s v="04"/>
    <s v="25.04.19"/>
    <s v="25.04.19"/>
    <n v="133"/>
  </r>
  <r>
    <s v="애드몹"/>
    <s v="리서치애드"/>
    <s v="리치빔"/>
    <x v="27"/>
    <s v="서비스"/>
    <s v="음식/조리"/>
    <s v="기타 프렌차이즈점"/>
    <s v="tvchosun.com"/>
    <s v="방송(대)방송기타(중)"/>
    <s v="m.web"/>
    <s v="애드몹"/>
    <s v="25"/>
    <s v="04"/>
    <s v="25.04.13"/>
    <s v="25.04.13"/>
    <n v="145"/>
  </r>
  <r>
    <s v="애드몹"/>
    <s v="리서치애드"/>
    <s v="리치빔"/>
    <x v="27"/>
    <s v="서비스"/>
    <s v="음식/조리"/>
    <s v="기타 프렌차이즈점"/>
    <s v="깨진 화면"/>
    <s v="엔터테인먼트(대)엔터테인먼트 기타(중)"/>
    <s v="m.app"/>
    <s v="애드몹"/>
    <s v="25"/>
    <s v="04"/>
    <s v="25.04.09"/>
    <s v="25.04.12"/>
    <n v="532"/>
  </r>
  <r>
    <s v="애드몹"/>
    <s v="리서치애드"/>
    <s v="리치빔"/>
    <x v="27"/>
    <s v="서비스"/>
    <s v="음식/조리"/>
    <s v="기타 프렌차이즈점"/>
    <s v="깨진 화면"/>
    <s v="엔터테인먼트(대)엔터테인먼트 기타(중)"/>
    <s v="m.app"/>
    <s v="애드몹"/>
    <s v="25"/>
    <s v="04"/>
    <s v="25.04.18"/>
    <s v="25.04.18"/>
    <n v="133"/>
  </r>
  <r>
    <s v="애드몹"/>
    <s v="리서치애드"/>
    <s v="리치빔"/>
    <x v="27"/>
    <s v="서비스"/>
    <s v="음식/조리"/>
    <s v="기타 프렌차이즈점"/>
    <s v="Draw Cartoon"/>
    <s v="엔터테인먼트(대)엔터테인먼트 기타(중)"/>
    <s v="m.app"/>
    <s v="애드몹"/>
    <s v="25"/>
    <s v="04"/>
    <s v="25.04.12"/>
    <s v="25.04.12"/>
    <n v="133"/>
  </r>
  <r>
    <s v="애드몹"/>
    <s v="리서치애드"/>
    <s v="리치빔"/>
    <x v="27"/>
    <s v="서비스"/>
    <s v="음식/조리"/>
    <s v="기타 프렌차이즈점"/>
    <s v="mydaily.co.kr"/>
    <s v="신문/잡지(대)온라인뉴스(중)"/>
    <s v="m.web"/>
    <s v="애드몹"/>
    <s v="25"/>
    <s v="04"/>
    <s v="25.04.12"/>
    <s v="25.04.12"/>
    <n v="145"/>
  </r>
  <r>
    <s v="애드몹"/>
    <s v="리서치애드"/>
    <s v="리치빔"/>
    <x v="27"/>
    <s v="서비스"/>
    <s v="음식/조리"/>
    <s v="기타 프렌차이즈점"/>
    <s v="소음측정기"/>
    <s v="모바일(대)도구/유틸리티(중)"/>
    <s v="m.app"/>
    <s v="애드몹"/>
    <s v="25"/>
    <s v="04"/>
    <s v="25.04.19"/>
    <s v="25.04.19"/>
    <n v="133"/>
  </r>
  <r>
    <s v="애드몹"/>
    <s v="리서치애드"/>
    <s v="리치빔"/>
    <x v="27"/>
    <s v="서비스"/>
    <s v="음식/조리"/>
    <s v="기타 프렌차이즈점"/>
    <s v="소음측정기"/>
    <s v="모바일(대)도구/유틸리티(중)"/>
    <s v="m.app"/>
    <s v="애드몹"/>
    <s v="25"/>
    <s v="04"/>
    <s v="25.04.20"/>
    <s v="25.04.20"/>
    <n v="133"/>
  </r>
  <r>
    <s v="애드몹"/>
    <s v="리서치애드"/>
    <s v="리치빔"/>
    <x v="27"/>
    <s v="서비스"/>
    <s v="음식/조리"/>
    <s v="기타 프렌차이즈점"/>
    <s v="레이디버그와"/>
    <s v="엔터테인먼트(대)게임(중)"/>
    <s v="m.app"/>
    <s v="애드몹"/>
    <s v="25"/>
    <s v="04"/>
    <s v="25.04.09"/>
    <s v="25.04.09"/>
    <n v="133"/>
  </r>
  <r>
    <s v="애드몹"/>
    <s v="리서치애드"/>
    <s v="리치빔"/>
    <x v="27"/>
    <s v="서비스"/>
    <s v="음식/조리"/>
    <s v="기타 프렌차이즈점"/>
    <s v="레이디버그와"/>
    <s v="엔터테인먼트(대)게임(중)"/>
    <s v="m.app"/>
    <s v="애드몹"/>
    <s v="25"/>
    <s v="04"/>
    <s v="25.04.10"/>
    <s v="25.04.12"/>
    <n v="399"/>
  </r>
  <r>
    <s v="애드몹"/>
    <s v="리서치애드"/>
    <s v="리치빔"/>
    <x v="27"/>
    <s v="서비스"/>
    <s v="음식/조리"/>
    <s v="기타 프렌차이즈점"/>
    <s v="Word Search"/>
    <s v="엔터테인먼트(대)게임(중)"/>
    <s v="m.app"/>
    <s v="애드몹"/>
    <s v="25"/>
    <s v="04"/>
    <s v="25.04.09"/>
    <s v="25.04.09"/>
    <n v="133"/>
  </r>
  <r>
    <s v="애드몹"/>
    <s v="리서치애드"/>
    <s v="리치빔"/>
    <x v="27"/>
    <s v="서비스"/>
    <s v="음식/조리"/>
    <s v="기타 프렌차이즈점"/>
    <s v="팟 캐스트 플레이어"/>
    <s v="모바일(대)도구/유틸리티(중)"/>
    <s v="m.app"/>
    <s v="애드몹"/>
    <s v="25"/>
    <s v="04"/>
    <s v="25.04.09"/>
    <s v="25.04.09"/>
    <n v="133"/>
  </r>
  <r>
    <s v="애드몹"/>
    <s v="리서치애드"/>
    <s v="리치빔"/>
    <x v="27"/>
    <s v="서비스"/>
    <s v="음식/조리"/>
    <s v="기타 프렌차이즈점"/>
    <s v="팟 캐스트 플레이어"/>
    <s v="모바일(대)도구/유틸리티(중)"/>
    <s v="m.app"/>
    <s v="애드몹"/>
    <s v="25"/>
    <s v="04"/>
    <s v="25.04.09"/>
    <s v="25.04.12"/>
    <n v="532"/>
  </r>
  <r>
    <s v="애드몹"/>
    <s v="리서치애드"/>
    <s v="리치빔"/>
    <x v="27"/>
    <s v="서비스"/>
    <s v="음식/조리"/>
    <s v="기타 프렌차이즈점"/>
    <s v="Decibel X"/>
    <s v="모바일(대)도구/유틸리티(중)"/>
    <s v="m.app"/>
    <s v="애드몹"/>
    <s v="25"/>
    <s v="04"/>
    <s v="25.04.09"/>
    <s v="25.04.09"/>
    <n v="133"/>
  </r>
  <r>
    <s v="애드몹"/>
    <s v="리서치애드"/>
    <s v="리치빔"/>
    <x v="27"/>
    <s v="서비스"/>
    <s v="음식/조리"/>
    <s v="기타 프렌차이즈점"/>
    <s v="귀신 탐지기"/>
    <s v="모바일(대)엔터테인먼트(중)"/>
    <s v="m.app"/>
    <s v="애드몹"/>
    <s v="25"/>
    <s v="04"/>
    <s v="25.04.09"/>
    <s v="25.04.09"/>
    <n v="266"/>
  </r>
  <r>
    <s v="애드몹"/>
    <s v="리서치애드"/>
    <s v="리치빔"/>
    <x v="27"/>
    <s v="서비스"/>
    <s v="음식/조리"/>
    <s v="기타 프렌차이즈점"/>
    <s v="Lightning QR"/>
    <s v="모바일(대)도구/유틸리티(중)"/>
    <s v="m.app"/>
    <s v="애드몹"/>
    <s v="25"/>
    <s v="04"/>
    <s v="25.04.21"/>
    <s v="25.04.22"/>
    <n v="266"/>
  </r>
  <r>
    <s v="애드몹"/>
    <s v="리서치애드"/>
    <s v="리치빔"/>
    <x v="27"/>
    <s v="서비스"/>
    <s v="음식/조리"/>
    <s v="기타 프렌차이즈점"/>
    <s v="부산시 등산로"/>
    <s v="엔터테인먼트(대)스포츠/레포츠(중)"/>
    <s v="m.app"/>
    <s v="애드몹"/>
    <s v="25"/>
    <s v="04"/>
    <s v="25.04.09"/>
    <s v="25.04.09"/>
    <n v="133"/>
  </r>
  <r>
    <s v="애드몹"/>
    <s v="리서치애드"/>
    <s v="리치빔"/>
    <x v="27"/>
    <s v="서비스"/>
    <s v="음식/조리"/>
    <s v="기타 프렌차이즈점"/>
    <s v="울산 등산로"/>
    <s v="엔터테인먼트(대)스포츠/레포츠(중)"/>
    <s v="m.app"/>
    <s v="애드몹"/>
    <s v="25"/>
    <s v="04"/>
    <s v="25.04.10"/>
    <s v="25.04.10"/>
    <n v="133"/>
  </r>
  <r>
    <s v="애드몹"/>
    <s v="리서치애드"/>
    <s v="리치빔"/>
    <x v="27"/>
    <s v="서비스"/>
    <s v="음식/조리"/>
    <s v="기타 프렌차이즈점"/>
    <s v="과속 카메라 레이더"/>
    <s v="생활정보(대)교통/날씨(중)"/>
    <s v="m.app"/>
    <s v="애드몹"/>
    <s v="25"/>
    <s v="04"/>
    <s v="25.04.10"/>
    <s v="25.04.11"/>
    <n v="266"/>
  </r>
  <r>
    <s v="애드몹"/>
    <s v="리서치애드"/>
    <s v="리치빔"/>
    <x v="27"/>
    <s v="서비스"/>
    <s v="음식/조리"/>
    <s v="기타 프렌차이즈점"/>
    <s v="과속 카메라 레이더"/>
    <s v="생활정보(대)교통/날씨(중)"/>
    <s v="m.app"/>
    <s v="애드몹"/>
    <s v="25"/>
    <s v="04"/>
    <s v="25.04.10"/>
    <s v="25.04.13"/>
    <n v="532"/>
  </r>
  <r>
    <s v="애드몹"/>
    <s v="리서치애드"/>
    <s v="리치빔"/>
    <x v="27"/>
    <s v="서비스"/>
    <s v="음식/조리"/>
    <s v="기타 프렌차이즈점"/>
    <s v="과속 카메라 레이더"/>
    <s v="생활정보(대)교통/날씨(중)"/>
    <s v="m.app"/>
    <s v="애드몹"/>
    <s v="25"/>
    <s v="04"/>
    <s v="25.04.11"/>
    <s v="25.04.11"/>
    <n v="133"/>
  </r>
  <r>
    <s v="애드몹"/>
    <s v="리서치애드"/>
    <s v="리치빔"/>
    <x v="27"/>
    <s v="서비스"/>
    <s v="음식/조리"/>
    <s v="기타 프렌차이즈점"/>
    <s v="과속 카메라 레이더"/>
    <s v="생활정보(대)교통/날씨(중)"/>
    <s v="m.app"/>
    <s v="애드몹"/>
    <s v="25"/>
    <s v="04"/>
    <s v="25.04.12"/>
    <s v="25.04.13"/>
    <n v="266"/>
  </r>
  <r>
    <s v="애드몹"/>
    <s v="리서치애드"/>
    <s v="리치빔"/>
    <x v="27"/>
    <s v="서비스"/>
    <s v="음식/조리"/>
    <s v="기타 프렌차이즈점"/>
    <s v="과속 카메라 레이더"/>
    <s v="생활정보(대)교통/날씨(중)"/>
    <s v="m.app"/>
    <s v="애드몹"/>
    <s v="25"/>
    <s v="04"/>
    <s v="25.04.14"/>
    <s v="25.04.14"/>
    <n v="133"/>
  </r>
  <r>
    <s v="애드몹"/>
    <s v="리서치애드"/>
    <s v="리치빔"/>
    <x v="27"/>
    <s v="서비스"/>
    <s v="음식/조리"/>
    <s v="기타 프렌차이즈점"/>
    <s v="모두의 신문"/>
    <s v="신문/잡지(대)신문/잡지 기타(중)"/>
    <s v="m.app"/>
    <s v="애드몹"/>
    <s v="25"/>
    <s v="04"/>
    <s v="25.04.18"/>
    <s v="25.04.18"/>
    <n v="133"/>
  </r>
  <r>
    <s v="애드몹"/>
    <s v="리서치애드"/>
    <s v="리치빔"/>
    <x v="27"/>
    <s v="서비스"/>
    <s v="음식/조리"/>
    <s v="기타 프렌차이즈점"/>
    <s v="모두의 신문"/>
    <s v="신문/잡지(대)신문/잡지 기타(중)"/>
    <s v="m.app"/>
    <s v="애드몹"/>
    <s v="25"/>
    <s v="04"/>
    <s v="25.04.18"/>
    <s v="25.04.20"/>
    <n v="399"/>
  </r>
  <r>
    <s v="애드몹"/>
    <s v="리서치애드"/>
    <s v="리치빔"/>
    <x v="27"/>
    <s v="서비스"/>
    <s v="음식/조리"/>
    <s v="기타 프렌차이즈점"/>
    <s v="킹덤 퀴즈"/>
    <s v="엔터테인먼트(대)게임(중)"/>
    <s v="m.app"/>
    <s v="애드몹"/>
    <s v="25"/>
    <s v="04"/>
    <s v="25.04.18"/>
    <s v="25.04.20"/>
    <n v="399"/>
  </r>
  <r>
    <s v="애드몹"/>
    <s v="리서치애드"/>
    <s v="리치빔"/>
    <x v="27"/>
    <s v="서비스"/>
    <s v="음식/조리"/>
    <s v="기타 프렌차이즈점"/>
    <s v="킹덤 퀴즈"/>
    <s v="엔터테인먼트(대)게임(중)"/>
    <s v="m.app"/>
    <s v="애드몹"/>
    <s v="25"/>
    <s v="04"/>
    <s v="25.04.21"/>
    <s v="25.04.22"/>
    <n v="266"/>
  </r>
  <r>
    <s v="애드몹"/>
    <s v="리서치애드"/>
    <s v="리치빔"/>
    <x v="27"/>
    <s v="서비스"/>
    <s v="음식/조리"/>
    <s v="기타 프렌차이즈점"/>
    <s v="미래애인을 보는 수정"/>
    <s v="모바일(대)엔터테인먼트(중)"/>
    <s v="m.app"/>
    <s v="애드몹"/>
    <s v="25"/>
    <s v="04"/>
    <s v="25.04.18"/>
    <s v="25.04.18"/>
    <n v="133"/>
  </r>
  <r>
    <s v="애드몹"/>
    <s v="리서치애드"/>
    <s v="리치빔"/>
    <x v="27"/>
    <s v="서비스"/>
    <s v="음식/조리"/>
    <s v="기타 프렌차이즈점"/>
    <s v="오늘의 옷차림"/>
    <s v="생활정보(대)교통/날씨(중)"/>
    <s v="m.app"/>
    <s v="애드몹"/>
    <s v="25"/>
    <s v="04"/>
    <s v="25.04.09"/>
    <s v="25.04.13"/>
    <n v="665"/>
  </r>
  <r>
    <s v="애드몹"/>
    <s v="리서치애드"/>
    <s v="리치빔"/>
    <x v="27"/>
    <s v="서비스"/>
    <s v="음식/조리"/>
    <s v="기타 프렌차이즈점"/>
    <s v="오늘의 옷차림"/>
    <s v="생활정보(대)교통/날씨(중)"/>
    <s v="m.app"/>
    <s v="애드몹"/>
    <s v="25"/>
    <s v="04"/>
    <s v="25.04.10"/>
    <s v="25.04.10"/>
    <n v="133"/>
  </r>
  <r>
    <s v="애드몹"/>
    <s v="리서치애드"/>
    <s v="리치빔"/>
    <x v="27"/>
    <s v="서비스"/>
    <s v="음식/조리"/>
    <s v="기타 프렌차이즈점"/>
    <s v="오늘의 옷차림"/>
    <s v="생활정보(대)교통/날씨(중)"/>
    <s v="m.app"/>
    <s v="애드몹"/>
    <s v="25"/>
    <s v="04"/>
    <s v="25.04.14"/>
    <s v="25.04.14"/>
    <n v="133"/>
  </r>
  <r>
    <s v="애드몹"/>
    <s v="리서치애드"/>
    <s v="리치빔"/>
    <x v="27"/>
    <s v="서비스"/>
    <s v="음식/조리"/>
    <s v="기타 프렌차이즈점"/>
    <s v="Beauty Makeup"/>
    <s v="생활정보(대)미용/패션(중)"/>
    <s v="m.app"/>
    <s v="애드몹"/>
    <s v="25"/>
    <s v="04"/>
    <s v="25.04.09"/>
    <s v="25.04.09"/>
    <n v="266"/>
  </r>
  <r>
    <s v="애드몹"/>
    <s v="리서치애드"/>
    <s v="리치빔"/>
    <x v="27"/>
    <s v="서비스"/>
    <s v="음식/조리"/>
    <s v="기타 프렌차이즈점"/>
    <s v="Beauty Makeup"/>
    <s v="생활정보(대)미용/패션(중)"/>
    <s v="m.app"/>
    <s v="애드몹"/>
    <s v="25"/>
    <s v="04"/>
    <s v="25.04.10"/>
    <s v="25.04.11"/>
    <n v="266"/>
  </r>
  <r>
    <s v="애드몹"/>
    <s v="리서치애드"/>
    <s v="리치빔"/>
    <x v="27"/>
    <s v="서비스"/>
    <s v="음식/조리"/>
    <s v="기타 프렌차이즈점"/>
    <s v="Beauty Makeup"/>
    <s v="생활정보(대)미용/패션(중)"/>
    <s v="m.app"/>
    <s v="애드몹"/>
    <s v="25"/>
    <s v="04"/>
    <s v="25.04.14"/>
    <s v="25.04.14"/>
    <n v="133"/>
  </r>
  <r>
    <s v="애드몹"/>
    <s v="리서치애드"/>
    <s v="리치빔"/>
    <x v="27"/>
    <s v="서비스"/>
    <s v="음식/조리"/>
    <s v="기타 프렌차이즈점"/>
    <s v="포토 프레임"/>
    <s v="모바일(대)라이프스타일(중)"/>
    <s v="m.app"/>
    <s v="애드몹"/>
    <s v="25"/>
    <s v="04"/>
    <s v="25.04.18"/>
    <s v="25.04.19"/>
    <n v="266"/>
  </r>
  <r>
    <s v="애드몹"/>
    <s v="리서치애드"/>
    <s v="리치빔"/>
    <x v="27"/>
    <s v="서비스"/>
    <s v="음식/조리"/>
    <s v="기타 프렌차이즈점"/>
    <s v="Super Jabber Jump"/>
    <s v="엔터테인먼트(대)게임(중)"/>
    <s v="m.app"/>
    <s v="애드몹"/>
    <s v="25"/>
    <s v="04"/>
    <s v="25.04.18"/>
    <s v="25.04.20"/>
    <n v="399"/>
  </r>
  <r>
    <s v="애드몹"/>
    <s v="리서치애드"/>
    <s v="리치빔"/>
    <x v="27"/>
    <s v="서비스"/>
    <s v="음식/조리"/>
    <s v="기타 프렌차이즈점"/>
    <s v="Super Jabber Jump"/>
    <s v="엔터테인먼트(대)게임(중)"/>
    <s v="m.app"/>
    <s v="애드몹"/>
    <s v="25"/>
    <s v="04"/>
    <s v="25.04.21"/>
    <s v="25.04.21"/>
    <n v="133"/>
  </r>
  <r>
    <s v="애드몹"/>
    <s v="리서치애드"/>
    <s v="리치빔"/>
    <x v="27"/>
    <s v="서비스"/>
    <s v="음식/조리"/>
    <s v="기타 프렌차이즈점"/>
    <s v="Archery Club"/>
    <s v="엔터테인먼트(대)게임(중)"/>
    <s v="m.app"/>
    <s v="애드몹"/>
    <s v="25"/>
    <s v="04"/>
    <s v="25.04.10"/>
    <s v="25.04.10"/>
    <n v="133"/>
  </r>
  <r>
    <s v="애드몹"/>
    <s v="리서치애드"/>
    <s v="리치빔"/>
    <x v="27"/>
    <s v="서비스"/>
    <s v="음식/조리"/>
    <s v="기타 프렌차이즈점"/>
    <s v="서울재개발재건축"/>
    <s v="금융/비즈니스(대)부동산정보(중)"/>
    <s v="m.app"/>
    <s v="애드몹"/>
    <s v="25"/>
    <s v="04"/>
    <s v="25.04.09"/>
    <s v="25.04.09"/>
    <n v="133"/>
  </r>
  <r>
    <s v="애드몹"/>
    <s v="리서치애드"/>
    <s v="리치빔"/>
    <x v="27"/>
    <s v="서비스"/>
    <s v="음식/조리"/>
    <s v="기타 프렌차이즈점"/>
    <s v="전국CCTV지도"/>
    <s v="생활정보(대)생활정보 기타(중)"/>
    <s v="m.app"/>
    <s v="애드몹"/>
    <s v="25"/>
    <s v="04"/>
    <s v="25.04.09"/>
    <s v="25.04.10"/>
    <n v="266"/>
  </r>
  <r>
    <s v="애드몹"/>
    <s v="리서치애드"/>
    <s v="리치빔"/>
    <x v="27"/>
    <s v="서비스"/>
    <s v="음식/조리"/>
    <s v="기타 프렌차이즈점"/>
    <s v="전국CCTV지도"/>
    <s v="생활정보(대)생활정보 기타(중)"/>
    <s v="m.app"/>
    <s v="애드몹"/>
    <s v="25"/>
    <s v="04"/>
    <s v="25.04.20"/>
    <s v="25.04.20"/>
    <n v="133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14"/>
    <s v="25.01.18"/>
    <n v="167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17"/>
    <s v="25.01.19"/>
    <n v="100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18"/>
    <s v="25.01.19"/>
    <n v="67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20"/>
    <s v="25.01.21"/>
    <n v="67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20"/>
    <s v="25.01.24"/>
    <n v="167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21"/>
    <s v="25.01.21"/>
    <n v="33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22"/>
    <s v="25.01.22"/>
    <n v="33"/>
  </r>
  <r>
    <s v="Dable"/>
    <s v="리서치애드"/>
    <s v="멕시카나"/>
    <x v="28"/>
    <s v="서비스"/>
    <s v="음식/조리"/>
    <s v="기타 프렌차이즈점"/>
    <s v="chosun.com"/>
    <s v="신문/잡지(대)종합일간지(중)"/>
    <s v="m.web"/>
    <s v="Dable"/>
    <s v="25"/>
    <s v="01"/>
    <s v="25.01.24"/>
    <s v="25.01.24"/>
    <n v="33"/>
  </r>
  <r>
    <s v="Dable"/>
    <s v="리서치애드"/>
    <s v="멕시카나"/>
    <x v="28"/>
    <s v="서비스"/>
    <s v="음식/조리"/>
    <s v="기타 프렌차이즈점"/>
    <s v="sbs.co.kr"/>
    <s v="방송(대)방송국(중)"/>
    <s v="m.web"/>
    <s v="Dable"/>
    <s v="25"/>
    <s v="01"/>
    <s v="25.01.20"/>
    <s v="25.01.22"/>
    <n v="198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m.web"/>
    <s v="Dable"/>
    <s v="25"/>
    <s v="01"/>
    <s v="25.01.14"/>
    <s v="25.01.17"/>
    <n v="133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m.web"/>
    <s v="Dable"/>
    <s v="25"/>
    <s v="01"/>
    <s v="25.01.15"/>
    <s v="25.01.18"/>
    <n v="133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m.web"/>
    <s v="Dable"/>
    <s v="25"/>
    <s v="01"/>
    <s v="25.01.18"/>
    <s v="25.01.19"/>
    <n v="67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m.web"/>
    <s v="Dable"/>
    <s v="25"/>
    <s v="01"/>
    <s v="25.01.20"/>
    <s v="25.01.20"/>
    <n v="33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m.web"/>
    <s v="Dable"/>
    <s v="25"/>
    <s v="01"/>
    <s v="25.01.20"/>
    <s v="25.01.24"/>
    <n v="167"/>
  </r>
  <r>
    <s v="Dable"/>
    <s v="리서치애드"/>
    <s v="멕시카나"/>
    <x v="28"/>
    <s v="서비스"/>
    <s v="음식/조리"/>
    <s v="기타 프렌차이즈점"/>
    <s v="sportsseoul.com"/>
    <s v="신문/잡지(대)스포츠신문(중)"/>
    <s v="m.web"/>
    <s v="Dable"/>
    <s v="25"/>
    <s v="01"/>
    <s v="25.01.21"/>
    <s v="25.01.21"/>
    <n v="66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m.web"/>
    <s v="Dable"/>
    <s v="25"/>
    <s v="01"/>
    <s v="25.01.13"/>
    <s v="25.01.13"/>
    <n v="66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m.web"/>
    <s v="Dable"/>
    <s v="25"/>
    <s v="01"/>
    <s v="25.01.13"/>
    <s v="25.01.19"/>
    <n v="233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m.web"/>
    <s v="Dable"/>
    <s v="25"/>
    <s v="01"/>
    <s v="25.01.15"/>
    <s v="25.01.15"/>
    <n v="33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m.web"/>
    <s v="Dable"/>
    <s v="25"/>
    <s v="01"/>
    <s v="25.01.16"/>
    <s v="25.01.18"/>
    <n v="100"/>
  </r>
  <r>
    <s v="Dable"/>
    <s v="리서치애드"/>
    <s v="멕시카나"/>
    <x v="28"/>
    <s v="서비스"/>
    <s v="음식/조리"/>
    <s v="기타 프렌차이즈점"/>
    <s v="donga.com"/>
    <s v="신문/잡지(대)종합일간지(중)"/>
    <s v="m.web"/>
    <s v="Dable"/>
    <s v="25"/>
    <s v="01"/>
    <s v="25.01.20"/>
    <s v="25.01.22"/>
    <n v="100"/>
  </r>
  <r>
    <s v="애드몹"/>
    <s v="리서치애드"/>
    <s v="멕시카나"/>
    <x v="28"/>
    <s v="서비스"/>
    <s v="음식/조리"/>
    <s v="기타 프렌차이즈점"/>
    <s v="donga.com"/>
    <s v="신문/잡지(대)종합일간지(중)"/>
    <s v="m.web"/>
    <s v="애드몹"/>
    <s v="25"/>
    <s v="05"/>
    <s v="25.05.11"/>
    <s v="25.05.11"/>
    <n v="252"/>
  </r>
  <r>
    <s v="애드몹"/>
    <s v="리서치애드"/>
    <s v="멕시카나"/>
    <x v="28"/>
    <s v="서비스"/>
    <s v="음식/조리"/>
    <s v="기타 프렌차이즈점"/>
    <s v="donga.com"/>
    <s v="신문/잡지(대)종합일간지(중)"/>
    <s v="m.web"/>
    <s v="애드몹"/>
    <s v="25"/>
    <s v="06"/>
    <s v="25.06.04"/>
    <s v="25.06.04"/>
    <n v="274"/>
  </r>
  <r>
    <s v="Dable"/>
    <s v="리서치애드"/>
    <s v="멕시카나"/>
    <x v="28"/>
    <s v="서비스"/>
    <s v="음식/조리"/>
    <s v="기타 프렌차이즈점"/>
    <s v="hani.co.kr"/>
    <s v="신문/잡지(대)종합일간지(중)"/>
    <s v="m.web"/>
    <s v="Dable"/>
    <s v="25"/>
    <s v="01"/>
    <s v="25.01.17"/>
    <s v="25.01.17"/>
    <n v="33"/>
  </r>
  <r>
    <s v="언론사"/>
    <s v="리서치애드"/>
    <s v="멕시카나"/>
    <x v="28"/>
    <s v="서비스"/>
    <s v="음식/조리"/>
    <s v="기타 프렌차이즈점"/>
    <s v="hani.co.kr"/>
    <s v="신문/잡지(대)종합일간지(중)"/>
    <s v="m.web"/>
    <s v="-"/>
    <s v="25"/>
    <s v="01"/>
    <s v="25.01.18"/>
    <s v="25.01.18"/>
    <n v="103"/>
  </r>
  <r>
    <s v="Dable"/>
    <s v="리서치애드"/>
    <s v="멕시카나"/>
    <x v="28"/>
    <s v="서비스"/>
    <s v="음식/조리"/>
    <s v="기타 프렌차이즈점"/>
    <s v="ohmynews.com"/>
    <s v="신문/잡지(대)온라인뉴스(중)"/>
    <s v="m.web"/>
    <s v="Dable"/>
    <s v="25"/>
    <s v="01"/>
    <s v="25.01.14"/>
    <s v="25.01.17"/>
    <n v="133"/>
  </r>
  <r>
    <s v="Dable"/>
    <s v="리서치애드"/>
    <s v="멕시카나"/>
    <x v="28"/>
    <s v="서비스"/>
    <s v="음식/조리"/>
    <s v="기타 프렌차이즈점"/>
    <s v="ohmynews.com"/>
    <s v="신문/잡지(대)온라인뉴스(중)"/>
    <s v="m.web"/>
    <s v="Dable"/>
    <s v="25"/>
    <s v="01"/>
    <s v="25.01.20"/>
    <s v="25.01.20"/>
    <n v="33"/>
  </r>
  <r>
    <s v="Dable"/>
    <s v="리서치애드"/>
    <s v="멕시카나"/>
    <x v="28"/>
    <s v="서비스"/>
    <s v="음식/조리"/>
    <s v="기타 프렌차이즈점"/>
    <s v="ohmynews.com"/>
    <s v="신문/잡지(대)온라인뉴스(중)"/>
    <s v="m.web"/>
    <s v="Dable"/>
    <s v="25"/>
    <s v="01"/>
    <s v="25.01.20"/>
    <s v="25.01.22"/>
    <n v="100"/>
  </r>
  <r>
    <s v="Dable"/>
    <s v="리서치애드"/>
    <s v="멕시카나"/>
    <x v="28"/>
    <s v="서비스"/>
    <s v="음식/조리"/>
    <s v="기타 프렌차이즈점"/>
    <s v="ohmynews.com"/>
    <s v="신문/잡지(대)온라인뉴스(중)"/>
    <s v="m.web"/>
    <s v="Dable"/>
    <s v="25"/>
    <s v="01"/>
    <s v="25.01.20"/>
    <s v="25.01.24"/>
    <n v="167"/>
  </r>
  <r>
    <s v="애드몹"/>
    <s v="리서치애드"/>
    <s v="멕시카나"/>
    <x v="28"/>
    <s v="서비스"/>
    <s v="음식/조리"/>
    <s v="기타 프렌차이즈점"/>
    <s v="mk.co.kr"/>
    <s v="신문/잡지(대)경제신문(중)"/>
    <s v="m.web"/>
    <s v="애드몹"/>
    <s v="25"/>
    <s v="01"/>
    <s v="25.01.14"/>
    <s v="25.01.14"/>
    <n v="159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15"/>
    <s v="25.01.19"/>
    <n v="156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16"/>
    <s v="25.01.16"/>
    <n v="31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18"/>
    <s v="25.01.18"/>
    <n v="31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20"/>
    <s v="25.01.23"/>
    <n v="125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21"/>
    <s v="25.01.21"/>
    <n v="31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22"/>
    <s v="25.01.22"/>
    <n v="31"/>
  </r>
  <r>
    <s v="Dable"/>
    <s v="리서치애드"/>
    <s v="멕시카나"/>
    <x v="28"/>
    <s v="서비스"/>
    <s v="음식/조리"/>
    <s v="기타 프렌차이즈점"/>
    <s v="yna.co.kr"/>
    <s v="신문/잡지(대)온라인뉴스(중)"/>
    <s v="m.web"/>
    <s v="Dable"/>
    <s v="25"/>
    <s v="01"/>
    <s v="25.01.24"/>
    <s v="25.01.24"/>
    <n v="62"/>
  </r>
  <r>
    <s v="Dable"/>
    <s v="리서치애드"/>
    <s v="멕시카나"/>
    <x v="28"/>
    <s v="서비스"/>
    <s v="음식/조리"/>
    <s v="기타 프렌차이즈점"/>
    <s v="khan.co.kr"/>
    <s v="신문/잡지(대)종합일간지(중)"/>
    <s v="m.web"/>
    <s v="Dable"/>
    <s v="25"/>
    <s v="01"/>
    <s v="25.01.14"/>
    <s v="25.01.14"/>
    <n v="33"/>
  </r>
  <r>
    <s v="Dable"/>
    <s v="리서치애드"/>
    <s v="멕시카나"/>
    <x v="28"/>
    <s v="서비스"/>
    <s v="음식/조리"/>
    <s v="기타 프렌차이즈점"/>
    <s v="khan.co.kr"/>
    <s v="신문/잡지(대)종합일간지(중)"/>
    <s v="m.web"/>
    <s v="Dable"/>
    <s v="25"/>
    <s v="01"/>
    <s v="25.01.16"/>
    <s v="25.01.16"/>
    <n v="33"/>
  </r>
  <r>
    <s v="Dable"/>
    <s v="리서치애드"/>
    <s v="멕시카나"/>
    <x v="28"/>
    <s v="서비스"/>
    <s v="음식/조리"/>
    <s v="기타 프렌차이즈점"/>
    <s v="khan.co.kr"/>
    <s v="신문/잡지(대)종합일간지(중)"/>
    <s v="m.web"/>
    <s v="Dable"/>
    <s v="25"/>
    <s v="01"/>
    <s v="25.01.20"/>
    <s v="25.01.20"/>
    <n v="33"/>
  </r>
  <r>
    <s v="Dable"/>
    <s v="리서치애드"/>
    <s v="멕시카나"/>
    <x v="28"/>
    <s v="서비스"/>
    <s v="음식/조리"/>
    <s v="기타 프렌차이즈점"/>
    <s v="khan.co.kr"/>
    <s v="신문/잡지(대)종합일간지(중)"/>
    <s v="m.web"/>
    <s v="Dable"/>
    <s v="25"/>
    <s v="01"/>
    <s v="25.01.23"/>
    <s v="25.01.23"/>
    <n v="66"/>
  </r>
  <r>
    <s v="언론사"/>
    <s v="리서치애드"/>
    <s v="멕시카나"/>
    <x v="28"/>
    <s v="서비스"/>
    <s v="음식/조리"/>
    <s v="기타 프렌차이즈점"/>
    <s v="munhwa.com"/>
    <s v="신문/잡지(대)종합일간지(중)"/>
    <s v="m.web"/>
    <s v="-"/>
    <s v="25"/>
    <s v="01"/>
    <s v="25.01.19"/>
    <s v="25.01.19"/>
    <n v="103"/>
  </r>
  <r>
    <s v="언론사"/>
    <s v="리서치애드"/>
    <s v="멕시카나"/>
    <x v="28"/>
    <s v="서비스"/>
    <s v="음식/조리"/>
    <s v="기타 프렌차이즈점"/>
    <s v="munhwa.com"/>
    <s v="신문/잡지(대)종합일간지(중)"/>
    <s v="m.web"/>
    <s v="-"/>
    <s v="25"/>
    <s v="01"/>
    <s v="25.01.24"/>
    <s v="25.01.24"/>
    <n v="103"/>
  </r>
  <r>
    <s v="애드몹"/>
    <s v="리서치애드"/>
    <s v="멕시카나"/>
    <x v="28"/>
    <s v="서비스"/>
    <s v="음식/조리"/>
    <s v="기타 프렌차이즈점"/>
    <s v="hankyung.com"/>
    <s v="신문/잡지(대)경제신문(중)"/>
    <s v="m.web"/>
    <s v="애드몹"/>
    <s v="25"/>
    <s v="05"/>
    <s v="25.05.05"/>
    <s v="25.05.07"/>
    <n v="755"/>
  </r>
  <r>
    <s v="애드몹"/>
    <s v="리서치애드"/>
    <s v="멕시카나"/>
    <x v="28"/>
    <s v="서비스"/>
    <s v="음식/조리"/>
    <s v="기타 프렌차이즈점"/>
    <s v="pressian.com"/>
    <s v="신문/잡지(대)온라인뉴스(중)"/>
    <s v="m.web"/>
    <s v="애드몹"/>
    <s v="25"/>
    <s v="01"/>
    <s v="25.01.11"/>
    <s v="25.01.12"/>
    <n v="318"/>
  </r>
  <r>
    <s v="애드몹"/>
    <s v="리서치애드"/>
    <s v="멕시카나"/>
    <x v="28"/>
    <s v="서비스"/>
    <s v="음식/조리"/>
    <s v="기타 프렌차이즈점"/>
    <s v="pressian.com"/>
    <s v="신문/잡지(대)온라인뉴스(중)"/>
    <s v="m.web"/>
    <s v="애드몹"/>
    <s v="25"/>
    <s v="01"/>
    <s v="25.01.21"/>
    <s v="25.01.21"/>
    <n v="159"/>
  </r>
  <r>
    <s v="애드몹"/>
    <s v="리서치애드"/>
    <s v="멕시카나"/>
    <x v="28"/>
    <s v="서비스"/>
    <s v="음식/조리"/>
    <s v="기타 프렌차이즈점"/>
    <s v="pressian.com"/>
    <s v="신문/잡지(대)온라인뉴스(중)"/>
    <s v="m.web"/>
    <s v="애드몹"/>
    <s v="25"/>
    <s v="01"/>
    <s v="25.01.28"/>
    <s v="25.01.28"/>
    <n v="159"/>
  </r>
  <r>
    <s v="애드몹"/>
    <s v="리서치애드"/>
    <s v="멕시카나"/>
    <x v="28"/>
    <s v="서비스"/>
    <s v="음식/조리"/>
    <s v="기타 프렌차이즈점"/>
    <s v="pressian.com"/>
    <s v="신문/잡지(대)온라인뉴스(중)"/>
    <s v="m.web"/>
    <s v="애드몹"/>
    <s v="25"/>
    <s v="05"/>
    <s v="25.05.18"/>
    <s v="25.05.18"/>
    <n v="252"/>
  </r>
  <r>
    <s v="Dable"/>
    <s v="리서치애드"/>
    <s v="멕시카나"/>
    <x v="28"/>
    <s v="서비스"/>
    <s v="음식/조리"/>
    <s v="기타 프렌차이즈점"/>
    <s v="fnnews.com"/>
    <s v="신문/잡지(대)경제신문(중)"/>
    <s v="m.web"/>
    <s v="Dable"/>
    <s v="25"/>
    <s v="01"/>
    <s v="25.01.21"/>
    <s v="25.01.21"/>
    <n v="33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13"/>
    <s v="25.01.18"/>
    <n v="188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16"/>
    <s v="25.01.19"/>
    <n v="125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17"/>
    <s v="25.01.17"/>
    <n v="31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19"/>
    <s v="25.01.19"/>
    <n v="31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20"/>
    <s v="25.01.20"/>
    <n v="62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20"/>
    <s v="25.01.24"/>
    <n v="156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21"/>
    <s v="25.01.21"/>
    <n v="31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21"/>
    <s v="25.01.23"/>
    <n v="94"/>
  </r>
  <r>
    <s v="Dable"/>
    <s v="리서치애드"/>
    <s v="멕시카나"/>
    <x v="28"/>
    <s v="서비스"/>
    <s v="음식/조리"/>
    <s v="기타 프렌차이즈점"/>
    <s v="kmib.co.kr"/>
    <s v="신문/잡지(대)종합일간지(중)"/>
    <s v="m.web"/>
    <s v="Dable"/>
    <s v="25"/>
    <s v="01"/>
    <s v="25.01.21"/>
    <s v="25.01.24"/>
    <n v="125"/>
  </r>
  <r>
    <s v="Dable"/>
    <s v="리서치애드"/>
    <s v="멕시카나"/>
    <x v="28"/>
    <s v="서비스"/>
    <s v="음식/조리"/>
    <s v="기타 프렌차이즈점"/>
    <s v="mt.co.kr"/>
    <s v="신문/잡지(대)경제신문(중)"/>
    <s v="m.web"/>
    <s v="Dable"/>
    <s v="25"/>
    <s v="01"/>
    <s v="25.01.13"/>
    <s v="25.01.13"/>
    <n v="21"/>
  </r>
  <r>
    <s v="Dable"/>
    <s v="리서치애드"/>
    <s v="멕시카나"/>
    <x v="28"/>
    <s v="서비스"/>
    <s v="음식/조리"/>
    <s v="기타 프렌차이즈점"/>
    <s v="mt.co.kr"/>
    <s v="신문/잡지(대)경제신문(중)"/>
    <s v="m.web"/>
    <s v="Dable"/>
    <s v="25"/>
    <s v="01"/>
    <s v="25.01.14"/>
    <s v="25.01.14"/>
    <n v="21"/>
  </r>
  <r>
    <s v="Dable"/>
    <s v="리서치애드"/>
    <s v="멕시카나"/>
    <x v="28"/>
    <s v="서비스"/>
    <s v="음식/조리"/>
    <s v="기타 프렌차이즈점"/>
    <s v="mt.co.kr"/>
    <s v="신문/잡지(대)경제신문(중)"/>
    <s v="m.web"/>
    <s v="Dable"/>
    <s v="25"/>
    <s v="01"/>
    <s v="25.01.16"/>
    <s v="25.01.16"/>
    <n v="21"/>
  </r>
  <r>
    <s v="Dable"/>
    <s v="리서치애드"/>
    <s v="멕시카나"/>
    <x v="28"/>
    <s v="서비스"/>
    <s v="음식/조리"/>
    <s v="기타 프렌차이즈점"/>
    <s v="mt.co.kr"/>
    <s v="신문/잡지(대)경제신문(중)"/>
    <s v="m.web"/>
    <s v="Dable"/>
    <s v="25"/>
    <s v="01"/>
    <s v="25.01.24"/>
    <s v="25.01.24"/>
    <n v="21"/>
  </r>
  <r>
    <s v="Dable"/>
    <s v="리서치애드"/>
    <s v="멕시카나"/>
    <x v="28"/>
    <s v="서비스"/>
    <s v="음식/조리"/>
    <s v="기타 프렌차이즈점"/>
    <s v="ytn.co.kr"/>
    <s v="방송(대)케이블/위성방송(중)"/>
    <s v="m.web"/>
    <s v="Dable"/>
    <s v="25"/>
    <s v="01"/>
    <s v="25.01.20"/>
    <s v="25.01.24"/>
    <n v="167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13"/>
    <s v="25.01.14"/>
    <n v="67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13"/>
    <s v="25.01.18"/>
    <n v="200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17"/>
    <s v="25.01.17"/>
    <n v="33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18"/>
    <s v="25.01.18"/>
    <n v="33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19"/>
    <s v="25.01.19"/>
    <n v="33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20"/>
    <s v="25.01.20"/>
    <n v="66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20"/>
    <s v="25.01.24"/>
    <n v="167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21"/>
    <s v="25.01.21"/>
    <n v="33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22"/>
    <s v="25.01.22"/>
    <n v="33"/>
  </r>
  <r>
    <s v="Dable"/>
    <s v="리서치애드"/>
    <s v="멕시카나"/>
    <x v="28"/>
    <s v="서비스"/>
    <s v="음식/조리"/>
    <s v="기타 프렌차이즈점"/>
    <s v="edaily.co.kr"/>
    <s v="신문/잡지(대)신문/잡지 기타(중)"/>
    <s v="m.web"/>
    <s v="Dable"/>
    <s v="25"/>
    <s v="01"/>
    <s v="25.01.23"/>
    <s v="25.01.23"/>
    <n v="33"/>
  </r>
  <r>
    <s v="Dable"/>
    <s v="리서치애드"/>
    <s v="멕시카나"/>
    <x v="28"/>
    <s v="서비스"/>
    <s v="음식/조리"/>
    <s v="기타 프렌차이즈점"/>
    <s v="dt.co.kr"/>
    <s v="신문/잡지(대)IT관련 뉴스(중)"/>
    <s v="m.web"/>
    <s v="Dable"/>
    <s v="25"/>
    <s v="01"/>
    <s v="25.01.13"/>
    <s v="25.01.13"/>
    <n v="66"/>
  </r>
  <r>
    <s v="Dable"/>
    <s v="리서치애드"/>
    <s v="멕시카나"/>
    <x v="28"/>
    <s v="서비스"/>
    <s v="음식/조리"/>
    <s v="기타 프렌차이즈점"/>
    <s v="dt.co.kr"/>
    <s v="신문/잡지(대)IT관련 뉴스(중)"/>
    <s v="m.web"/>
    <s v="Dable"/>
    <s v="25"/>
    <s v="01"/>
    <s v="25.01.13"/>
    <s v="25.01.16"/>
    <n v="264"/>
  </r>
  <r>
    <s v="Dable"/>
    <s v="리서치애드"/>
    <s v="멕시카나"/>
    <x v="28"/>
    <s v="서비스"/>
    <s v="음식/조리"/>
    <s v="기타 프렌차이즈점"/>
    <s v="dt.co.kr"/>
    <s v="신문/잡지(대)IT관련 뉴스(중)"/>
    <s v="m.web"/>
    <s v="Dable"/>
    <s v="25"/>
    <s v="01"/>
    <s v="25.01.18"/>
    <s v="25.01.18"/>
    <n v="66"/>
  </r>
  <r>
    <s v="Dable"/>
    <s v="리서치애드"/>
    <s v="멕시카나"/>
    <x v="28"/>
    <s v="서비스"/>
    <s v="음식/조리"/>
    <s v="기타 프렌차이즈점"/>
    <s v="dt.co.kr"/>
    <s v="신문/잡지(대)IT관련 뉴스(중)"/>
    <s v="m.web"/>
    <s v="Dable"/>
    <s v="25"/>
    <s v="01"/>
    <s v="25.01.20"/>
    <s v="25.01.23"/>
    <n v="264"/>
  </r>
  <r>
    <s v="Dable"/>
    <s v="리서치애드"/>
    <s v="멕시카나"/>
    <x v="28"/>
    <s v="서비스"/>
    <s v="음식/조리"/>
    <s v="기타 프렌차이즈점"/>
    <s v="dt.co.kr"/>
    <s v="신문/잡지(대)IT관련 뉴스(중)"/>
    <s v="m.web"/>
    <s v="Dable"/>
    <s v="25"/>
    <s v="01"/>
    <s v="25.01.21"/>
    <s v="25.01.22"/>
    <n v="132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13"/>
    <s v="25.01.13"/>
    <n v="33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13"/>
    <s v="25.01.14"/>
    <n v="67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14"/>
    <s v="25.01.14"/>
    <n v="33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14"/>
    <s v="25.01.19"/>
    <n v="200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15"/>
    <s v="25.01.15"/>
    <n v="33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16"/>
    <s v="25.01.19"/>
    <n v="133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20"/>
    <s v="25.01.20"/>
    <n v="33"/>
  </r>
  <r>
    <s v="Dable"/>
    <s v="리서치애드"/>
    <s v="멕시카나"/>
    <x v="28"/>
    <s v="서비스"/>
    <s v="음식/조리"/>
    <s v="기타 프렌차이즈점"/>
    <s v="nocutnews.co.kr"/>
    <s v="신문/잡지(대)온라인뉴스(중)"/>
    <s v="m.web"/>
    <s v="Dable"/>
    <s v="25"/>
    <s v="01"/>
    <s v="25.01.20"/>
    <s v="25.01.24"/>
    <n v="334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m.web"/>
    <s v="Dable"/>
    <s v="25"/>
    <s v="01"/>
    <s v="25.01.16"/>
    <s v="25.01.16"/>
    <n v="33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m.web"/>
    <s v="Dable"/>
    <s v="25"/>
    <s v="01"/>
    <s v="25.01.16"/>
    <s v="25.01.18"/>
    <n v="100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m.web"/>
    <s v="Dable"/>
    <s v="25"/>
    <s v="01"/>
    <s v="25.01.20"/>
    <s v="25.01.23"/>
    <n v="133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m.web"/>
    <s v="Dable"/>
    <s v="25"/>
    <s v="01"/>
    <s v="25.01.22"/>
    <s v="25.01.22"/>
    <n v="33"/>
  </r>
  <r>
    <s v="Dable"/>
    <s v="리서치애드"/>
    <s v="멕시카나"/>
    <x v="28"/>
    <s v="서비스"/>
    <s v="음식/조리"/>
    <s v="기타 프렌차이즈점"/>
    <s v="asiae.co.kr"/>
    <s v="신문/잡지(대)경제신문(중)"/>
    <s v="m.web"/>
    <s v="Dable"/>
    <s v="25"/>
    <s v="01"/>
    <s v="25.01.24"/>
    <s v="25.01.24"/>
    <n v="33"/>
  </r>
  <r>
    <s v="Dable"/>
    <s v="리서치애드"/>
    <s v="멕시카나"/>
    <x v="28"/>
    <s v="서비스"/>
    <s v="음식/조리"/>
    <s v="기타 프렌차이즈점"/>
    <s v="zum.com"/>
    <s v="포털(대)포털(중)"/>
    <s v="m.web"/>
    <s v="Dable"/>
    <s v="25"/>
    <s v="01"/>
    <s v="25.01.21"/>
    <s v="25.01.21"/>
    <n v="66"/>
  </r>
  <r>
    <s v="Dable"/>
    <s v="리서치애드"/>
    <s v="멕시카나"/>
    <x v="28"/>
    <s v="서비스"/>
    <s v="음식/조리"/>
    <s v="기타 프렌차이즈점"/>
    <s v="thisisgame.com"/>
    <s v="엔터테인먼트(대)게임(중)"/>
    <s v="m.web"/>
    <s v="Dable"/>
    <s v="25"/>
    <s v="01"/>
    <s v="25.01.13"/>
    <s v="25.01.13"/>
    <n v="59"/>
  </r>
  <r>
    <s v="Dable"/>
    <s v="리서치애드"/>
    <s v="멕시카나"/>
    <x v="28"/>
    <s v="서비스"/>
    <s v="음식/조리"/>
    <s v="기타 프렌차이즈점"/>
    <s v="thisisgame.com"/>
    <s v="엔터테인먼트(대)게임(중)"/>
    <s v="m.web"/>
    <s v="Dable"/>
    <s v="25"/>
    <s v="01"/>
    <s v="25.01.20"/>
    <s v="25.01.20"/>
    <n v="59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1"/>
    <s v="25.01.20"/>
    <s v="25.01.20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1"/>
    <s v="25.01.22"/>
    <s v="25.01.22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1"/>
    <s v="25.01.24"/>
    <s v="25.01.24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1"/>
    <s v="25.01.25"/>
    <s v="25.01.26"/>
    <n v="11790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1"/>
    <s v="25.01.27"/>
    <s v="25.01.28"/>
    <n v="11790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1"/>
    <s v="25.01.31"/>
    <s v="25.01.31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1"/>
    <s v="25.02.01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2"/>
    <s v="25.02.02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3"/>
    <s v="25.02.03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4"/>
    <s v="25.02.09"/>
    <n v="35369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6"/>
    <s v="25.02.06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7"/>
    <s v="25.02.07"/>
    <n v="5895"/>
  </r>
  <r>
    <s v="카카오광고"/>
    <s v="리서치애드"/>
    <s v="멕시카나"/>
    <x v="28"/>
    <s v="서비스"/>
    <s v="음식/조리"/>
    <s v="기타 프렌차이즈점"/>
    <s v="카카오톡"/>
    <s v="커뮤니케이션(대)채팅/메신저(중)"/>
    <s v="m.app"/>
    <s v="카카오광고"/>
    <s v="25"/>
    <s v="02"/>
    <s v="25.02.08"/>
    <s v="25.02.08"/>
    <n v="5895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m.web"/>
    <s v="Dable"/>
    <s v="25"/>
    <s v="01"/>
    <s v="25.01.16"/>
    <s v="25.01.19"/>
    <n v="84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m.web"/>
    <s v="Dable"/>
    <s v="25"/>
    <s v="01"/>
    <s v="25.01.17"/>
    <s v="25.01.17"/>
    <n v="21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m.web"/>
    <s v="Dable"/>
    <s v="25"/>
    <s v="01"/>
    <s v="25.01.18"/>
    <s v="25.01.18"/>
    <n v="21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m.web"/>
    <s v="Dable"/>
    <s v="25"/>
    <s v="01"/>
    <s v="25.01.21"/>
    <s v="25.01.21"/>
    <n v="21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m.web"/>
    <s v="Dable"/>
    <s v="25"/>
    <s v="01"/>
    <s v="25.01.21"/>
    <s v="25.01.23"/>
    <n v="63"/>
  </r>
  <r>
    <s v="Dable"/>
    <s v="리서치애드"/>
    <s v="멕시카나"/>
    <x v="28"/>
    <s v="서비스"/>
    <s v="음식/조리"/>
    <s v="기타 프렌차이즈점"/>
    <s v="stoo.com"/>
    <s v="신문/잡지(대)스포츠신문(중)"/>
    <s v="m.web"/>
    <s v="Dable"/>
    <s v="25"/>
    <s v="01"/>
    <s v="25.01.22"/>
    <s v="25.01.22"/>
    <n v="21"/>
  </r>
  <r>
    <s v="Dable"/>
    <s v="리서치애드"/>
    <s v="멕시카나"/>
    <x v="28"/>
    <s v="서비스"/>
    <s v="음식/조리"/>
    <s v="기타 프렌차이즈점"/>
    <s v="cine21.com"/>
    <s v="신문/잡지(대)잡지(중)"/>
    <s v="m.web"/>
    <s v="Dable"/>
    <s v="25"/>
    <s v="01"/>
    <s v="25.01.24"/>
    <s v="25.01.24"/>
    <n v="21"/>
  </r>
  <r>
    <s v="Dable"/>
    <s v="리서치애드"/>
    <s v="멕시카나"/>
    <x v="28"/>
    <s v="서비스"/>
    <s v="음식/조리"/>
    <s v="기타 프렌차이즈점"/>
    <s v="ichannela.com"/>
    <s v="방송(대)방송기타(중)"/>
    <s v="m.web"/>
    <s v="Dable"/>
    <s v="25"/>
    <s v="01"/>
    <s v="25.01.13"/>
    <s v="25.01.13"/>
    <n v="21"/>
  </r>
  <r>
    <s v="Dable"/>
    <s v="리서치애드"/>
    <s v="멕시카나"/>
    <x v="28"/>
    <s v="서비스"/>
    <s v="음식/조리"/>
    <s v="기타 프렌차이즈점"/>
    <s v="ichannela.com"/>
    <s v="방송(대)방송기타(중)"/>
    <s v="m.web"/>
    <s v="Dable"/>
    <s v="25"/>
    <s v="01"/>
    <s v="25.01.22"/>
    <s v="25.01.22"/>
    <n v="21"/>
  </r>
  <r>
    <s v="애드몹"/>
    <s v="리서치애드"/>
    <s v="멕시카나"/>
    <x v="28"/>
    <s v="서비스"/>
    <s v="음식/조리"/>
    <s v="기타 프렌차이즈점"/>
    <s v="ichannela.com"/>
    <s v="방송(대)방송기타(중)"/>
    <s v="m.web"/>
    <s v="애드몹"/>
    <s v="25"/>
    <s v="05"/>
    <s v="25.05.07"/>
    <s v="25.05.07"/>
    <n v="160"/>
  </r>
  <r>
    <s v="애드몹"/>
    <s v="리서치애드"/>
    <s v="멕시카나"/>
    <x v="28"/>
    <s v="서비스"/>
    <s v="음식/조리"/>
    <s v="기타 프렌차이즈점"/>
    <s v="tvchosun.com"/>
    <s v="방송(대)방송기타(중)"/>
    <s v="m.web"/>
    <s v="애드몹"/>
    <s v="25"/>
    <s v="05"/>
    <s v="25.05.07"/>
    <s v="25.05.07"/>
    <n v="160"/>
  </r>
  <r>
    <s v="애드몹"/>
    <s v="리서치애드"/>
    <s v="멕시카나"/>
    <x v="28"/>
    <s v="서비스"/>
    <s v="음식/조리"/>
    <s v="기타 프렌차이즈점"/>
    <s v="나를 위한알람시계"/>
    <s v="모바일(대)도구/유틸리티(중)"/>
    <s v="m.app"/>
    <s v="애드몹"/>
    <s v="25"/>
    <s v="06"/>
    <s v="25.06.08"/>
    <s v="25.06.08"/>
    <n v="160"/>
  </r>
  <r>
    <s v="Dable"/>
    <s v="리서치애드"/>
    <s v="멕시카나"/>
    <x v="28"/>
    <s v="서비스"/>
    <s v="음식/조리"/>
    <s v="기타 프렌차이즈점"/>
    <s v="mydaily.co.kr"/>
    <s v="신문/잡지(대)온라인뉴스(중)"/>
    <s v="m.web"/>
    <s v="Dable"/>
    <s v="25"/>
    <s v="01"/>
    <s v="25.01.13"/>
    <s v="25.01.13"/>
    <n v="21"/>
  </r>
  <r>
    <s v="Dable"/>
    <s v="리서치애드"/>
    <s v="멕시카나"/>
    <x v="28"/>
    <s v="서비스"/>
    <s v="음식/조리"/>
    <s v="기타 프렌차이즈점"/>
    <s v="mydaily.co.kr"/>
    <s v="신문/잡지(대)온라인뉴스(중)"/>
    <s v="m.web"/>
    <s v="Dable"/>
    <s v="25"/>
    <s v="01"/>
    <s v="25.01.14"/>
    <s v="25.01.19"/>
    <n v="126"/>
  </r>
  <r>
    <s v="Dable"/>
    <s v="리서치애드"/>
    <s v="멕시카나"/>
    <x v="28"/>
    <s v="서비스"/>
    <s v="음식/조리"/>
    <s v="기타 프렌차이즈점"/>
    <s v="mydaily.co.kr"/>
    <s v="신문/잡지(대)온라인뉴스(중)"/>
    <s v="m.web"/>
    <s v="Dable"/>
    <s v="25"/>
    <s v="01"/>
    <s v="25.01.16"/>
    <s v="25.01.18"/>
    <n v="63"/>
  </r>
  <r>
    <s v="Dable"/>
    <s v="리서치애드"/>
    <s v="멕시카나"/>
    <x v="28"/>
    <s v="서비스"/>
    <s v="음식/조리"/>
    <s v="기타 프렌차이즈점"/>
    <s v="mydaily.co.kr"/>
    <s v="신문/잡지(대)온라인뉴스(중)"/>
    <s v="m.web"/>
    <s v="Dable"/>
    <s v="25"/>
    <s v="01"/>
    <s v="25.01.20"/>
    <s v="25.01.21"/>
    <n v="42"/>
  </r>
  <r>
    <s v="Dable"/>
    <s v="리서치애드"/>
    <s v="멕시카나"/>
    <x v="28"/>
    <s v="서비스"/>
    <s v="음식/조리"/>
    <s v="기타 프렌차이즈점"/>
    <s v="mydaily.co.kr"/>
    <s v="신문/잡지(대)온라인뉴스(중)"/>
    <s v="m.web"/>
    <s v="Dable"/>
    <s v="25"/>
    <s v="01"/>
    <s v="25.01.20"/>
    <s v="25.01.23"/>
    <n v="84"/>
  </r>
  <r>
    <s v="Dable"/>
    <s v="리서치애드"/>
    <s v="멕시카나"/>
    <x v="28"/>
    <s v="서비스"/>
    <s v="음식/조리"/>
    <s v="기타 프렌차이즈점"/>
    <s v="mydaily.co.kr"/>
    <s v="신문/잡지(대)온라인뉴스(중)"/>
    <s v="m.web"/>
    <s v="Dable"/>
    <s v="25"/>
    <s v="01"/>
    <s v="25.01.22"/>
    <s v="25.01.22"/>
    <n v="21"/>
  </r>
  <r>
    <s v="Dable"/>
    <s v="리서치애드"/>
    <s v="멕시카나"/>
    <x v="28"/>
    <s v="서비스"/>
    <s v="음식/조리"/>
    <s v="기타 프렌차이즈점"/>
    <s v="maxmovie.com"/>
    <s v="엔터테인먼트(대)영화/공연(중)"/>
    <s v="m.web"/>
    <s v="Dable"/>
    <s v="25"/>
    <s v="01"/>
    <s v="25.01.13"/>
    <s v="25.01.13"/>
    <n v="21"/>
  </r>
  <r>
    <s v="Dable"/>
    <s v="리서치애드"/>
    <s v="멕시카나"/>
    <x v="28"/>
    <s v="서비스"/>
    <s v="음식/조리"/>
    <s v="기타 프렌차이즈점"/>
    <s v="maxmovie.com"/>
    <s v="엔터테인먼트(대)영화/공연(중)"/>
    <s v="m.web"/>
    <s v="Dable"/>
    <s v="25"/>
    <s v="01"/>
    <s v="25.01.14"/>
    <s v="25.01.19"/>
    <n v="126"/>
  </r>
  <r>
    <s v="Dable"/>
    <s v="리서치애드"/>
    <s v="멕시카나"/>
    <x v="28"/>
    <s v="서비스"/>
    <s v="음식/조리"/>
    <s v="기타 프렌차이즈점"/>
    <s v="maxmovie.com"/>
    <s v="엔터테인먼트(대)영화/공연(중)"/>
    <s v="m.web"/>
    <s v="Dable"/>
    <s v="25"/>
    <s v="01"/>
    <s v="25.01.16"/>
    <s v="25.01.16"/>
    <n v="21"/>
  </r>
  <r>
    <s v="Dable"/>
    <s v="리서치애드"/>
    <s v="멕시카나"/>
    <x v="28"/>
    <s v="서비스"/>
    <s v="음식/조리"/>
    <s v="기타 프렌차이즈점"/>
    <s v="maxmovie.com"/>
    <s v="엔터테인먼트(대)영화/공연(중)"/>
    <s v="m.web"/>
    <s v="Dable"/>
    <s v="25"/>
    <s v="01"/>
    <s v="25.01.23"/>
    <s v="25.01.23"/>
    <n v="21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04"/>
    <s v="25.04.25"/>
    <s v="25.04.27"/>
    <n v="1210"/>
  </r>
  <r>
    <s v="SNS"/>
    <s v="리서치애드"/>
    <s v="멕시카나"/>
    <x v="28"/>
    <s v="서비스"/>
    <s v="음식/조리"/>
    <s v="기타 프렌차이즈점"/>
    <s v="Instagram"/>
    <s v="커뮤니티(대)홈페이지(중)"/>
    <s v="m.app"/>
    <s v="-"/>
    <s v="25"/>
    <s v="04"/>
    <s v="25.04.28"/>
    <s v="25.04.29"/>
    <n v="807"/>
  </r>
  <r>
    <s v="애드몹"/>
    <s v="리서치애드"/>
    <s v="멕시카나"/>
    <x v="28"/>
    <s v="서비스"/>
    <s v="음식/조리"/>
    <s v="기타 프렌차이즈점"/>
    <s v="Smash DIY SLIME - Fidget Slimy"/>
    <s v="엔터테인먼트(대)게임(중)"/>
    <s v="m.app"/>
    <s v="애드몹"/>
    <s v="25"/>
    <s v="01"/>
    <s v="25.01.22"/>
    <s v="25.01.22"/>
    <n v="93"/>
  </r>
  <r>
    <s v="애드몹"/>
    <s v="리서치애드"/>
    <s v="멕시카나"/>
    <x v="28"/>
    <s v="서비스"/>
    <s v="음식/조리"/>
    <s v="기타 프렌차이즈점"/>
    <s v="joongang.co.kr"/>
    <s v="신문/잡지(대)종합일간지(중)"/>
    <s v="m.web"/>
    <s v="애드몹"/>
    <s v="25"/>
    <s v="01"/>
    <s v="25.01.10"/>
    <s v="25.01.10"/>
    <n v="152"/>
  </r>
  <r>
    <s v="Dable"/>
    <s v="리서치애드"/>
    <s v="멕시카나"/>
    <x v="28"/>
    <s v="서비스"/>
    <s v="음식/조리"/>
    <s v="기타 프렌차이즈점"/>
    <s v="jtbc.co.kr"/>
    <s v="방송(대)방송기타(중)"/>
    <s v="m.web"/>
    <s v="Dable"/>
    <s v="25"/>
    <s v="01"/>
    <s v="25.01.22"/>
    <s v="25.01.22"/>
    <n v="31"/>
  </r>
  <r>
    <s v="애드몹"/>
    <s v="리서치애드"/>
    <s v="멕시카나"/>
    <x v="28"/>
    <s v="서비스"/>
    <s v="음식/조리"/>
    <s v="기타 프렌차이즈점"/>
    <s v="Kungfu Ragdoll"/>
    <s v="엔터테인먼트(대)게임(중)"/>
    <s v="m.app"/>
    <s v="애드몹"/>
    <s v="25"/>
    <s v="01"/>
    <s v="25.01.20"/>
    <s v="25.01.20"/>
    <n v="93"/>
  </r>
  <r>
    <s v="애드몹"/>
    <s v="리서치애드"/>
    <s v="코리아델로스KD"/>
    <x v="36"/>
    <s v="서비스"/>
    <s v="음식/조리"/>
    <s v="기타 프렌차이즈점"/>
    <s v="Glow Hockey"/>
    <s v="엔터테인먼트(대)게임(중)"/>
    <s v="m.app"/>
    <s v="애드몹"/>
    <s v="25"/>
    <s v="05"/>
    <s v="25.05.20"/>
    <s v="25.05.21"/>
    <n v="294"/>
  </r>
  <r>
    <s v="애드몹"/>
    <s v="리서치애드"/>
    <s v="코리아델로스KD"/>
    <x v="36"/>
    <s v="서비스"/>
    <s v="음식/조리"/>
    <s v="기타 프렌차이즈점"/>
    <s v="감옥탈출2"/>
    <s v="엔터테인먼트(대)게임(중)"/>
    <s v="m.app"/>
    <s v="애드몹"/>
    <s v="25"/>
    <s v="04"/>
    <s v="25.04.08"/>
    <s v="25.04.09"/>
    <n v="266"/>
  </r>
  <r>
    <s v="애드몹"/>
    <s v="리서치애드"/>
    <s v="코리아델로스KD"/>
    <x v="36"/>
    <s v="서비스"/>
    <s v="음식/조리"/>
    <s v="기타 프렌차이즈점"/>
    <s v="Draw Cartoon"/>
    <s v="엔터테인먼트(대)엔터테인먼트 기타(중)"/>
    <s v="m.app"/>
    <s v="애드몹"/>
    <s v="25"/>
    <s v="06"/>
    <s v="25.06.06"/>
    <s v="25.06.06"/>
    <n v="160"/>
  </r>
  <r>
    <s v="애드몹"/>
    <s v="리서치애드"/>
    <s v="코리아델로스KD"/>
    <x v="36"/>
    <s v="서비스"/>
    <s v="음식/조리"/>
    <s v="기타 프렌차이즈점"/>
    <s v="mydaily.co.kr"/>
    <s v="신문/잡지(대)온라인뉴스(중)"/>
    <s v="m.web"/>
    <s v="애드몹"/>
    <s v="25"/>
    <s v="06"/>
    <s v="25.06.04"/>
    <s v="25.06.04"/>
    <n v="174"/>
  </r>
  <r>
    <s v="애드몹"/>
    <s v="리서치애드"/>
    <s v="코리아델로스KD"/>
    <x v="36"/>
    <s v="서비스"/>
    <s v="음식/조리"/>
    <s v="기타 프렌차이즈점"/>
    <s v="연상퀴즈"/>
    <s v="엔터테인먼트(대)게임(중)"/>
    <s v="m.app"/>
    <s v="애드몹"/>
    <s v="25"/>
    <s v="05"/>
    <s v="25.05.24"/>
    <s v="25.05.25"/>
    <n v="294"/>
  </r>
  <r>
    <s v="애드몹"/>
    <s v="리서치애드"/>
    <s v="코리아델로스KD"/>
    <x v="36"/>
    <s v="서비스"/>
    <s v="음식/조리"/>
    <s v="기타 프렌차이즈점"/>
    <s v="아기 재우기"/>
    <s v="모바일(대)엔터테인먼트(중)"/>
    <s v="m.app"/>
    <s v="애드몹"/>
    <s v="25"/>
    <s v="06"/>
    <s v="25.06.02"/>
    <s v="25.06.02"/>
    <n v="160"/>
  </r>
  <r>
    <s v="애드몹"/>
    <s v="리서치애드"/>
    <s v="코리아델로스KD"/>
    <x v="36"/>
    <s v="서비스"/>
    <s v="음식/조리"/>
    <s v="기타 프렌차이즈점"/>
    <s v="Ball Sort Puzzle"/>
    <s v="엔터테인먼트(대)게임(중)"/>
    <s v="m.app"/>
    <s v="애드몹"/>
    <s v="25"/>
    <s v="06"/>
    <s v="25.06.06"/>
    <s v="25.06.06"/>
    <n v="160"/>
  </r>
  <r>
    <s v="애드몹"/>
    <s v="리서치애드"/>
    <s v="코리아델로스KD"/>
    <x v="36"/>
    <s v="서비스"/>
    <s v="음식/조리"/>
    <s v="기타 프렌차이즈점"/>
    <s v="전국CCTV지도"/>
    <s v="생활정보(대)생활정보 기타(중)"/>
    <s v="m.app"/>
    <s v="애드몹"/>
    <s v="25"/>
    <s v="06"/>
    <s v="25.06.04"/>
    <s v="25.06.04"/>
    <n v="160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1"/>
    <s v="25.01.24"/>
    <s v="25.01.26"/>
    <n v="441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1"/>
    <s v="25.01.27"/>
    <s v="25.01.30"/>
    <n v="588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2"/>
    <s v="25.02.17"/>
    <s v="25.02.23"/>
    <n v="1029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2"/>
    <s v="25.02.24"/>
    <s v="25.02.28"/>
    <n v="735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3"/>
    <s v="25.03.10"/>
    <s v="25.03.16"/>
    <n v="1029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3"/>
    <s v="25.03.11"/>
    <s v="25.03.12"/>
    <n v="981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3"/>
    <s v="25.03.17"/>
    <s v="25.03.23"/>
    <n v="1029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3"/>
    <s v="25.03.21"/>
    <s v="25.03.21"/>
    <n v="490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3"/>
    <s v="25.03.25"/>
    <s v="25.03.30"/>
    <n v="882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3"/>
    <s v="25.03.31"/>
    <s v="25.03.31"/>
    <n v="1470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4"/>
    <s v="25.04.01"/>
    <s v="25.04.04"/>
    <n v="588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5"/>
    <s v="25.05.16"/>
    <s v="25.05.18"/>
    <n v="4413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5"/>
    <s v="25.05.19"/>
    <s v="25.05.25"/>
    <n v="10296"/>
  </r>
  <r>
    <s v="포털"/>
    <s v="리서치애드"/>
    <s v="한국일오삼농산"/>
    <x v="29"/>
    <s v="서비스"/>
    <s v="음식/조리"/>
    <s v="기타 프렌차이즈점"/>
    <s v="nate.com"/>
    <s v="포털(대)포털(중)"/>
    <s v="m.web"/>
    <s v="-"/>
    <s v="25"/>
    <s v="05"/>
    <s v="25.05.26"/>
    <s v="25.05.31"/>
    <n v="8826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2"/>
    <s v="25.02.08"/>
    <s v="25.02.08"/>
    <n v="436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3"/>
    <s v="25.03.18"/>
    <s v="25.03.23"/>
    <n v="2713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3"/>
    <s v="25.03.20"/>
    <s v="25.03.23"/>
    <n v="1809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3"/>
    <s v="25.03.22"/>
    <s v="25.03.22"/>
    <n v="452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5"/>
    <s v="25.05.25"/>
    <s v="25.05.25"/>
    <n v="499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5"/>
    <s v="25.05.26"/>
    <s v="25.05.28"/>
    <n v="1497"/>
  </r>
  <r>
    <s v="애드몹"/>
    <s v="리서치애드"/>
    <s v="한국일오삼농산"/>
    <x v="29"/>
    <s v="서비스"/>
    <s v="음식/조리"/>
    <s v="기타 프렌차이즈점"/>
    <s v="sbs.co.kr"/>
    <s v="방송(대)방송국(중)"/>
    <s v="m.web"/>
    <s v="애드몹"/>
    <s v="25"/>
    <s v="05"/>
    <s v="25.05.28"/>
    <s v="25.05.28"/>
    <n v="499"/>
  </r>
  <r>
    <s v="애드몹"/>
    <s v="리서치애드"/>
    <s v="한국일오삼농산"/>
    <x v="29"/>
    <s v="서비스"/>
    <s v="음식/조리"/>
    <s v="기타 프렌차이즈점"/>
    <s v="imbc.com"/>
    <s v="방송(대)방송국(중)"/>
    <s v="m.web"/>
    <s v="애드몹"/>
    <s v="25"/>
    <s v="03"/>
    <s v="25.03.20"/>
    <s v="25.03.22"/>
    <n v="683"/>
  </r>
  <r>
    <s v="애드몹"/>
    <s v="리서치애드"/>
    <s v="한국일오삼농산"/>
    <x v="29"/>
    <s v="서비스"/>
    <s v="음식/조리"/>
    <s v="기타 프렌차이즈점"/>
    <s v="imbc.com"/>
    <s v="방송(대)방송국(중)"/>
    <s v="m.web"/>
    <s v="애드몹"/>
    <s v="25"/>
    <s v="05"/>
    <s v="25.05.24"/>
    <s v="25.05.25"/>
    <n v="503"/>
  </r>
  <r>
    <s v="애드몹"/>
    <s v="리서치애드"/>
    <s v="한국일오삼농산"/>
    <x v="29"/>
    <s v="서비스"/>
    <s v="음식/조리"/>
    <s v="기타 프렌차이즈점"/>
    <s v="imbc.com"/>
    <s v="방송(대)방송국(중)"/>
    <s v="m.web"/>
    <s v="애드몹"/>
    <s v="25"/>
    <s v="05"/>
    <s v="25.05.26"/>
    <s v="25.05.28"/>
    <n v="755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02"/>
    <s v="25.02.08"/>
    <s v="25.02.08"/>
    <n v="220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02"/>
    <s v="25.02.13"/>
    <s v="25.02.16"/>
    <n v="879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02"/>
    <s v="25.02.14"/>
    <s v="25.02.15"/>
    <n v="439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02"/>
    <s v="25.02.25"/>
    <s v="25.02.28"/>
    <n v="879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02"/>
    <s v="25.02.28"/>
    <s v="25.02.28"/>
    <n v="220"/>
  </r>
  <r>
    <s v="애드몹"/>
    <s v="리서치애드"/>
    <s v="한국일오삼농산"/>
    <x v="29"/>
    <s v="서비스"/>
    <s v="음식/조리"/>
    <s v="기타 프렌차이즈점"/>
    <s v="sportsseoul.com"/>
    <s v="신문/잡지(대)스포츠신문(중)"/>
    <s v="m.web"/>
    <s v="애드몹"/>
    <s v="25"/>
    <s v="04"/>
    <s v="25.04.23"/>
    <s v="25.04.26"/>
    <n v="911"/>
  </r>
  <r>
    <s v="애드몹"/>
    <s v="리서치애드"/>
    <s v="한국일오삼농산"/>
    <x v="29"/>
    <s v="서비스"/>
    <s v="음식/조리"/>
    <s v="기타 프렌차이즈점"/>
    <s v="donga.com"/>
    <s v="신문/잡지(대)종합일간지(중)"/>
    <s v="m.web"/>
    <s v="애드몹"/>
    <s v="25"/>
    <s v="05"/>
    <s v="25.05.28"/>
    <s v="25.05.28"/>
    <n v="504"/>
  </r>
  <r>
    <s v="애드몹"/>
    <s v="리서치애드"/>
    <s v="한국일오삼농산"/>
    <x v="29"/>
    <s v="서비스"/>
    <s v="음식/조리"/>
    <s v="기타 프렌차이즈점"/>
    <s v="hani.co.kr"/>
    <s v="신문/잡지(대)종합일간지(중)"/>
    <s v="m.web"/>
    <s v="애드몹"/>
    <s v="25"/>
    <s v="02"/>
    <s v="25.02.08"/>
    <s v="25.02.08"/>
    <n v="440"/>
  </r>
  <r>
    <s v="애드몹"/>
    <s v="리서치애드"/>
    <s v="한국일오삼농산"/>
    <x v="29"/>
    <s v="서비스"/>
    <s v="음식/조리"/>
    <s v="기타 프렌차이즈점"/>
    <s v="hani.co.kr"/>
    <s v="신문/잡지(대)종합일간지(중)"/>
    <s v="m.web"/>
    <s v="애드몹"/>
    <s v="25"/>
    <s v="02"/>
    <s v="25.02.14"/>
    <s v="25.02.14"/>
    <n v="440"/>
  </r>
  <r>
    <s v="애드몹"/>
    <s v="리서치애드"/>
    <s v="한국일오삼농산"/>
    <x v="29"/>
    <s v="서비스"/>
    <s v="음식/조리"/>
    <s v="기타 프렌차이즈점"/>
    <s v="yna.co.kr"/>
    <s v="신문/잡지(대)온라인뉴스(중)"/>
    <s v="m.web"/>
    <s v="애드몹"/>
    <s v="25"/>
    <s v="02"/>
    <s v="25.02.09"/>
    <s v="25.02.09"/>
    <n v="209"/>
  </r>
  <r>
    <s v="애드몹"/>
    <s v="리서치애드"/>
    <s v="한국일오삼농산"/>
    <x v="29"/>
    <s v="서비스"/>
    <s v="음식/조리"/>
    <s v="기타 프렌차이즈점"/>
    <s v="khan.co.kr"/>
    <s v="신문/잡지(대)종합일간지(중)"/>
    <s v="m.web"/>
    <s v="애드몹"/>
    <s v="25"/>
    <s v="05"/>
    <s v="25.05.28"/>
    <s v="25.05.28"/>
    <n v="504"/>
  </r>
  <r>
    <s v="애드몹"/>
    <s v="리서치애드"/>
    <s v="한국일오삼농산"/>
    <x v="29"/>
    <s v="서비스"/>
    <s v="음식/조리"/>
    <s v="기타 프렌차이즈점"/>
    <s v="hankyung.com"/>
    <s v="신문/잡지(대)경제신문(중)"/>
    <s v="m.web"/>
    <s v="애드몹"/>
    <s v="25"/>
    <s v="02"/>
    <s v="25.02.14"/>
    <s v="25.02.14"/>
    <n v="220"/>
  </r>
  <r>
    <s v="애드몹"/>
    <s v="리서치애드"/>
    <s v="한국일오삼농산"/>
    <x v="29"/>
    <s v="서비스"/>
    <s v="음식/조리"/>
    <s v="기타 프렌차이즈점"/>
    <s v="hankyung.com"/>
    <s v="신문/잡지(대)경제신문(중)"/>
    <s v="m.web"/>
    <s v="애드몹"/>
    <s v="25"/>
    <s v="05"/>
    <s v="25.05.19"/>
    <s v="25.05.19"/>
    <n v="252"/>
  </r>
  <r>
    <s v="애드몹"/>
    <s v="리서치애드"/>
    <s v="한국일오삼농산"/>
    <x v="29"/>
    <s v="서비스"/>
    <s v="음식/조리"/>
    <s v="기타 프렌차이즈점"/>
    <s v="pressian.com"/>
    <s v="신문/잡지(대)온라인뉴스(중)"/>
    <s v="m.web"/>
    <s v="애드몹"/>
    <s v="25"/>
    <s v="02"/>
    <s v="25.02.08"/>
    <s v="25.02.08"/>
    <n v="220"/>
  </r>
  <r>
    <s v="애드몹"/>
    <s v="리서치애드"/>
    <s v="한국일오삼농산"/>
    <x v="29"/>
    <s v="서비스"/>
    <s v="음식/조리"/>
    <s v="기타 프렌차이즈점"/>
    <s v="pressian.com"/>
    <s v="신문/잡지(대)온라인뉴스(중)"/>
    <s v="m.web"/>
    <s v="애드몹"/>
    <s v="25"/>
    <s v="02"/>
    <s v="25.02.13"/>
    <s v="25.02.15"/>
    <n v="659"/>
  </r>
  <r>
    <s v="애드몹"/>
    <s v="리서치애드"/>
    <s v="한국일오삼농산"/>
    <x v="29"/>
    <s v="서비스"/>
    <s v="음식/조리"/>
    <s v="기타 프렌차이즈점"/>
    <s v="pressian.com"/>
    <s v="신문/잡지(대)온라인뉴스(중)"/>
    <s v="m.web"/>
    <s v="애드몹"/>
    <s v="25"/>
    <s v="02"/>
    <s v="25.02.18"/>
    <s v="25.02.18"/>
    <n v="220"/>
  </r>
  <r>
    <s v="애드몹"/>
    <s v="리서치애드"/>
    <s v="한국일오삼농산"/>
    <x v="29"/>
    <s v="서비스"/>
    <s v="음식/조리"/>
    <s v="기타 프렌차이즈점"/>
    <s v="pressian.com"/>
    <s v="신문/잡지(대)온라인뉴스(중)"/>
    <s v="m.web"/>
    <s v="애드몹"/>
    <s v="25"/>
    <s v="03"/>
    <s v="25.03.16"/>
    <s v="25.03.16"/>
    <n v="228"/>
  </r>
  <r>
    <s v="애드몹"/>
    <s v="리서치애드"/>
    <s v="한국일오삼농산"/>
    <x v="29"/>
    <s v="서비스"/>
    <s v="음식/조리"/>
    <s v="기타 프렌차이즈점"/>
    <s v="pressian.com"/>
    <s v="신문/잡지(대)온라인뉴스(중)"/>
    <s v="m.web"/>
    <s v="애드몹"/>
    <s v="25"/>
    <s v="04"/>
    <s v="25.04.01"/>
    <s v="25.04.01"/>
    <n v="228"/>
  </r>
  <r>
    <s v="애드몹"/>
    <s v="리서치애드"/>
    <s v="한국일오삼농산"/>
    <x v="29"/>
    <s v="서비스"/>
    <s v="음식/조리"/>
    <s v="기타 프렌차이즈점"/>
    <s v="seoul.co.kr"/>
    <s v="신문/잡지(대)종합일간지(중)"/>
    <s v="m.web"/>
    <s v="애드몹"/>
    <s v="25"/>
    <s v="02"/>
    <s v="25.02.15"/>
    <s v="25.02.15"/>
    <n v="220"/>
  </r>
  <r>
    <s v="애드몹"/>
    <s v="리서치애드"/>
    <s v="한국일오삼농산"/>
    <x v="29"/>
    <s v="서비스"/>
    <s v="음식/조리"/>
    <s v="기타 프렌차이즈점"/>
    <s v="seoul.co.kr"/>
    <s v="신문/잡지(대)종합일간지(중)"/>
    <s v="m.web"/>
    <s v="애드몹"/>
    <s v="25"/>
    <s v="05"/>
    <s v="25.05.27"/>
    <s v="25.05.27"/>
    <n v="252"/>
  </r>
  <r>
    <s v="애드몹"/>
    <s v="리서치애드"/>
    <s v="한국일오삼농산"/>
    <x v="29"/>
    <s v="서비스"/>
    <s v="음식/조리"/>
    <s v="기타 프렌차이즈점"/>
    <s v="kmib.co.kr"/>
    <s v="신문/잡지(대)종합일간지(중)"/>
    <s v="m.web"/>
    <s v="애드몹"/>
    <s v="25"/>
    <s v="02"/>
    <s v="25.02.15"/>
    <s v="25.02.15"/>
    <n v="209"/>
  </r>
  <r>
    <s v="애드몹"/>
    <s v="리서치애드"/>
    <s v="한국일오삼농산"/>
    <x v="29"/>
    <s v="서비스"/>
    <s v="음식/조리"/>
    <s v="기타 프렌차이즈점"/>
    <s v="kmib.co.kr"/>
    <s v="신문/잡지(대)종합일간지(중)"/>
    <s v="m.web"/>
    <s v="애드몹"/>
    <s v="25"/>
    <s v="02"/>
    <s v="25.02.16"/>
    <s v="25.02.16"/>
    <n v="209"/>
  </r>
  <r>
    <s v="애드몹"/>
    <s v="리서치애드"/>
    <s v="한국일오삼농산"/>
    <x v="29"/>
    <s v="서비스"/>
    <s v="음식/조리"/>
    <s v="기타 프렌차이즈점"/>
    <s v="kmib.co.kr"/>
    <s v="신문/잡지(대)종합일간지(중)"/>
    <s v="m.web"/>
    <s v="애드몹"/>
    <s v="25"/>
    <s v="03"/>
    <s v="25.03.10"/>
    <s v="25.03.10"/>
    <n v="217"/>
  </r>
  <r>
    <s v="애드몹"/>
    <s v="리서치애드"/>
    <s v="한국일오삼농산"/>
    <x v="29"/>
    <s v="서비스"/>
    <s v="음식/조리"/>
    <s v="기타 프렌차이즈점"/>
    <s v="etnews.com"/>
    <s v="신문/잡지(대)IT관련 뉴스(중)"/>
    <s v="m.web"/>
    <s v="애드몹"/>
    <s v="25"/>
    <s v="04"/>
    <s v="25.04.22"/>
    <s v="25.04.26"/>
    <n v="1139"/>
  </r>
  <r>
    <s v="애드몹"/>
    <s v="리서치애드"/>
    <s v="한국일오삼농산"/>
    <x v="29"/>
    <s v="서비스"/>
    <s v="음식/조리"/>
    <s v="기타 프렌차이즈점"/>
    <s v="mt.co.kr"/>
    <s v="신문/잡지(대)경제신문(중)"/>
    <s v="m.web"/>
    <s v="애드몹"/>
    <s v="25"/>
    <s v="05"/>
    <s v="25.05.16"/>
    <s v="25.05.16"/>
    <n v="160"/>
  </r>
  <r>
    <s v="애드몹"/>
    <s v="리서치애드"/>
    <s v="한국일오삼농산"/>
    <x v="29"/>
    <s v="서비스"/>
    <s v="음식/조리"/>
    <s v="기타 프렌차이즈점"/>
    <s v="edaily.co.kr"/>
    <s v="신문/잡지(대)신문/잡지 기타(중)"/>
    <s v="m.web"/>
    <s v="애드몹"/>
    <s v="25"/>
    <s v="02"/>
    <s v="25.02.08"/>
    <s v="25.02.08"/>
    <n v="220"/>
  </r>
  <r>
    <s v="애드몹"/>
    <s v="리서치애드"/>
    <s v="한국일오삼농산"/>
    <x v="29"/>
    <s v="서비스"/>
    <s v="음식/조리"/>
    <s v="기타 프렌차이즈점"/>
    <s v="edaily.co.kr"/>
    <s v="신문/잡지(대)신문/잡지 기타(중)"/>
    <s v="m.web"/>
    <s v="애드몹"/>
    <s v="25"/>
    <s v="02"/>
    <s v="25.02.16"/>
    <s v="25.02.16"/>
    <n v="220"/>
  </r>
  <r>
    <s v="애드몹"/>
    <s v="리서치애드"/>
    <s v="한국일오삼농산"/>
    <x v="29"/>
    <s v="서비스"/>
    <s v="음식/조리"/>
    <s v="기타 프렌차이즈점"/>
    <s v="kbs.co.kr"/>
    <s v="방송(대)방송국(중)"/>
    <s v="m.web"/>
    <s v="애드몹"/>
    <s v="25"/>
    <s v="05"/>
    <s v="25.05.26"/>
    <s v="25.05.28"/>
    <n v="1497"/>
  </r>
  <r>
    <s v="애드몹"/>
    <s v="리서치애드"/>
    <s v="한국일오삼농산"/>
    <x v="29"/>
    <s v="서비스"/>
    <s v="음식/조리"/>
    <s v="기타 프렌차이즈점"/>
    <s v="dt.co.kr"/>
    <s v="신문/잡지(대)IT관련 뉴스(중)"/>
    <s v="m.web"/>
    <s v="애드몹"/>
    <s v="25"/>
    <s v="05"/>
    <s v="25.05.27"/>
    <s v="25.05.27"/>
    <n v="499"/>
  </r>
  <r>
    <s v="애드몹"/>
    <s v="리서치애드"/>
    <s v="한국일오삼농산"/>
    <x v="29"/>
    <s v="서비스"/>
    <s v="음식/조리"/>
    <s v="기타 프렌차이즈점"/>
    <s v="asiae.co.kr"/>
    <s v="신문/잡지(대)경제신문(중)"/>
    <s v="m.web"/>
    <s v="애드몹"/>
    <s v="25"/>
    <s v="02"/>
    <s v="25.02.15"/>
    <s v="25.02.15"/>
    <n v="220"/>
  </r>
  <r>
    <s v="애드몹"/>
    <s v="리서치애드"/>
    <s v="한국일오삼농산"/>
    <x v="29"/>
    <s v="서비스"/>
    <s v="음식/조리"/>
    <s v="기타 프렌차이즈점"/>
    <s v="inven.co.kr"/>
    <s v="신문/잡지(대)온라인뉴스(중)"/>
    <s v="m.web"/>
    <s v="애드몹"/>
    <s v="25"/>
    <s v="05"/>
    <s v="25.05.19"/>
    <s v="25.05.20"/>
    <n v="503"/>
  </r>
  <r>
    <s v="애드몹"/>
    <s v="리서치애드"/>
    <s v="한국일오삼농산"/>
    <x v="29"/>
    <s v="서비스"/>
    <s v="음식/조리"/>
    <s v="기타 프렌차이즈점"/>
    <s v="ruliweb.com"/>
    <s v="커뮤니티(대)게시판(중)"/>
    <s v="m.web"/>
    <s v="애드몹"/>
    <s v="25"/>
    <s v="02"/>
    <s v="25.02.16"/>
    <s v="25.02.16"/>
    <n v="454"/>
  </r>
  <r>
    <s v="애드몹"/>
    <s v="리서치애드"/>
    <s v="한국일오삼농산"/>
    <x v="29"/>
    <s v="서비스"/>
    <s v="음식/조리"/>
    <s v="기타 프렌차이즈점"/>
    <s v="hungryapp.co.kr"/>
    <s v="엔터테인먼트(대)게임(중)"/>
    <s v="m.web"/>
    <s v="애드몹"/>
    <s v="25"/>
    <s v="02"/>
    <s v="25.02.16"/>
    <s v="25.02.16"/>
    <n v="976"/>
  </r>
  <r>
    <s v="애드몹"/>
    <s v="리서치애드"/>
    <s v="한국일오삼농산"/>
    <x v="29"/>
    <s v="서비스"/>
    <s v="음식/조리"/>
    <s v="기타 프렌차이즈점"/>
    <s v="zum.com"/>
    <s v="포털(대)포털(중)"/>
    <s v="m.web"/>
    <s v="애드몹"/>
    <s v="25"/>
    <s v="02"/>
    <s v="25.02.08"/>
    <s v="25.02.08"/>
    <n v="872"/>
  </r>
  <r>
    <s v="애드몹"/>
    <s v="리서치애드"/>
    <s v="한국일오삼농산"/>
    <x v="29"/>
    <s v="서비스"/>
    <s v="음식/조리"/>
    <s v="기타 프렌차이즈점"/>
    <s v="zum.com"/>
    <s v="포털(대)포털(중)"/>
    <s v="m.web"/>
    <s v="애드몹"/>
    <s v="25"/>
    <s v="02"/>
    <s v="25.02.15"/>
    <s v="25.02.15"/>
    <n v="436"/>
  </r>
  <r>
    <s v="애드몹"/>
    <s v="리서치애드"/>
    <s v="한국일오삼농산"/>
    <x v="29"/>
    <s v="서비스"/>
    <s v="음식/조리"/>
    <s v="기타 프렌차이즈점"/>
    <s v="zum.com"/>
    <s v="포털(대)포털(중)"/>
    <s v="m.web"/>
    <s v="애드몹"/>
    <s v="25"/>
    <s v="02"/>
    <s v="25.02.16"/>
    <s v="25.02.16"/>
    <n v="436"/>
  </r>
  <r>
    <s v="애드몹"/>
    <s v="리서치애드"/>
    <s v="한국일오삼농산"/>
    <x v="29"/>
    <s v="서비스"/>
    <s v="음식/조리"/>
    <s v="기타 프렌차이즈점"/>
    <s v="미로찾기의 왕"/>
    <s v="엔터테인먼트(대)게임(중)"/>
    <s v="m.app"/>
    <s v="애드몹"/>
    <s v="25"/>
    <s v="02"/>
    <s v="25.02.13"/>
    <s v="25.02.16"/>
    <n v="513"/>
  </r>
  <r>
    <s v="애드몹"/>
    <s v="리서치애드"/>
    <s v="한국일오삼농산"/>
    <x v="29"/>
    <s v="서비스"/>
    <s v="음식/조리"/>
    <s v="기타 프렌차이즈점"/>
    <s v="미친 투수"/>
    <s v="엔터테인먼트(대)게임(중)"/>
    <s v="m.app"/>
    <s v="애드몹"/>
    <s v="25"/>
    <s v="04"/>
    <s v="25.04.04"/>
    <s v="25.04.04"/>
    <n v="133"/>
  </r>
  <r>
    <s v="애드몹"/>
    <s v="리서치애드"/>
    <s v="한국일오삼농산"/>
    <x v="29"/>
    <s v="서비스"/>
    <s v="음식/조리"/>
    <s v="기타 프렌차이즈점"/>
    <s v="배경화면 HD"/>
    <s v="모바일(대)엔터테인먼트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알까기 매니아"/>
    <s v="엔터테인먼트(대)게임(중)"/>
    <s v="m.app"/>
    <s v="애드몹"/>
    <s v="25"/>
    <s v="02"/>
    <s v="25.02.12"/>
    <s v="25.02.15"/>
    <n v="513"/>
  </r>
  <r>
    <s v="애드몹"/>
    <s v="리서치애드"/>
    <s v="한국일오삼농산"/>
    <x v="29"/>
    <s v="서비스"/>
    <s v="음식/조리"/>
    <s v="기타 프렌차이즈점"/>
    <s v="컬러라이트 HD"/>
    <s v="모바일(대)도구/유틸리티(중)"/>
    <s v="m.app"/>
    <s v="애드몹"/>
    <s v="25"/>
    <s v="02"/>
    <s v="25.02.12"/>
    <s v="25.02.13"/>
    <n v="257"/>
  </r>
  <r>
    <s v="애드몹"/>
    <s v="리서치애드"/>
    <s v="한국일오삼농산"/>
    <x v="29"/>
    <s v="서비스"/>
    <s v="음식/조리"/>
    <s v="기타 프렌차이즈점"/>
    <s v="컬러라이트 HD"/>
    <s v="모바일(대)도구/유틸리티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한붓그리기"/>
    <s v="엔터테인먼트(대)게임(중)"/>
    <s v="m.app"/>
    <s v="애드몹"/>
    <s v="25"/>
    <s v="02"/>
    <s v="25.02.13"/>
    <s v="25.02.16"/>
    <n v="513"/>
  </r>
  <r>
    <s v="애드몹"/>
    <s v="리서치애드"/>
    <s v="한국일오삼농산"/>
    <x v="29"/>
    <s v="서비스"/>
    <s v="음식/조리"/>
    <s v="기타 프렌차이즈점"/>
    <s v="한붓그리기"/>
    <s v="엔터테인먼트(대)게임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Glow Hockey"/>
    <s v="엔터테인먼트(대)게임(중)"/>
    <s v="m.app"/>
    <s v="애드몹"/>
    <s v="25"/>
    <s v="04"/>
    <s v="25.04.23"/>
    <s v="25.04.26"/>
    <n v="532"/>
  </r>
  <r>
    <s v="애드몹"/>
    <s v="리서치애드"/>
    <s v="한국일오삼농산"/>
    <x v="29"/>
    <s v="서비스"/>
    <s v="음식/조리"/>
    <s v="기타 프렌차이즈점"/>
    <s v="The Day Before"/>
    <s v="모바일(대)라이프스타일(중)"/>
    <s v="m.app"/>
    <s v="애드몹"/>
    <s v="25"/>
    <s v="04"/>
    <s v="25.04.24"/>
    <s v="25.04.27"/>
    <n v="532"/>
  </r>
  <r>
    <s v="애드몹"/>
    <s v="리서치애드"/>
    <s v="한국일오삼농산"/>
    <x v="29"/>
    <s v="서비스"/>
    <s v="음식/조리"/>
    <s v="기타 프렌차이즈점"/>
    <s v="The Day Before"/>
    <s v="모바일(대)라이프스타일(중)"/>
    <s v="m.app"/>
    <s v="애드몹"/>
    <s v="25"/>
    <s v="04"/>
    <s v="25.04.28"/>
    <s v="25.04.28"/>
    <n v="133"/>
  </r>
  <r>
    <s v="애드몹"/>
    <s v="리서치애드"/>
    <s v="한국일오삼농산"/>
    <x v="29"/>
    <s v="서비스"/>
    <s v="음식/조리"/>
    <s v="기타 프렌차이즈점"/>
    <s v="The Day Before"/>
    <s v="모바일(대)라이프스타일(중)"/>
    <s v="m.app"/>
    <s v="애드몹"/>
    <s v="25"/>
    <s v="05"/>
    <s v="25.05.27"/>
    <s v="25.05.29"/>
    <n v="440"/>
  </r>
  <r>
    <s v="애드몹"/>
    <s v="리서치애드"/>
    <s v="한국일오삼농산"/>
    <x v="29"/>
    <s v="서비스"/>
    <s v="음식/조리"/>
    <s v="기타 프렌차이즈점"/>
    <s v="오목의 달인"/>
    <s v="엔터테인먼트(대)게임(중)"/>
    <s v="m.app"/>
    <s v="애드몹"/>
    <s v="25"/>
    <s v="02"/>
    <s v="25.02.13"/>
    <s v="25.02.14"/>
    <n v="257"/>
  </r>
  <r>
    <s v="애드몹"/>
    <s v="리서치애드"/>
    <s v="한국일오삼농산"/>
    <x v="29"/>
    <s v="서비스"/>
    <s v="음식/조리"/>
    <s v="기타 프렌차이즈점"/>
    <s v="오목의 달인"/>
    <s v="엔터테인먼트(대)게임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오목의 달인"/>
    <s v="엔터테인먼트(대)게임(중)"/>
    <s v="m.app"/>
    <s v="애드몹"/>
    <s v="25"/>
    <s v="05"/>
    <s v="25.05.19"/>
    <s v="25.05.19"/>
    <n v="147"/>
  </r>
  <r>
    <s v="애드몹"/>
    <s v="리서치애드"/>
    <s v="한국일오삼농산"/>
    <x v="29"/>
    <s v="서비스"/>
    <s v="음식/조리"/>
    <s v="기타 프렌차이즈점"/>
    <s v="은별바둑"/>
    <s v="엔터테인먼트(대)게임(중)"/>
    <s v="m.app"/>
    <s v="애드몹"/>
    <s v="25"/>
    <s v="02"/>
    <s v="25.02.14"/>
    <s v="25.02.16"/>
    <n v="385"/>
  </r>
  <r>
    <s v="애드몹"/>
    <s v="리서치애드"/>
    <s v="한국일오삼농산"/>
    <x v="29"/>
    <s v="서비스"/>
    <s v="음식/조리"/>
    <s v="기타 프렌차이즈점"/>
    <s v="주차의 달인 4"/>
    <s v="엔터테인먼트(대)게임(중)"/>
    <s v="m.app"/>
    <s v="애드몹"/>
    <s v="25"/>
    <s v="02"/>
    <s v="25.02.12"/>
    <s v="25.02.13"/>
    <n v="257"/>
  </r>
  <r>
    <s v="애드몹"/>
    <s v="리서치애드"/>
    <s v="한국일오삼농산"/>
    <x v="29"/>
    <s v="서비스"/>
    <s v="음식/조리"/>
    <s v="기타 프렌차이즈점"/>
    <s v="주차의 달인 4"/>
    <s v="엔터테인먼트(대)게임(중)"/>
    <s v="m.app"/>
    <s v="애드몹"/>
    <s v="25"/>
    <s v="04"/>
    <s v="25.04.26"/>
    <s v="25.04.26"/>
    <n v="133"/>
  </r>
  <r>
    <s v="애드몹"/>
    <s v="리서치애드"/>
    <s v="한국일오삼농산"/>
    <x v="29"/>
    <s v="서비스"/>
    <s v="음식/조리"/>
    <s v="기타 프렌차이즈점"/>
    <s v="날씨나라"/>
    <s v="생활정보(대)교통/날씨(중)"/>
    <s v="m.app"/>
    <s v="애드몹"/>
    <s v="25"/>
    <s v="02"/>
    <s v="25.02.16"/>
    <s v="25.02.16"/>
    <n v="128"/>
  </r>
  <r>
    <s v="애드몹"/>
    <s v="리서치애드"/>
    <s v="한국일오삼농산"/>
    <x v="29"/>
    <s v="서비스"/>
    <s v="음식/조리"/>
    <s v="기타 프렌차이즈점"/>
    <s v="gamemeca.com"/>
    <s v="신문/잡지(대)온라인뉴스(중)"/>
    <s v="m.web"/>
    <s v="애드몹"/>
    <s v="25"/>
    <s v="02"/>
    <s v="25.02.08"/>
    <s v="25.02.08"/>
    <n v="768"/>
  </r>
  <r>
    <s v="애드몹"/>
    <s v="리서치애드"/>
    <s v="한국일오삼농산"/>
    <x v="29"/>
    <s v="서비스"/>
    <s v="음식/조리"/>
    <s v="기타 프렌차이즈점"/>
    <s v="대기오염정보"/>
    <s v="생활정보(대)교통/날씨(중)"/>
    <s v="m.app"/>
    <s v="애드몹"/>
    <s v="25"/>
    <s v="02"/>
    <s v="25.02.13"/>
    <s v="25.02.14"/>
    <n v="257"/>
  </r>
  <r>
    <s v="애드몹"/>
    <s v="리서치애드"/>
    <s v="한국일오삼농산"/>
    <x v="29"/>
    <s v="서비스"/>
    <s v="음식/조리"/>
    <s v="기타 프렌차이즈점"/>
    <s v="stoo.com"/>
    <s v="신문/잡지(대)스포츠신문(중)"/>
    <s v="m.web"/>
    <s v="애드몹"/>
    <s v="25"/>
    <s v="05"/>
    <s v="25.05.20"/>
    <s v="25.05.20"/>
    <n v="160"/>
  </r>
  <r>
    <s v="애드몹"/>
    <s v="리서치애드"/>
    <s v="한국일오삼농산"/>
    <x v="29"/>
    <s v="서비스"/>
    <s v="음식/조리"/>
    <s v="기타 프렌차이즈점"/>
    <s v="대구버스"/>
    <s v="생활정보(대)교통/날씨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7분 운동"/>
    <s v="모바일(대)라이프스타일(중)"/>
    <s v="m.app"/>
    <s v="애드몹"/>
    <s v="25"/>
    <s v="03"/>
    <s v="25.03.27"/>
    <s v="25.03.30"/>
    <n v="532"/>
  </r>
  <r>
    <s v="애드몹"/>
    <s v="리서치애드"/>
    <s v="한국일오삼농산"/>
    <x v="29"/>
    <s v="서비스"/>
    <s v="음식/조리"/>
    <s v="기타 프렌차이즈점"/>
    <s v="7분 운동"/>
    <s v="모바일(대)라이프스타일(중)"/>
    <s v="m.app"/>
    <s v="애드몹"/>
    <s v="25"/>
    <s v="03"/>
    <s v="25.03.31"/>
    <s v="25.03.31"/>
    <n v="133"/>
  </r>
  <r>
    <s v="애드몹"/>
    <s v="리서치애드"/>
    <s v="한국일오삼농산"/>
    <x v="29"/>
    <s v="서비스"/>
    <s v="음식/조리"/>
    <s v="기타 프렌차이즈점"/>
    <s v="7분 운동"/>
    <s v="모바일(대)라이프스타일(중)"/>
    <s v="m.app"/>
    <s v="애드몹"/>
    <s v="25"/>
    <s v="04"/>
    <s v="25.04.01"/>
    <s v="25.04.01"/>
    <n v="133"/>
  </r>
  <r>
    <s v="애드몹"/>
    <s v="리서치애드"/>
    <s v="한국일오삼농산"/>
    <x v="29"/>
    <s v="서비스"/>
    <s v="음식/조리"/>
    <s v="기타 프렌차이즈점"/>
    <s v="안들킴"/>
    <s v="엔터테인먼트(대)엔터테인먼트 기타(중)"/>
    <s v="m.app"/>
    <s v="애드몹"/>
    <s v="25"/>
    <s v="05"/>
    <s v="25.05.21"/>
    <s v="25.05.23"/>
    <n v="440"/>
  </r>
  <r>
    <s v="애드몹"/>
    <s v="리서치애드"/>
    <s v="한국일오삼농산"/>
    <x v="29"/>
    <s v="서비스"/>
    <s v="음식/조리"/>
    <s v="기타 프렌차이즈점"/>
    <s v="안들킴"/>
    <s v="엔터테인먼트(대)엔터테인먼트 기타(중)"/>
    <s v="m.app"/>
    <s v="애드몹"/>
    <s v="25"/>
    <s v="05"/>
    <s v="25.05.29"/>
    <s v="25.05.31"/>
    <n v="440"/>
  </r>
  <r>
    <s v="애드몹"/>
    <s v="리서치애드"/>
    <s v="한국일오삼농산"/>
    <x v="29"/>
    <s v="서비스"/>
    <s v="음식/조리"/>
    <s v="기타 프렌차이즈점"/>
    <s v="maxmovie.com"/>
    <s v="엔터테인먼트(대)영화/공연(중)"/>
    <s v="m.web"/>
    <s v="애드몹"/>
    <s v="25"/>
    <s v="02"/>
    <s v="25.02.08"/>
    <s v="25.02.08"/>
    <n v="278"/>
  </r>
  <r>
    <s v="애드몹"/>
    <s v="리서치애드"/>
    <s v="한국일오삼농산"/>
    <x v="29"/>
    <s v="서비스"/>
    <s v="음식/조리"/>
    <s v="기타 프렌차이즈점"/>
    <s v="음료수퀴즈"/>
    <s v="엔터테인먼트(대)게임(중)"/>
    <s v="m.app"/>
    <s v="애드몹"/>
    <s v="25"/>
    <s v="03"/>
    <s v="25.03.19"/>
    <s v="25.03.19"/>
    <n v="133"/>
  </r>
  <r>
    <s v="애드몹"/>
    <s v="리서치애드"/>
    <s v="한국일오삼농산"/>
    <x v="29"/>
    <s v="서비스"/>
    <s v="음식/조리"/>
    <s v="기타 프렌차이즈점"/>
    <s v="음료수퀴즈"/>
    <s v="엔터테인먼트(대)게임(중)"/>
    <s v="m.app"/>
    <s v="애드몹"/>
    <s v="25"/>
    <s v="04"/>
    <s v="25.04.22"/>
    <s v="25.04.23"/>
    <n v="266"/>
  </r>
  <r>
    <s v="애드몹"/>
    <s v="리서치애드"/>
    <s v="한국일오삼농산"/>
    <x v="29"/>
    <s v="서비스"/>
    <s v="음식/조리"/>
    <s v="기타 프렌차이즈점"/>
    <s v="먹방 퀴즈"/>
    <s v="엔터테인먼트(대)게임(중)"/>
    <s v="m.app"/>
    <s v="애드몹"/>
    <s v="25"/>
    <s v="03"/>
    <s v="25.03.28"/>
    <s v="25.03.28"/>
    <n v="133"/>
  </r>
  <r>
    <s v="애드몹"/>
    <s v="리서치애드"/>
    <s v="한국일오삼농산"/>
    <x v="29"/>
    <s v="서비스"/>
    <s v="음식/조리"/>
    <s v="기타 프렌차이즈점"/>
    <s v="먹방 퀴즈"/>
    <s v="엔터테인먼트(대)게임(중)"/>
    <s v="m.app"/>
    <s v="애드몹"/>
    <s v="25"/>
    <s v="03"/>
    <s v="25.03.31"/>
    <s v="25.03.31"/>
    <n v="133"/>
  </r>
  <r>
    <s v="애드몹"/>
    <s v="리서치애드"/>
    <s v="한국일오삼농산"/>
    <x v="29"/>
    <s v="서비스"/>
    <s v="음식/조리"/>
    <s v="기타 프렌차이즈점"/>
    <s v="먹방 퀴즈"/>
    <s v="엔터테인먼트(대)게임(중)"/>
    <s v="m.app"/>
    <s v="애드몹"/>
    <s v="25"/>
    <s v="04"/>
    <s v="25.04.01"/>
    <s v="25.04.03"/>
    <n v="399"/>
  </r>
  <r>
    <s v="애드몹"/>
    <s v="리서치애드"/>
    <s v="한국일오삼농산"/>
    <x v="29"/>
    <s v="서비스"/>
    <s v="음식/조리"/>
    <s v="기타 프렌차이즈점"/>
    <s v="사격의 왕"/>
    <s v="엔터테인먼트(대)게임(중)"/>
    <s v="m.app"/>
    <s v="애드몹"/>
    <s v="25"/>
    <s v="03"/>
    <s v="25.03.23"/>
    <s v="25.03.23"/>
    <n v="133"/>
  </r>
  <r>
    <s v="애드몹"/>
    <s v="리서치애드"/>
    <s v="한국일오삼농산"/>
    <x v="29"/>
    <s v="서비스"/>
    <s v="음식/조리"/>
    <s v="기타 프렌차이즈점"/>
    <s v="thinkpool.com"/>
    <s v="금융/비즈니스(대)증권정보(중)"/>
    <s v="m.web"/>
    <s v="애드몹"/>
    <s v="25"/>
    <s v="02"/>
    <s v="25.02.08"/>
    <s v="25.02.08"/>
    <n v="278"/>
  </r>
  <r>
    <s v="애드몹"/>
    <s v="리서치애드"/>
    <s v="한국일오삼농산"/>
    <x v="29"/>
    <s v="서비스"/>
    <s v="음식/조리"/>
    <s v="기타 프렌차이즈점"/>
    <s v="kbench.com"/>
    <s v="생활정보(대)쇼핑/가격정보(중)"/>
    <s v="m.web"/>
    <s v="애드몹"/>
    <s v="25"/>
    <s v="05"/>
    <s v="25.05.16"/>
    <s v="25.05.16"/>
    <n v="160"/>
  </r>
  <r>
    <s v="애드몹"/>
    <s v="리서치애드"/>
    <s v="한국일오삼농산"/>
    <x v="29"/>
    <s v="서비스"/>
    <s v="음식/조리"/>
    <s v="기타 프렌차이즈점"/>
    <s v="kbench.com"/>
    <s v="생활정보(대)쇼핑/가격정보(중)"/>
    <s v="m.web"/>
    <s v="애드몹"/>
    <s v="25"/>
    <s v="05"/>
    <s v="25.05.20"/>
    <s v="25.05.20"/>
    <n v="160"/>
  </r>
  <r>
    <s v="애드몹"/>
    <s v="리서치애드"/>
    <s v="한국일오삼농산"/>
    <x v="29"/>
    <s v="서비스"/>
    <s v="음식/조리"/>
    <s v="기타 프렌차이즈점"/>
    <s v="moneta.co.kr"/>
    <s v="금융/비즈니스(대)금융정보(중)"/>
    <s v="m.web"/>
    <s v="애드몹"/>
    <s v="25"/>
    <s v="03"/>
    <s v="25.03.16"/>
    <s v="25.03.16"/>
    <n v="145"/>
  </r>
  <r>
    <s v="애드몹"/>
    <s v="리서치애드"/>
    <s v="한국일오삼농산"/>
    <x v="29"/>
    <s v="서비스"/>
    <s v="음식/조리"/>
    <s v="기타 프렌차이즈점"/>
    <s v="Fidget Spinner"/>
    <s v="엔터테인먼트(대)엔터테인먼트 기타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드릴 키우기"/>
    <s v="엔터테인먼트(대)게임(중)"/>
    <s v="m.app"/>
    <s v="애드몹"/>
    <s v="25"/>
    <s v="03"/>
    <s v="25.03.22"/>
    <s v="25.03.22"/>
    <n v="133"/>
  </r>
  <r>
    <s v="애드몹"/>
    <s v="리서치애드"/>
    <s v="한국일오삼농산"/>
    <x v="29"/>
    <s v="서비스"/>
    <s v="음식/조리"/>
    <s v="기타 프렌차이즈점"/>
    <s v="드릴 키우기"/>
    <s v="엔터테인먼트(대)게임(중)"/>
    <s v="m.app"/>
    <s v="애드몹"/>
    <s v="25"/>
    <s v="04"/>
    <s v="25.04.22"/>
    <s v="25.04.26"/>
    <n v="665"/>
  </r>
  <r>
    <s v="애드몹"/>
    <s v="리서치애드"/>
    <s v="한국일오삼농산"/>
    <x v="29"/>
    <s v="서비스"/>
    <s v="음식/조리"/>
    <s v="기타 프렌차이즈점"/>
    <s v="Voice Recorder"/>
    <s v="모바일(대)도구/유틸리티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Voice Recorder"/>
    <s v="모바일(대)도구/유틸리티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Voice Recorder"/>
    <s v="모바일(대)도구/유틸리티(중)"/>
    <s v="m.app"/>
    <s v="애드몹"/>
    <s v="25"/>
    <s v="02"/>
    <s v="25.02.24"/>
    <s v="25.02.24"/>
    <n v="128"/>
  </r>
  <r>
    <s v="애드몹"/>
    <s v="리서치애드"/>
    <s v="한국일오삼농산"/>
    <x v="29"/>
    <s v="서비스"/>
    <s v="음식/조리"/>
    <s v="기타 프렌차이즈점"/>
    <s v="Voice Recorder"/>
    <s v="모바일(대)도구/유틸리티(중)"/>
    <s v="m.app"/>
    <s v="애드몹"/>
    <s v="25"/>
    <s v="05"/>
    <s v="25.05.23"/>
    <s v="25.05.23"/>
    <n v="147"/>
  </r>
  <r>
    <s v="애드몹"/>
    <s v="리서치애드"/>
    <s v="한국일오삼농산"/>
    <x v="29"/>
    <s v="서비스"/>
    <s v="음식/조리"/>
    <s v="기타 프렌차이즈점"/>
    <s v="Geometry Dash SubZero"/>
    <s v="엔터테인먼트(대)게임(중)"/>
    <s v="m.app"/>
    <s v="애드몹"/>
    <s v="25"/>
    <s v="04"/>
    <s v="25.04.03"/>
    <s v="25.04.03"/>
    <n v="133"/>
  </r>
  <r>
    <s v="애드몹"/>
    <s v="리서치애드"/>
    <s v="한국일오삼농산"/>
    <x v="29"/>
    <s v="서비스"/>
    <s v="음식/조리"/>
    <s v="기타 프렌차이즈점"/>
    <s v="엉덩이 및 다리 운동"/>
    <s v="모바일(대)라이프스타일(중)"/>
    <s v="m.app"/>
    <s v="애드몹"/>
    <s v="25"/>
    <s v="02"/>
    <s v="25.02.07"/>
    <s v="25.02.07"/>
    <n v="256"/>
  </r>
  <r>
    <s v="애드몹"/>
    <s v="리서치애드"/>
    <s v="한국일오삼농산"/>
    <x v="29"/>
    <s v="서비스"/>
    <s v="음식/조리"/>
    <s v="기타 프렌차이즈점"/>
    <s v="엉덩이 및 다리 운동"/>
    <s v="모바일(대)라이프스타일(중)"/>
    <s v="m.app"/>
    <s v="애드몹"/>
    <s v="25"/>
    <s v="02"/>
    <s v="25.02.09"/>
    <s v="25.02.09"/>
    <n v="128"/>
  </r>
  <r>
    <s v="애드몹"/>
    <s v="리서치애드"/>
    <s v="한국일오삼농산"/>
    <x v="29"/>
    <s v="서비스"/>
    <s v="음식/조리"/>
    <s v="기타 프렌차이즈점"/>
    <s v="엉덩이 및 다리 운동"/>
    <s v="모바일(대)라이프스타일(중)"/>
    <s v="m.app"/>
    <s v="애드몹"/>
    <s v="25"/>
    <s v="02"/>
    <s v="25.02.10"/>
    <s v="25.02.10"/>
    <n v="128"/>
  </r>
  <r>
    <s v="애드몹"/>
    <s v="리서치애드"/>
    <s v="한국일오삼농산"/>
    <x v="29"/>
    <s v="서비스"/>
    <s v="음식/조리"/>
    <s v="기타 프렌차이즈점"/>
    <s v="StrayCatDoors"/>
    <s v="엔터테인먼트(대)게임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아구야구"/>
    <s v="엔터테인먼트(대)스포츠/레포츠(중)"/>
    <s v="m.app"/>
    <s v="애드몹"/>
    <s v="25"/>
    <s v="04"/>
    <s v="25.04.23"/>
    <s v="25.04.26"/>
    <n v="532"/>
  </r>
  <r>
    <s v="애드몹"/>
    <s v="리서치애드"/>
    <s v="한국일오삼농산"/>
    <x v="29"/>
    <s v="서비스"/>
    <s v="음식/조리"/>
    <s v="기타 프렌차이즈점"/>
    <s v="아구야구"/>
    <s v="엔터테인먼트(대)스포츠/레포츠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아구야구"/>
    <s v="엔터테인먼트(대)스포츠/레포츠(중)"/>
    <s v="m.app"/>
    <s v="애드몹"/>
    <s v="25"/>
    <s v="05"/>
    <s v="25.05.22"/>
    <s v="25.05.23"/>
    <n v="294"/>
  </r>
  <r>
    <s v="애드몹"/>
    <s v="리서치애드"/>
    <s v="한국일오삼농산"/>
    <x v="29"/>
    <s v="서비스"/>
    <s v="음식/조리"/>
    <s v="기타 프렌차이즈점"/>
    <s v="아구야구"/>
    <s v="엔터테인먼트(대)스포츠/레포츠(중)"/>
    <s v="m.app"/>
    <s v="애드몹"/>
    <s v="25"/>
    <s v="05"/>
    <s v="25.05.26"/>
    <s v="25.05.26"/>
    <n v="147"/>
  </r>
  <r>
    <s v="애드몹"/>
    <s v="리서치애드"/>
    <s v="한국일오삼농산"/>
    <x v="29"/>
    <s v="서비스"/>
    <s v="음식/조리"/>
    <s v="기타 프렌차이즈점"/>
    <s v="탈출! 일기장퀴즈"/>
    <s v="엔터테인먼트(대)게임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다리 운동"/>
    <s v="모바일(대)라이프스타일(중)"/>
    <s v="m.app"/>
    <s v="애드몹"/>
    <s v="25"/>
    <s v="02"/>
    <s v="25.02.14"/>
    <s v="25.02.16"/>
    <n v="385"/>
  </r>
  <r>
    <s v="애드몹"/>
    <s v="리서치애드"/>
    <s v="한국일오삼농산"/>
    <x v="29"/>
    <s v="서비스"/>
    <s v="음식/조리"/>
    <s v="기타 프렌차이즈점"/>
    <s v="다리 운동"/>
    <s v="모바일(대)라이프스타일(중)"/>
    <s v="m.app"/>
    <s v="애드몹"/>
    <s v="25"/>
    <s v="02"/>
    <s v="25.02.20"/>
    <s v="25.02.20"/>
    <n v="128"/>
  </r>
  <r>
    <s v="애드몹"/>
    <s v="리서치애드"/>
    <s v="한국일오삼농산"/>
    <x v="29"/>
    <s v="서비스"/>
    <s v="음식/조리"/>
    <s v="기타 프렌차이즈점"/>
    <s v="다리 운동"/>
    <s v="모바일(대)라이프스타일(중)"/>
    <s v="m.app"/>
    <s v="애드몹"/>
    <s v="25"/>
    <s v="04"/>
    <s v="25.04.22"/>
    <s v="25.04.22"/>
    <n v="133"/>
  </r>
  <r>
    <s v="애드몹"/>
    <s v="리서치애드"/>
    <s v="한국일오삼농산"/>
    <x v="29"/>
    <s v="서비스"/>
    <s v="음식/조리"/>
    <s v="기타 프렌차이즈점"/>
    <s v="다리 운동"/>
    <s v="모바일(대)라이프스타일(중)"/>
    <s v="m.app"/>
    <s v="애드몹"/>
    <s v="25"/>
    <s v="05"/>
    <s v="25.05.22"/>
    <s v="25.05.22"/>
    <n v="147"/>
  </r>
  <r>
    <s v="애드몹"/>
    <s v="리서치애드"/>
    <s v="한국일오삼농산"/>
    <x v="29"/>
    <s v="서비스"/>
    <s v="음식/조리"/>
    <s v="기타 프렌차이즈점"/>
    <s v="My Heart"/>
    <s v="생활정보(대)병원/건강정보(중)"/>
    <s v="m.app"/>
    <s v="애드몹"/>
    <s v="25"/>
    <s v="02"/>
    <s v="25.02.12"/>
    <s v="25.02.13"/>
    <n v="257"/>
  </r>
  <r>
    <s v="애드몹"/>
    <s v="리서치애드"/>
    <s v="한국일오삼농산"/>
    <x v="29"/>
    <s v="서비스"/>
    <s v="음식/조리"/>
    <s v="기타 프렌차이즈점"/>
    <s v="My Heart"/>
    <s v="생활정보(대)병원/건강정보(중)"/>
    <s v="m.app"/>
    <s v="애드몹"/>
    <s v="25"/>
    <s v="02"/>
    <s v="25.02.13"/>
    <s v="25.02.14"/>
    <n v="257"/>
  </r>
  <r>
    <s v="애드몹"/>
    <s v="리서치애드"/>
    <s v="한국일오삼농산"/>
    <x v="29"/>
    <s v="서비스"/>
    <s v="음식/조리"/>
    <s v="기타 프렌차이즈점"/>
    <s v="마크 스킨 제작소"/>
    <s v="모바일(대)도구/유틸리티(중)"/>
    <s v="m.app"/>
    <s v="애드몹"/>
    <s v="25"/>
    <s v="04"/>
    <s v="25.04.04"/>
    <s v="25.04.04"/>
    <n v="133"/>
  </r>
  <r>
    <s v="애드몹"/>
    <s v="리서치애드"/>
    <s v="한국일오삼농산"/>
    <x v="29"/>
    <s v="서비스"/>
    <s v="음식/조리"/>
    <s v="기타 프렌차이즈점"/>
    <s v="팟 캐스트 플레이어"/>
    <s v="모바일(대)도구/유틸리티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Jelly Shift"/>
    <s v="엔터테인먼트(대)게임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Jelly Shift"/>
    <s v="엔터테인먼트(대)게임(중)"/>
    <s v="m.app"/>
    <s v="애드몹"/>
    <s v="25"/>
    <s v="04"/>
    <s v="25.04.24"/>
    <s v="25.04.24"/>
    <n v="133"/>
  </r>
  <r>
    <s v="애드몹"/>
    <s v="리서치애드"/>
    <s v="한국일오삼농산"/>
    <x v="29"/>
    <s v="서비스"/>
    <s v="음식/조리"/>
    <s v="기타 프렌차이즈점"/>
    <s v="Pooking - Billiards City"/>
    <s v="엔터테인먼트(대)게임(중)"/>
    <s v="m.app"/>
    <s v="애드몹"/>
    <s v="25"/>
    <s v="05"/>
    <s v="25.05.24"/>
    <s v="25.05.24"/>
    <n v="147"/>
  </r>
  <r>
    <s v="애드몹"/>
    <s v="리서치애드"/>
    <s v="한국일오삼농산"/>
    <x v="29"/>
    <s v="서비스"/>
    <s v="음식/조리"/>
    <s v="기타 프렌차이즈점"/>
    <s v="Sandwich"/>
    <s v="엔터테인먼트(대)게임(중)"/>
    <s v="m.app"/>
    <s v="애드몹"/>
    <s v="25"/>
    <s v="05"/>
    <s v="25.05.22"/>
    <s v="25.05.22"/>
    <n v="147"/>
  </r>
  <r>
    <s v="애드몹"/>
    <s v="리서치애드"/>
    <s v="한국일오삼농산"/>
    <x v="29"/>
    <s v="서비스"/>
    <s v="음식/조리"/>
    <s v="기타 프렌차이즈점"/>
    <s v="Icing On The Cake"/>
    <s v="엔터테인먼트(대)게임(중)"/>
    <s v="m.app"/>
    <s v="애드몹"/>
    <s v="25"/>
    <s v="05"/>
    <s v="25.05.21"/>
    <s v="25.05.23"/>
    <n v="440"/>
  </r>
  <r>
    <s v="애드몹"/>
    <s v="리서치애드"/>
    <s v="한국일오삼농산"/>
    <x v="29"/>
    <s v="서비스"/>
    <s v="음식/조리"/>
    <s v="기타 프렌차이즈점"/>
    <s v="피자"/>
    <s v="엔터테인먼트(대)게임(중)"/>
    <s v="m.app"/>
    <s v="애드몹"/>
    <s v="25"/>
    <s v="05"/>
    <s v="25.05.22"/>
    <s v="25.05.22"/>
    <n v="147"/>
  </r>
  <r>
    <s v="애드몹"/>
    <s v="리서치애드"/>
    <s v="한국일오삼농산"/>
    <x v="29"/>
    <s v="서비스"/>
    <s v="음식/조리"/>
    <s v="기타 프렌차이즈점"/>
    <s v="피자"/>
    <s v="엔터테인먼트(대)게임(중)"/>
    <s v="m.app"/>
    <s v="애드몹"/>
    <s v="25"/>
    <s v="05"/>
    <s v="25.05.29"/>
    <s v="25.05.29"/>
    <n v="147"/>
  </r>
  <r>
    <s v="애드몹"/>
    <s v="리서치애드"/>
    <s v="한국일오삼농산"/>
    <x v="29"/>
    <s v="서비스"/>
    <s v="음식/조리"/>
    <s v="기타 프렌차이즈점"/>
    <s v="피자"/>
    <s v="엔터테인먼트(대)게임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Unblock Ball - Block Puzzle"/>
    <s v="엔터테인먼트(대)게임(중)"/>
    <s v="m.app"/>
    <s v="애드몹"/>
    <s v="25"/>
    <s v="02"/>
    <s v="25.02.12"/>
    <s v="25.02.12"/>
    <n v="128"/>
  </r>
  <r>
    <s v="애드몹"/>
    <s v="리서치애드"/>
    <s v="한국일오삼농산"/>
    <x v="29"/>
    <s v="서비스"/>
    <s v="음식/조리"/>
    <s v="기타 프렌차이즈점"/>
    <s v="Unblock Ball - Block Puzzle"/>
    <s v="엔터테인먼트(대)게임(중)"/>
    <s v="m.app"/>
    <s v="애드몹"/>
    <s v="25"/>
    <s v="03"/>
    <s v="25.03.20"/>
    <s v="25.03.21"/>
    <n v="266"/>
  </r>
  <r>
    <s v="애드몹"/>
    <s v="리서치애드"/>
    <s v="한국일오삼농산"/>
    <x v="29"/>
    <s v="서비스"/>
    <s v="음식/조리"/>
    <s v="기타 프렌차이즈점"/>
    <s v="Unblock Ball - Block Puzzle"/>
    <s v="엔터테인먼트(대)게임(중)"/>
    <s v="m.app"/>
    <s v="애드몹"/>
    <s v="25"/>
    <s v="04"/>
    <s v="25.04.25"/>
    <s v="25.04.25"/>
    <n v="133"/>
  </r>
  <r>
    <s v="애드몹"/>
    <s v="리서치애드"/>
    <s v="한국일오삼농산"/>
    <x v="29"/>
    <s v="서비스"/>
    <s v="음식/조리"/>
    <s v="기타 프렌차이즈점"/>
    <s v="Unblock Ball - Block Puzzle"/>
    <s v="엔터테인먼트(대)게임(중)"/>
    <s v="m.app"/>
    <s v="애드몹"/>
    <s v="25"/>
    <s v="04"/>
    <s v="25.04.25"/>
    <s v="25.04.26"/>
    <n v="266"/>
  </r>
  <r>
    <s v="애드몹"/>
    <s v="리서치애드"/>
    <s v="한국일오삼농산"/>
    <x v="29"/>
    <s v="서비스"/>
    <s v="음식/조리"/>
    <s v="기타 프렌차이즈점"/>
    <s v="Unblock Ball - Block Puzzle"/>
    <s v="엔터테인먼트(대)게임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Sound Meter"/>
    <s v="모바일(대)도구/유틸리티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Slime Simulator Time"/>
    <s v="모바일(대)라이프스타일(중)"/>
    <s v="m.app"/>
    <s v="애드몹"/>
    <s v="25"/>
    <s v="05"/>
    <s v="25.05.20"/>
    <s v="25.05.22"/>
    <n v="440"/>
  </r>
  <r>
    <s v="애드몹"/>
    <s v="리서치애드"/>
    <s v="한국일오삼농산"/>
    <x v="29"/>
    <s v="서비스"/>
    <s v="음식/조리"/>
    <s v="기타 프렌차이즈점"/>
    <s v="Slime Simulator Time"/>
    <s v="모바일(대)라이프스타일(중)"/>
    <s v="m.app"/>
    <s v="애드몹"/>
    <s v="25"/>
    <s v="05"/>
    <s v="25.05.26"/>
    <s v="25.05.26"/>
    <n v="147"/>
  </r>
  <r>
    <s v="애드몹"/>
    <s v="리서치애드"/>
    <s v="한국일오삼농산"/>
    <x v="29"/>
    <s v="서비스"/>
    <s v="음식/조리"/>
    <s v="기타 프렌차이즈점"/>
    <s v="Brain Test"/>
    <s v="엔터테인먼트(대)게임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Will It Shred?"/>
    <s v="엔터테인먼트(대)게임(중)"/>
    <s v="m.app"/>
    <s v="애드몹"/>
    <s v="25"/>
    <s v="02"/>
    <s v="25.02.19"/>
    <s v="25.02.19"/>
    <n v="128"/>
  </r>
  <r>
    <s v="애드몹"/>
    <s v="리서치애드"/>
    <s v="한국일오삼농산"/>
    <x v="29"/>
    <s v="서비스"/>
    <s v="음식/조리"/>
    <s v="기타 프렌차이즈점"/>
    <s v="Brainzzz"/>
    <s v="엔터테인먼트(대)게임(중)"/>
    <s v="m.app"/>
    <s v="애드몹"/>
    <s v="25"/>
    <s v="03"/>
    <s v="25.03.11"/>
    <s v="25.03.13"/>
    <n v="399"/>
  </r>
  <r>
    <s v="애드몹"/>
    <s v="리서치애드"/>
    <s v="한국일오삼농산"/>
    <x v="29"/>
    <s v="서비스"/>
    <s v="음식/조리"/>
    <s v="기타 프렌차이즈점"/>
    <s v="Brainzzz"/>
    <s v="엔터테인먼트(대)게임(중)"/>
    <s v="m.app"/>
    <s v="애드몹"/>
    <s v="25"/>
    <s v="04"/>
    <s v="25.04.03"/>
    <s v="25.04.05"/>
    <n v="399"/>
  </r>
  <r>
    <s v="애드몹"/>
    <s v="리서치애드"/>
    <s v="한국일오삼농산"/>
    <x v="29"/>
    <s v="서비스"/>
    <s v="음식/조리"/>
    <s v="기타 프렌차이즈점"/>
    <s v="Brainzzz"/>
    <s v="엔터테인먼트(대)게임(중)"/>
    <s v="m.app"/>
    <s v="애드몹"/>
    <s v="25"/>
    <s v="04"/>
    <s v="25.04.22"/>
    <s v="25.04.23"/>
    <n v="266"/>
  </r>
  <r>
    <s v="애드몹"/>
    <s v="리서치애드"/>
    <s v="한국일오삼농산"/>
    <x v="29"/>
    <s v="서비스"/>
    <s v="음식/조리"/>
    <s v="기타 프렌차이즈점"/>
    <s v="Brainzzz"/>
    <s v="엔터테인먼트(대)게임(중)"/>
    <s v="m.app"/>
    <s v="애드몹"/>
    <s v="25"/>
    <s v="05"/>
    <s v="25.05.31"/>
    <s v="25.05.31"/>
    <n v="147"/>
  </r>
  <r>
    <s v="애드몹"/>
    <s v="리서치애드"/>
    <s v="한국일오삼농산"/>
    <x v="29"/>
    <s v="서비스"/>
    <s v="음식/조리"/>
    <s v="기타 프렌차이즈점"/>
    <s v="Crowd City"/>
    <s v="엔터테인먼트(대)게임(중)"/>
    <s v="m.app"/>
    <s v="애드몹"/>
    <s v="25"/>
    <s v="05"/>
    <s v="25.05.25"/>
    <s v="25.05.25"/>
    <n v="147"/>
  </r>
  <r>
    <s v="애드몹"/>
    <s v="리서치애드"/>
    <s v="한국일오삼농산"/>
    <x v="29"/>
    <s v="서비스"/>
    <s v="음식/조리"/>
    <s v="기타 프렌차이즈점"/>
    <s v="Crowd City"/>
    <s v="엔터테인먼트(대)게임(중)"/>
    <s v="m.app"/>
    <s v="애드몹"/>
    <s v="25"/>
    <s v="05"/>
    <s v="25.05.27"/>
    <s v="25.05.30"/>
    <n v="587"/>
  </r>
  <r>
    <s v="애드몹"/>
    <s v="리서치애드"/>
    <s v="한국일오삼농산"/>
    <x v="29"/>
    <s v="서비스"/>
    <s v="음식/조리"/>
    <s v="기타 프렌차이즈점"/>
    <s v="Crowd City"/>
    <s v="엔터테인먼트(대)게임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Epic Race 3D"/>
    <s v="엔터테인먼트(대)게임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Video Player"/>
    <s v="모바일(대)도구/유틸리티(중)"/>
    <s v="m.app"/>
    <s v="애드몹"/>
    <s v="25"/>
    <s v="02"/>
    <s v="25.02.14"/>
    <s v="25.02.14"/>
    <n v="128"/>
  </r>
  <r>
    <s v="애드몹"/>
    <s v="리서치애드"/>
    <s v="한국일오삼농산"/>
    <x v="29"/>
    <s v="서비스"/>
    <s v="음식/조리"/>
    <s v="기타 프렌차이즈점"/>
    <s v="Video Player"/>
    <s v="모바일(대)도구/유틸리티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무승부등산가 - Draw Climber"/>
    <s v="엔터테인먼트(대)게임(중)"/>
    <s v="m.app"/>
    <s v="애드몹"/>
    <s v="25"/>
    <s v="05"/>
    <s v="25.05.22"/>
    <s v="25.05.22"/>
    <n v="147"/>
  </r>
  <r>
    <s v="애드몹"/>
    <s v="리서치애드"/>
    <s v="한국일오삼농산"/>
    <x v="29"/>
    <s v="서비스"/>
    <s v="음식/조리"/>
    <s v="기타 프렌차이즈점"/>
    <s v="Anime Girls"/>
    <s v="엔터테인먼트(대)게임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Model Wedding"/>
    <s v="엔터테인먼트(대)게임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나만의 비밀 일기장"/>
    <s v="모바일(대)라이프스타일(중)"/>
    <s v="m.app"/>
    <s v="애드몹"/>
    <s v="25"/>
    <s v="02"/>
    <s v="25.02.14"/>
    <s v="25.02.15"/>
    <n v="257"/>
  </r>
  <r>
    <s v="애드몹"/>
    <s v="리서치애드"/>
    <s v="한국일오삼농산"/>
    <x v="29"/>
    <s v="서비스"/>
    <s v="음식/조리"/>
    <s v="기타 프렌차이즈점"/>
    <s v="나만의 비밀 일기장"/>
    <s v="모바일(대)라이프스타일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MediBang Colors"/>
    <s v="엔터테인먼트(대)게임(중)"/>
    <s v="m.app"/>
    <s v="애드몹"/>
    <s v="25"/>
    <s v="02"/>
    <s v="25.02.12"/>
    <s v="25.02.13"/>
    <n v="257"/>
  </r>
  <r>
    <s v="애드몹"/>
    <s v="리서치애드"/>
    <s v="한국일오삼농산"/>
    <x v="29"/>
    <s v="서비스"/>
    <s v="음식/조리"/>
    <s v="기타 프렌차이즈점"/>
    <s v="바탕 화면"/>
    <s v="모바일(대)도구/유틸리티(중)"/>
    <s v="m.app"/>
    <s v="애드몹"/>
    <s v="25"/>
    <s v="02"/>
    <s v="25.02.14"/>
    <s v="25.02.16"/>
    <n v="385"/>
  </r>
  <r>
    <s v="애드몹"/>
    <s v="리서치애드"/>
    <s v="한국일오삼농산"/>
    <x v="29"/>
    <s v="서비스"/>
    <s v="음식/조리"/>
    <s v="기타 프렌차이즈점"/>
    <s v="바탕 화면"/>
    <s v="모바일(대)도구/유틸리티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바탕 화면"/>
    <s v="모바일(대)도구/유틸리티(중)"/>
    <s v="m.app"/>
    <s v="애드몹"/>
    <s v="25"/>
    <s v="03"/>
    <s v="25.03.10"/>
    <s v="25.03.15"/>
    <n v="798"/>
  </r>
  <r>
    <s v="애드몹"/>
    <s v="리서치애드"/>
    <s v="한국일오삼농산"/>
    <x v="29"/>
    <s v="서비스"/>
    <s v="음식/조리"/>
    <s v="기타 프렌차이즈점"/>
    <s v="바탕 화면"/>
    <s v="모바일(대)도구/유틸리티(중)"/>
    <s v="m.app"/>
    <s v="애드몹"/>
    <s v="25"/>
    <s v="03"/>
    <s v="25.03.13"/>
    <s v="25.03.13"/>
    <n v="133"/>
  </r>
  <r>
    <s v="애드몹"/>
    <s v="리서치애드"/>
    <s v="한국일오삼농산"/>
    <x v="29"/>
    <s v="서비스"/>
    <s v="음식/조리"/>
    <s v="기타 프렌차이즈점"/>
    <s v="College Girls Team"/>
    <s v="엔터테인먼트(대)게임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염라대왕 체험하기"/>
    <s v="모바일(대)엔터테인먼트(중)"/>
    <s v="m.app"/>
    <s v="애드몹"/>
    <s v="25"/>
    <s v="02"/>
    <s v="25.02.13"/>
    <s v="25.02.16"/>
    <n v="513"/>
  </r>
  <r>
    <s v="애드몹"/>
    <s v="리서치애드"/>
    <s v="한국일오삼농산"/>
    <x v="29"/>
    <s v="서비스"/>
    <s v="음식/조리"/>
    <s v="기타 프렌차이즈점"/>
    <s v="염라대왕 체험하기"/>
    <s v="모바일(대)엔터테인먼트(중)"/>
    <s v="m.app"/>
    <s v="애드몹"/>
    <s v="25"/>
    <s v="02"/>
    <s v="25.02.14"/>
    <s v="25.02.14"/>
    <n v="128"/>
  </r>
  <r>
    <s v="애드몹"/>
    <s v="리서치애드"/>
    <s v="한국일오삼농산"/>
    <x v="29"/>
    <s v="서비스"/>
    <s v="음식/조리"/>
    <s v="기타 프렌차이즈점"/>
    <s v="염라대왕 체험하기"/>
    <s v="모바일(대)엔터테인먼트(중)"/>
    <s v="m.app"/>
    <s v="애드몹"/>
    <s v="25"/>
    <s v="03"/>
    <s v="25.03.22"/>
    <s v="25.03.22"/>
    <n v="133"/>
  </r>
  <r>
    <s v="애드몹"/>
    <s v="리서치애드"/>
    <s v="한국일오삼농산"/>
    <x v="29"/>
    <s v="서비스"/>
    <s v="음식/조리"/>
    <s v="기타 프렌차이즈점"/>
    <s v="염라대왕 체험하기"/>
    <s v="모바일(대)엔터테인먼트(중)"/>
    <s v="m.app"/>
    <s v="애드몹"/>
    <s v="25"/>
    <s v="04"/>
    <s v="25.04.22"/>
    <s v="25.04.22"/>
    <n v="133"/>
  </r>
  <r>
    <s v="애드몹"/>
    <s v="리서치애드"/>
    <s v="한국일오삼농산"/>
    <x v="29"/>
    <s v="서비스"/>
    <s v="음식/조리"/>
    <s v="기타 프렌차이즈점"/>
    <s v="염라대왕 체험하기"/>
    <s v="모바일(대)엔터테인먼트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염라대왕 체험하기"/>
    <s v="모바일(대)엔터테인먼트(중)"/>
    <s v="m.app"/>
    <s v="애드몹"/>
    <s v="25"/>
    <s v="05"/>
    <s v="25.05.29"/>
    <s v="25.05.29"/>
    <n v="147"/>
  </r>
  <r>
    <s v="애드몹"/>
    <s v="리서치애드"/>
    <s v="한국일오삼농산"/>
    <x v="29"/>
    <s v="서비스"/>
    <s v="음식/조리"/>
    <s v="기타 프렌차이즈점"/>
    <s v="귀신 탐지기"/>
    <s v="모바일(대)엔터테인먼트(중)"/>
    <s v="m.app"/>
    <s v="애드몹"/>
    <s v="25"/>
    <s v="02"/>
    <s v="25.02.17"/>
    <s v="25.02.20"/>
    <n v="513"/>
  </r>
  <r>
    <s v="애드몹"/>
    <s v="리서치애드"/>
    <s v="한국일오삼농산"/>
    <x v="29"/>
    <s v="서비스"/>
    <s v="음식/조리"/>
    <s v="기타 프렌차이즈점"/>
    <s v="커플 테스트"/>
    <s v="모바일(대)엔터테인먼트(중)"/>
    <s v="m.app"/>
    <s v="애드몹"/>
    <s v="25"/>
    <s v="02"/>
    <s v="25.02.17"/>
    <s v="25.02.17"/>
    <n v="128"/>
  </r>
  <r>
    <s v="애드몹"/>
    <s v="리서치애드"/>
    <s v="한국일오삼농산"/>
    <x v="29"/>
    <s v="서비스"/>
    <s v="음식/조리"/>
    <s v="기타 프렌차이즈점"/>
    <s v="커플 테스트"/>
    <s v="모바일(대)엔터테인먼트(중)"/>
    <s v="m.app"/>
    <s v="애드몹"/>
    <s v="25"/>
    <s v="05"/>
    <s v="25.05.23"/>
    <s v="25.05.23"/>
    <n v="147"/>
  </r>
  <r>
    <s v="애드몹"/>
    <s v="리서치애드"/>
    <s v="한국일오삼농산"/>
    <x v="29"/>
    <s v="서비스"/>
    <s v="음식/조리"/>
    <s v="기타 프렌차이즈점"/>
    <s v="남친여친 만들기"/>
    <s v="모바일(대)엔터테인먼트(중)"/>
    <s v="m.app"/>
    <s v="애드몹"/>
    <s v="25"/>
    <s v="04"/>
    <s v="25.04.23"/>
    <s v="25.04.26"/>
    <n v="532"/>
  </r>
  <r>
    <s v="애드몹"/>
    <s v="리서치애드"/>
    <s v="한국일오삼농산"/>
    <x v="29"/>
    <s v="서비스"/>
    <s v="음식/조리"/>
    <s v="기타 프렌차이즈점"/>
    <s v="소개팅 테스트"/>
    <s v="모바일(대)엔터테인먼트(중)"/>
    <s v="m.app"/>
    <s v="애드몹"/>
    <s v="25"/>
    <s v="02"/>
    <s v="25.02.12"/>
    <s v="25.02.16"/>
    <n v="641"/>
  </r>
  <r>
    <s v="애드몹"/>
    <s v="리서치애드"/>
    <s v="한국일오삼농산"/>
    <x v="29"/>
    <s v="서비스"/>
    <s v="음식/조리"/>
    <s v="기타 프렌차이즈점"/>
    <s v="소개팅 테스트"/>
    <s v="모바일(대)엔터테인먼트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소개팅 테스트"/>
    <s v="모바일(대)엔터테인먼트(중)"/>
    <s v="m.app"/>
    <s v="애드몹"/>
    <s v="25"/>
    <s v="03"/>
    <s v="25.03.20"/>
    <s v="25.03.20"/>
    <n v="133"/>
  </r>
  <r>
    <s v="애드몹"/>
    <s v="리서치애드"/>
    <s v="한국일오삼농산"/>
    <x v="29"/>
    <s v="서비스"/>
    <s v="음식/조리"/>
    <s v="기타 프렌차이즈점"/>
    <s v="아이돌 짝맞추기"/>
    <s v="엔터테인먼트(대)게임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아이돌 짝맞추기"/>
    <s v="엔터테인먼트(대)게임(중)"/>
    <s v="m.app"/>
    <s v="애드몹"/>
    <s v="25"/>
    <s v="03"/>
    <s v="25.03.23"/>
    <s v="25.03.23"/>
    <n v="133"/>
  </r>
  <r>
    <s v="애드몹"/>
    <s v="리서치애드"/>
    <s v="한국일오삼농산"/>
    <x v="29"/>
    <s v="서비스"/>
    <s v="음식/조리"/>
    <s v="기타 프렌차이즈점"/>
    <s v="아이돌 짝맞추기"/>
    <s v="엔터테인먼트(대)게임(중)"/>
    <s v="m.app"/>
    <s v="애드몹"/>
    <s v="25"/>
    <s v="05"/>
    <s v="25.05.23"/>
    <s v="25.05.23"/>
    <n v="147"/>
  </r>
  <r>
    <s v="애드몹"/>
    <s v="리서치애드"/>
    <s v="한국일오삼농산"/>
    <x v="29"/>
    <s v="서비스"/>
    <s v="음식/조리"/>
    <s v="기타 프렌차이즈점"/>
    <s v="유령탐지기"/>
    <s v="엔터테인먼트(대)게임(중)"/>
    <s v="m.app"/>
    <s v="애드몹"/>
    <s v="25"/>
    <s v="05"/>
    <s v="25.05.20"/>
    <s v="25.05.24"/>
    <n v="734"/>
  </r>
  <r>
    <s v="애드몹"/>
    <s v="리서치애드"/>
    <s v="한국일오삼농산"/>
    <x v="29"/>
    <s v="서비스"/>
    <s v="음식/조리"/>
    <s v="기타 프렌차이즈점"/>
    <s v="유령탐지기"/>
    <s v="엔터테인먼트(대)게임(중)"/>
    <s v="m.app"/>
    <s v="애드몹"/>
    <s v="25"/>
    <s v="05"/>
    <s v="25.05.26"/>
    <s v="25.05.30"/>
    <n v="734"/>
  </r>
  <r>
    <s v="애드몹"/>
    <s v="리서치애드"/>
    <s v="한국일오삼농산"/>
    <x v="29"/>
    <s v="서비스"/>
    <s v="음식/조리"/>
    <s v="기타 프렌차이즈점"/>
    <s v="유령탐지기"/>
    <s v="엔터테인먼트(대)게임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2"/>
    <s v="25.02.09"/>
    <s v="25.02.09"/>
    <n v="128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2"/>
    <s v="25.02.12"/>
    <s v="25.02.16"/>
    <n v="641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2"/>
    <s v="25.02.17"/>
    <s v="25.02.19"/>
    <n v="385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5"/>
    <s v="25.05.20"/>
    <s v="25.05.24"/>
    <n v="734"/>
  </r>
  <r>
    <s v="애드몹"/>
    <s v="리서치애드"/>
    <s v="한국일오삼농산"/>
    <x v="29"/>
    <s v="서비스"/>
    <s v="음식/조리"/>
    <s v="기타 프렌차이즈점"/>
    <s v="오늘의 수호천사"/>
    <s v="모바일(대)엔터테인먼트(중)"/>
    <s v="m.app"/>
    <s v="애드몹"/>
    <s v="25"/>
    <s v="05"/>
    <s v="25.05.26"/>
    <s v="25.05.31"/>
    <n v="881"/>
  </r>
  <r>
    <s v="애드몹"/>
    <s v="리서치애드"/>
    <s v="한국일오삼농산"/>
    <x v="29"/>
    <s v="서비스"/>
    <s v="음식/조리"/>
    <s v="기타 프렌차이즈점"/>
    <s v="사진속 귀신찾기"/>
    <s v="엔터테인먼트(대)게임(중)"/>
    <s v="m.app"/>
    <s v="애드몹"/>
    <s v="25"/>
    <s v="02"/>
    <s v="25.02.14"/>
    <s v="25.02.16"/>
    <n v="385"/>
  </r>
  <r>
    <s v="애드몹"/>
    <s v="리서치애드"/>
    <s v="한국일오삼농산"/>
    <x v="29"/>
    <s v="서비스"/>
    <s v="음식/조리"/>
    <s v="기타 프렌차이즈점"/>
    <s v="환생을 보는 거울"/>
    <s v="모바일(대)엔터테인먼트(중)"/>
    <s v="m.app"/>
    <s v="애드몹"/>
    <s v="25"/>
    <s v="02"/>
    <s v="25.02.14"/>
    <s v="25.02.16"/>
    <n v="385"/>
  </r>
  <r>
    <s v="애드몹"/>
    <s v="리서치애드"/>
    <s v="한국일오삼농산"/>
    <x v="29"/>
    <s v="서비스"/>
    <s v="음식/조리"/>
    <s v="기타 프렌차이즈점"/>
    <s v="환생을 보는 거울"/>
    <s v="모바일(대)엔터테인먼트(중)"/>
    <s v="m.app"/>
    <s v="애드몹"/>
    <s v="25"/>
    <s v="02"/>
    <s v="25.02.18"/>
    <s v="25.02.19"/>
    <n v="257"/>
  </r>
  <r>
    <s v="애드몹"/>
    <s v="리서치애드"/>
    <s v="한국일오삼농산"/>
    <x v="29"/>
    <s v="서비스"/>
    <s v="음식/조리"/>
    <s v="기타 프렌차이즈점"/>
    <s v="너랑나랑 우정운세"/>
    <s v="모바일(대)엔터테인먼트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너랑나랑 우정운세"/>
    <s v="모바일(대)엔터테인먼트(중)"/>
    <s v="m.app"/>
    <s v="애드몹"/>
    <s v="25"/>
    <s v="05"/>
    <s v="25.05.22"/>
    <s v="25.05.22"/>
    <n v="147"/>
  </r>
  <r>
    <s v="애드몹"/>
    <s v="리서치애드"/>
    <s v="한국일오삼농산"/>
    <x v="29"/>
    <s v="서비스"/>
    <s v="음식/조리"/>
    <s v="기타 프렌차이즈점"/>
    <s v="너랑나랑 우정운세"/>
    <s v="모바일(대)엔터테인먼트(중)"/>
    <s v="m.app"/>
    <s v="애드몹"/>
    <s v="25"/>
    <s v="05"/>
    <s v="25.05.31"/>
    <s v="25.05.31"/>
    <n v="147"/>
  </r>
  <r>
    <s v="애드몹"/>
    <s v="리서치애드"/>
    <s v="한국일오삼농산"/>
    <x v="29"/>
    <s v="서비스"/>
    <s v="음식/조리"/>
    <s v="기타 프렌차이즈점"/>
    <s v="외계인탐지기"/>
    <s v="엔터테인먼트(대)게임(중)"/>
    <s v="m.app"/>
    <s v="애드몹"/>
    <s v="25"/>
    <s v="02"/>
    <s v="25.02.13"/>
    <s v="25.02.14"/>
    <n v="257"/>
  </r>
  <r>
    <s v="애드몹"/>
    <s v="리서치애드"/>
    <s v="한국일오삼농산"/>
    <x v="29"/>
    <s v="서비스"/>
    <s v="음식/조리"/>
    <s v="기타 프렌차이즈점"/>
    <s v="외계인탐지기"/>
    <s v="엔터테인먼트(대)게임(중)"/>
    <s v="m.app"/>
    <s v="애드몹"/>
    <s v="25"/>
    <s v="04"/>
    <s v="25.04.22"/>
    <s v="25.04.22"/>
    <n v="133"/>
  </r>
  <r>
    <s v="애드몹"/>
    <s v="리서치애드"/>
    <s v="한국일오삼농산"/>
    <x v="29"/>
    <s v="서비스"/>
    <s v="음식/조리"/>
    <s v="기타 프렌차이즈점"/>
    <s v="외계인탐지기"/>
    <s v="엔터테인먼트(대)게임(중)"/>
    <s v="m.app"/>
    <s v="애드몹"/>
    <s v="25"/>
    <s v="05"/>
    <s v="25.05.22"/>
    <s v="25.05.23"/>
    <n v="294"/>
  </r>
  <r>
    <s v="애드몹"/>
    <s v="리서치애드"/>
    <s v="한국일오삼농산"/>
    <x v="29"/>
    <s v="서비스"/>
    <s v="음식/조리"/>
    <s v="기타 프렌차이즈점"/>
    <s v="기획사 체험하기"/>
    <s v="엔터테인먼트(대)게임(중)"/>
    <s v="m.app"/>
    <s v="애드몹"/>
    <s v="25"/>
    <s v="02"/>
    <s v="25.02.17"/>
    <s v="25.02.20"/>
    <n v="513"/>
  </r>
  <r>
    <s v="애드몹"/>
    <s v="리서치애드"/>
    <s v="한국일오삼농산"/>
    <x v="29"/>
    <s v="서비스"/>
    <s v="음식/조리"/>
    <s v="기타 프렌차이즈점"/>
    <s v="기획사 체험하기"/>
    <s v="엔터테인먼트(대)게임(중)"/>
    <s v="m.app"/>
    <s v="애드몹"/>
    <s v="25"/>
    <s v="03"/>
    <s v="25.03.11"/>
    <s v="25.03.13"/>
    <n v="399"/>
  </r>
  <r>
    <s v="애드몹"/>
    <s v="리서치애드"/>
    <s v="한국일오삼농산"/>
    <x v="29"/>
    <s v="서비스"/>
    <s v="음식/조리"/>
    <s v="기타 프렌차이즈점"/>
    <s v="TRUE대구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TRUE서울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TRUE인천"/>
    <s v="생활정보(대)생활정보 기타(중)"/>
    <s v="m.app"/>
    <s v="애드몹"/>
    <s v="25"/>
    <s v="05"/>
    <s v="25.05.16"/>
    <s v="25.05.16"/>
    <n v="294"/>
  </r>
  <r>
    <s v="애드몹"/>
    <s v="리서치애드"/>
    <s v="한국일오삼농산"/>
    <x v="29"/>
    <s v="서비스"/>
    <s v="음식/조리"/>
    <s v="기타 프렌차이즈점"/>
    <s v="보령에가면"/>
    <s v="생활정보(대)생활정보 기타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보령에가면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진주에가면"/>
    <s v="생활정보(대)생활정보 기타(중)"/>
    <s v="m.app"/>
    <s v="애드몹"/>
    <s v="25"/>
    <s v="04"/>
    <s v="25.04.03"/>
    <s v="25.04.05"/>
    <n v="399"/>
  </r>
  <r>
    <s v="애드몹"/>
    <s v="리서치애드"/>
    <s v="한국일오삼농산"/>
    <x v="29"/>
    <s v="서비스"/>
    <s v="음식/조리"/>
    <s v="기타 프렌차이즈점"/>
    <s v="진주에가면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TRUE포항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TRUE세종"/>
    <s v="생활정보(대)생활정보 기타(중)"/>
    <s v="m.app"/>
    <s v="애드몹"/>
    <s v="25"/>
    <s v="05"/>
    <s v="25.05.22"/>
    <s v="25.05.22"/>
    <n v="147"/>
  </r>
  <r>
    <s v="애드몹"/>
    <s v="리서치애드"/>
    <s v="한국일오삼농산"/>
    <x v="29"/>
    <s v="서비스"/>
    <s v="음식/조리"/>
    <s v="기타 프렌차이즈점"/>
    <s v="TRUE세종"/>
    <s v="생활정보(대)생활정보 기타(중)"/>
    <s v="m.app"/>
    <s v="애드몹"/>
    <s v="25"/>
    <s v="05"/>
    <s v="25.05.29"/>
    <s v="25.05.31"/>
    <n v="440"/>
  </r>
  <r>
    <s v="애드몹"/>
    <s v="리서치애드"/>
    <s v="한국일오삼농산"/>
    <x v="29"/>
    <s v="서비스"/>
    <s v="음식/조리"/>
    <s v="기타 프렌차이즈점"/>
    <s v="TRUE세종"/>
    <s v="생활정보(대)생활정보 기타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TRUE세종"/>
    <s v="생활정보(대)생활정보 기타(중)"/>
    <s v="m.app"/>
    <s v="애드몹"/>
    <s v="25"/>
    <s v="06"/>
    <s v="25.06.02"/>
    <s v="25.06.06"/>
    <n v="800"/>
  </r>
  <r>
    <s v="애드몹"/>
    <s v="리서치애드"/>
    <s v="한국일오삼농산"/>
    <x v="29"/>
    <s v="서비스"/>
    <s v="음식/조리"/>
    <s v="기타 프렌차이즈점"/>
    <s v="TRUE용인"/>
    <s v="생활정보(대)생활정보 기타(중)"/>
    <s v="m.app"/>
    <s v="애드몹"/>
    <s v="25"/>
    <s v="04"/>
    <s v="25.04.26"/>
    <s v="25.04.26"/>
    <n v="133"/>
  </r>
  <r>
    <s v="애드몹"/>
    <s v="리서치애드"/>
    <s v="한국일오삼농산"/>
    <x v="29"/>
    <s v="서비스"/>
    <s v="음식/조리"/>
    <s v="기타 프렌차이즈점"/>
    <s v="TRUE창원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TRUE제주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TRUE경주"/>
    <s v="생활정보(대)생활정보 기타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TRUE여행"/>
    <s v="생활정보(대)생활정보 기타(중)"/>
    <s v="m.app"/>
    <s v="애드몹"/>
    <s v="25"/>
    <s v="05"/>
    <s v="25.05.16"/>
    <s v="25.05.16"/>
    <n v="294"/>
  </r>
  <r>
    <s v="애드몹"/>
    <s v="리서치애드"/>
    <s v="한국일오삼농산"/>
    <x v="29"/>
    <s v="서비스"/>
    <s v="음식/조리"/>
    <s v="기타 프렌차이즈점"/>
    <s v="울산에가면"/>
    <s v="생활정보(대)생활정보 기타(중)"/>
    <s v="m.app"/>
    <s v="애드몹"/>
    <s v="25"/>
    <s v="02"/>
    <s v="25.02.15"/>
    <s v="25.02.16"/>
    <n v="257"/>
  </r>
  <r>
    <s v="애드몹"/>
    <s v="리서치애드"/>
    <s v="한국일오삼농산"/>
    <x v="29"/>
    <s v="서비스"/>
    <s v="음식/조리"/>
    <s v="기타 프렌차이즈점"/>
    <s v="울산에가면"/>
    <s v="생활정보(대)생활정보 기타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울산에가면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울산에가면"/>
    <s v="생활정보(대)생활정보 기타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서울 등산로"/>
    <s v="엔터테인먼트(대)스포츠/레포츠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전라북도 등산로"/>
    <s v="엔터테인먼트(대)스포츠/레포츠(중)"/>
    <s v="m.app"/>
    <s v="애드몹"/>
    <s v="25"/>
    <s v="02"/>
    <s v="25.02.16"/>
    <s v="25.02.16"/>
    <n v="128"/>
  </r>
  <r>
    <s v="애드몹"/>
    <s v="리서치애드"/>
    <s v="한국일오삼농산"/>
    <x v="29"/>
    <s v="서비스"/>
    <s v="음식/조리"/>
    <s v="기타 프렌차이즈점"/>
    <s v="전라북도 등산로"/>
    <s v="엔터테인먼트(대)스포츠/레포츠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Blob Runner 3D"/>
    <s v="엔터테인먼트(대)게임(중)"/>
    <s v="m.app"/>
    <s v="애드몹"/>
    <s v="25"/>
    <s v="05"/>
    <s v="25.05.25"/>
    <s v="25.05.25"/>
    <n v="147"/>
  </r>
  <r>
    <s v="애드몹"/>
    <s v="리서치애드"/>
    <s v="한국일오삼농산"/>
    <x v="29"/>
    <s v="서비스"/>
    <s v="음식/조리"/>
    <s v="기타 프렌차이즈점"/>
    <s v="Blob Runner 3D"/>
    <s v="엔터테인먼트(대)게임(중)"/>
    <s v="m.app"/>
    <s v="애드몹"/>
    <s v="25"/>
    <s v="05"/>
    <s v="25.05.27"/>
    <s v="25.05.31"/>
    <n v="734"/>
  </r>
  <r>
    <s v="애드몹"/>
    <s v="리서치애드"/>
    <s v="한국일오삼농산"/>
    <x v="29"/>
    <s v="서비스"/>
    <s v="음식/조리"/>
    <s v="기타 프렌차이즈점"/>
    <s v="폰케이스"/>
    <s v="엔터테인먼트(대)게임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한국 정치 결투"/>
    <s v="엔터테인먼트(대)게임(중)"/>
    <s v="m.app"/>
    <s v="애드몹"/>
    <s v="25"/>
    <s v="04"/>
    <s v="25.04.23"/>
    <s v="25.04.26"/>
    <n v="532"/>
  </r>
  <r>
    <s v="애드몹"/>
    <s v="리서치애드"/>
    <s v="한국일오삼농산"/>
    <x v="29"/>
    <s v="서비스"/>
    <s v="음식/조리"/>
    <s v="기타 프렌차이즈점"/>
    <s v="전국여성안심택배함 정보"/>
    <s v="모바일(대)라이프스타일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Voice Recorder"/>
    <s v="모바일(대)도구/유틸리티(중)"/>
    <s v="m.app"/>
    <s v="애드몹"/>
    <s v="25"/>
    <s v="02"/>
    <s v="25.02.14"/>
    <s v="25.02.15"/>
    <n v="257"/>
  </r>
  <r>
    <s v="애드몹"/>
    <s v="리서치애드"/>
    <s v="한국일오삼농산"/>
    <x v="29"/>
    <s v="서비스"/>
    <s v="음식/조리"/>
    <s v="기타 프렌차이즈점"/>
    <s v="Voice Recorder"/>
    <s v="모바일(대)도구/유틸리티(중)"/>
    <s v="m.app"/>
    <s v="애드몹"/>
    <s v="25"/>
    <s v="02"/>
    <s v="25.02.17"/>
    <s v="25.02.19"/>
    <n v="385"/>
  </r>
  <r>
    <s v="애드몹"/>
    <s v="리서치애드"/>
    <s v="한국일오삼농산"/>
    <x v="29"/>
    <s v="서비스"/>
    <s v="음식/조리"/>
    <s v="기타 프렌차이즈점"/>
    <s v="냥방망이 - 고양이 장난감"/>
    <s v="엔터테인먼트(대)게임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농촌다움여행정보"/>
    <s v="생활정보(대)생활정보 기타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3D Pool Ball"/>
    <s v="엔터테인먼트(대)게임(중)"/>
    <s v="m.app"/>
    <s v="애드몹"/>
    <s v="25"/>
    <s v="02"/>
    <s v="25.02.12"/>
    <s v="25.02.16"/>
    <n v="641"/>
  </r>
  <r>
    <s v="애드몹"/>
    <s v="리서치애드"/>
    <s v="한국일오삼농산"/>
    <x v="29"/>
    <s v="서비스"/>
    <s v="음식/조리"/>
    <s v="기타 프렌차이즈점"/>
    <s v="3D Pool Ball"/>
    <s v="엔터테인먼트(대)게임(중)"/>
    <s v="m.app"/>
    <s v="애드몹"/>
    <s v="25"/>
    <s v="04"/>
    <s v="25.04.18"/>
    <s v="25.04.18"/>
    <n v="133"/>
  </r>
  <r>
    <s v="애드몹"/>
    <s v="리서치애드"/>
    <s v="한국일오삼농산"/>
    <x v="29"/>
    <s v="서비스"/>
    <s v="음식/조리"/>
    <s v="기타 프렌차이즈점"/>
    <s v="sudoku"/>
    <s v="엔터테인먼트(대)게임(중)"/>
    <s v="m.app"/>
    <s v="애드몹"/>
    <s v="25"/>
    <s v="04"/>
    <s v="25.04.24"/>
    <s v="25.04.24"/>
    <n v="133"/>
  </r>
  <r>
    <s v="애드몹"/>
    <s v="리서치애드"/>
    <s v="한국일오삼농산"/>
    <x v="29"/>
    <s v="서비스"/>
    <s v="음식/조리"/>
    <s v="기타 프렌차이즈점"/>
    <s v="등산로날씨지도"/>
    <s v="엔터테인먼트(대)스포츠/레포츠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등산로날씨지도"/>
    <s v="엔터테인먼트(대)스포츠/레포츠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보조금24 신청가이드"/>
    <s v="금융/비즈니스(대)금융정보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혈압"/>
    <s v="생활정보(대)병원/건강정보(중)"/>
    <s v="m.app"/>
    <s v="애드몹"/>
    <s v="25"/>
    <s v="02"/>
    <s v="25.02.16"/>
    <s v="25.02.16"/>
    <n v="128"/>
  </r>
  <r>
    <s v="애드몹"/>
    <s v="리서치애드"/>
    <s v="한국일오삼농산"/>
    <x v="29"/>
    <s v="서비스"/>
    <s v="음식/조리"/>
    <s v="기타 프렌차이즈점"/>
    <s v="혈압"/>
    <s v="생활정보(대)병원/건강정보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Disco Lights"/>
    <s v="엔터테인먼트(대)엔터테인먼트 기타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joongang.co.kr"/>
    <s v="신문/잡지(대)종합일간지(중)"/>
    <s v="m.web"/>
    <s v="애드몹"/>
    <s v="25"/>
    <s v="02"/>
    <s v="25.02.08"/>
    <s v="25.02.08"/>
    <n v="209"/>
  </r>
  <r>
    <s v="애드몹"/>
    <s v="리서치애드"/>
    <s v="한국일오삼농산"/>
    <x v="29"/>
    <s v="서비스"/>
    <s v="음식/조리"/>
    <s v="기타 프렌차이즈점"/>
    <s v="joongang.co.kr"/>
    <s v="신문/잡지(대)종합일간지(중)"/>
    <s v="m.web"/>
    <s v="애드몹"/>
    <s v="25"/>
    <s v="02"/>
    <s v="25.02.13"/>
    <s v="25.02.13"/>
    <n v="209"/>
  </r>
  <r>
    <s v="애드몹"/>
    <s v="리서치애드"/>
    <s v="한국일오삼농산"/>
    <x v="29"/>
    <s v="서비스"/>
    <s v="음식/조리"/>
    <s v="기타 프렌차이즈점"/>
    <s v="joongang.co.kr"/>
    <s v="신문/잡지(대)종합일간지(중)"/>
    <s v="m.web"/>
    <s v="애드몹"/>
    <s v="25"/>
    <s v="03"/>
    <s v="25.03.23"/>
    <s v="25.03.23"/>
    <n v="217"/>
  </r>
  <r>
    <s v="애드몹"/>
    <s v="리서치애드"/>
    <s v="한국일오삼농산"/>
    <x v="29"/>
    <s v="서비스"/>
    <s v="음식/조리"/>
    <s v="기타 프렌차이즈점"/>
    <s v="joongang.co.kr"/>
    <s v="신문/잡지(대)종합일간지(중)"/>
    <s v="m.web"/>
    <s v="애드몹"/>
    <s v="25"/>
    <s v="05"/>
    <s v="25.05.19"/>
    <s v="25.05.19"/>
    <n v="239"/>
  </r>
  <r>
    <s v="애드몹"/>
    <s v="리서치애드"/>
    <s v="한국일오삼농산"/>
    <x v="29"/>
    <s v="서비스"/>
    <s v="음식/조리"/>
    <s v="기타 프렌차이즈점"/>
    <s v="곡성에가면"/>
    <s v="생활정보(대)생활정보 기타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전국모범음식점정보"/>
    <s v="생활정보(대)요리/외식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경산에가면"/>
    <s v="생활정보(대)생활정보 기타(중)"/>
    <s v="m.app"/>
    <s v="애드몹"/>
    <s v="25"/>
    <s v="05"/>
    <s v="25.05.19"/>
    <s v="25.05.20"/>
    <n v="294"/>
  </r>
  <r>
    <s v="애드몹"/>
    <s v="리서치애드"/>
    <s v="한국일오삼농산"/>
    <x v="29"/>
    <s v="서비스"/>
    <s v="음식/조리"/>
    <s v="기타 프렌차이즈점"/>
    <s v="문장가"/>
    <s v="생활정보(대)미용/패션(중)"/>
    <s v="m.app"/>
    <s v="애드몹"/>
    <s v="25"/>
    <s v="04"/>
    <s v="25.04.26"/>
    <s v="25.04.26"/>
    <n v="133"/>
  </r>
  <r>
    <s v="애드몹"/>
    <s v="리서치애드"/>
    <s v="한국일오삼농산"/>
    <x v="29"/>
    <s v="서비스"/>
    <s v="음식/조리"/>
    <s v="기타 프렌차이즈점"/>
    <s v="Beauty Makeup"/>
    <s v="생활정보(대)미용/패션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DSLR Camera HD Professional"/>
    <s v="모바일(대)도구/유틸리티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DSLR Camera HD Professional"/>
    <s v="모바일(대)도구/유틸리티(중)"/>
    <s v="m.app"/>
    <s v="애드몹"/>
    <s v="25"/>
    <s v="04"/>
    <s v="25.04.22"/>
    <s v="25.04.26"/>
    <n v="665"/>
  </r>
  <r>
    <s v="애드몹"/>
    <s v="리서치애드"/>
    <s v="한국일오삼농산"/>
    <x v="29"/>
    <s v="서비스"/>
    <s v="음식/조리"/>
    <s v="기타 프렌차이즈점"/>
    <s v="Diabetes &amp; Blood Pressure Tracker"/>
    <s v="생활정보(대)병원/건강정보(중)"/>
    <s v="m.app"/>
    <s v="애드몹"/>
    <s v="25"/>
    <s v="03"/>
    <s v="25.03.22"/>
    <s v="25.03.22"/>
    <n v="133"/>
  </r>
  <r>
    <s v="애드몹"/>
    <s v="리서치애드"/>
    <s v="한국일오삼농산"/>
    <x v="29"/>
    <s v="서비스"/>
    <s v="음식/조리"/>
    <s v="기타 프렌차이즈점"/>
    <s v="Diabetes &amp; Blood Pressure Tracker"/>
    <s v="생활정보(대)병원/건강정보(중)"/>
    <s v="m.app"/>
    <s v="애드몹"/>
    <s v="25"/>
    <s v="04"/>
    <s v="25.04.21"/>
    <s v="25.04.21"/>
    <n v="133"/>
  </r>
  <r>
    <s v="애드몹"/>
    <s v="리서치애드"/>
    <s v="한국일오삼농산"/>
    <x v="29"/>
    <s v="서비스"/>
    <s v="음식/조리"/>
    <s v="기타 프렌차이즈점"/>
    <s v="KRW x VND"/>
    <s v="금융/비즈니스(대)금융/비즈니스 기타(중)"/>
    <s v="m.app"/>
    <s v="애드몹"/>
    <s v="25"/>
    <s v="02"/>
    <s v="25.02.15"/>
    <s v="25.02.15"/>
    <n v="128"/>
  </r>
  <r>
    <s v="애드몹"/>
    <s v="리서치애드"/>
    <s v="한국일오삼농산"/>
    <x v="29"/>
    <s v="서비스"/>
    <s v="음식/조리"/>
    <s v="기타 프렌차이즈점"/>
    <s v="Butterfly"/>
    <s v="모바일(대)도구/유틸리티(중)"/>
    <s v="m.app"/>
    <s v="애드몹"/>
    <s v="25"/>
    <s v="04"/>
    <s v="25.04.25"/>
    <s v="25.04.25"/>
    <n v="133"/>
  </r>
  <r>
    <s v="애드몹"/>
    <s v="리서치애드"/>
    <s v="한국일오삼농산"/>
    <x v="29"/>
    <s v="서비스"/>
    <s v="음식/조리"/>
    <s v="기타 프렌차이즈점"/>
    <s v="저승식당 운영하기"/>
    <s v="엔터테인먼트(대)게임(중)"/>
    <s v="m.app"/>
    <s v="애드몹"/>
    <s v="25"/>
    <s v="02"/>
    <s v="25.02.13"/>
    <s v="25.02.15"/>
    <n v="385"/>
  </r>
  <r>
    <s v="애드몹"/>
    <s v="리서치애드"/>
    <s v="한국일오삼농산"/>
    <x v="29"/>
    <s v="서비스"/>
    <s v="음식/조리"/>
    <s v="기타 프렌차이즈점"/>
    <s v="저승식당 운영하기"/>
    <s v="엔터테인먼트(대)게임(중)"/>
    <s v="m.app"/>
    <s v="애드몹"/>
    <s v="25"/>
    <s v="02"/>
    <s v="25.02.24"/>
    <s v="25.02.24"/>
    <n v="128"/>
  </r>
  <r>
    <s v="애드몹"/>
    <s v="리서치애드"/>
    <s v="한국일오삼농산"/>
    <x v="29"/>
    <s v="서비스"/>
    <s v="음식/조리"/>
    <s v="기타 프렌차이즈점"/>
    <s v="저승식당 운영하기"/>
    <s v="엔터테인먼트(대)게임(중)"/>
    <s v="m.app"/>
    <s v="애드몹"/>
    <s v="25"/>
    <s v="03"/>
    <s v="25.03.13"/>
    <s v="25.03.13"/>
    <n v="133"/>
  </r>
  <r>
    <s v="애드몹"/>
    <s v="리서치애드"/>
    <s v="한국일오삼농산"/>
    <x v="29"/>
    <s v="서비스"/>
    <s v="음식/조리"/>
    <s v="기타 프렌차이즈점"/>
    <s v="저승식당 운영하기"/>
    <s v="엔터테인먼트(대)게임(중)"/>
    <s v="m.app"/>
    <s v="애드몹"/>
    <s v="25"/>
    <s v="03"/>
    <s v="25.03.23"/>
    <s v="25.03.23"/>
    <n v="133"/>
  </r>
  <r>
    <s v="애드몹"/>
    <s v="리서치애드"/>
    <s v="한국일오삼농산"/>
    <x v="29"/>
    <s v="서비스"/>
    <s v="음식/조리"/>
    <s v="기타 프렌차이즈점"/>
    <s v="저승식당 운영하기"/>
    <s v="엔터테인먼트(대)게임(중)"/>
    <s v="m.app"/>
    <s v="애드몹"/>
    <s v="25"/>
    <s v="03"/>
    <s v="25.03.24"/>
    <s v="25.03.26"/>
    <n v="399"/>
  </r>
  <r>
    <s v="애드몹"/>
    <s v="리서치애드"/>
    <s v="한국일오삼농산"/>
    <x v="29"/>
    <s v="서비스"/>
    <s v="음식/조리"/>
    <s v="기타 프렌차이즈점"/>
    <s v="저승식당 운영하기"/>
    <s v="엔터테인먼트(대)게임(중)"/>
    <s v="m.app"/>
    <s v="애드몹"/>
    <s v="25"/>
    <s v="04"/>
    <s v="25.04.26"/>
    <s v="25.04.26"/>
    <n v="133"/>
  </r>
  <r>
    <s v="애드몹"/>
    <s v="리서치애드"/>
    <s v="한국일오삼농산"/>
    <x v="29"/>
    <s v="서비스"/>
    <s v="음식/조리"/>
    <s v="기타 프렌차이즈점"/>
    <s v="Uninstaller"/>
    <s v="모바일(대)도구/유틸리티(중)"/>
    <s v="m.app"/>
    <s v="애드몹"/>
    <s v="25"/>
    <s v="02"/>
    <s v="25.02.14"/>
    <s v="25.02.14"/>
    <n v="128"/>
  </r>
  <r>
    <s v="애드몹"/>
    <s v="리서치애드"/>
    <s v="한국일오삼농산"/>
    <x v="29"/>
    <s v="서비스"/>
    <s v="음식/조리"/>
    <s v="기타 프렌차이즈점"/>
    <s v="순산해요"/>
    <s v="생활정보(대)여성/육아(중)"/>
    <s v="m.app"/>
    <s v="애드몹"/>
    <s v="25"/>
    <s v="05"/>
    <s v="25.05.19"/>
    <s v="25.05.19"/>
    <n v="147"/>
  </r>
  <r>
    <s v="애드몹"/>
    <s v="리서치애드"/>
    <s v="한국일오삼농산"/>
    <x v="29"/>
    <s v="서비스"/>
    <s v="음식/조리"/>
    <s v="기타 프렌차이즈점"/>
    <s v="진통"/>
    <s v="생활정보(대)여성/육아(중)"/>
    <s v="m.app"/>
    <s v="애드몹"/>
    <s v="25"/>
    <s v="02"/>
    <s v="25.02.14"/>
    <s v="25.02.14"/>
    <n v="128"/>
  </r>
  <r>
    <s v="애드몹"/>
    <s v="리서치애드"/>
    <s v="한국일오삼농산"/>
    <x v="29"/>
    <s v="서비스"/>
    <s v="음식/조리"/>
    <s v="기타 프렌차이즈점"/>
    <s v="전국 렌트카업체 정보"/>
    <s v="생활정보(대)교통/날씨(중)"/>
    <s v="m.app"/>
    <s v="애드몹"/>
    <s v="25"/>
    <s v="02"/>
    <s v="25.02.12"/>
    <s v="25.02.12"/>
    <n v="128"/>
  </r>
  <r>
    <s v="애드몹"/>
    <s v="리서치애드"/>
    <s v="한국일오삼농산"/>
    <x v="29"/>
    <s v="서비스"/>
    <s v="음식/조리"/>
    <s v="기타 프렌차이즈점"/>
    <s v="전국 렌트카업체 정보"/>
    <s v="생활정보(대)교통/날씨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전국 렌트카업체 정보"/>
    <s v="생활정보(대)교통/날씨(중)"/>
    <s v="m.app"/>
    <s v="애드몹"/>
    <s v="25"/>
    <s v="05"/>
    <s v="25.05.19"/>
    <s v="25.05.19"/>
    <n v="147"/>
  </r>
  <r>
    <s v="애드몹"/>
    <s v="리서치애드"/>
    <s v="한국일오삼농산"/>
    <x v="29"/>
    <s v="서비스"/>
    <s v="음식/조리"/>
    <s v="기타 프렌차이즈점"/>
    <s v="전국 100대명산 등산로"/>
    <s v="엔터테인먼트(대)스포츠/레포츠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전국 100대명산 등산로"/>
    <s v="엔터테인먼트(대)스포츠/레포츠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BeautyMirror"/>
    <s v="모바일(대)라이프스타일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BeautyMirror"/>
    <s v="모바일(대)라이프스타일(중)"/>
    <s v="m.app"/>
    <s v="애드몹"/>
    <s v="25"/>
    <s v="05"/>
    <s v="25.05.19"/>
    <s v="25.05.19"/>
    <n v="147"/>
  </r>
  <r>
    <s v="애드몹"/>
    <s v="리서치애드"/>
    <s v="한국일오삼농산"/>
    <x v="29"/>
    <s v="서비스"/>
    <s v="음식/조리"/>
    <s v="기타 프렌차이즈점"/>
    <s v="전국 시티 투어 지도"/>
    <s v="생활정보(대)생활정보 기타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전국 시티 투어 지도"/>
    <s v="생활정보(대)생활정보 기타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전국 시티 투어 지도"/>
    <s v="생활정보(대)생활정보 기타(중)"/>
    <s v="m.app"/>
    <s v="애드몹"/>
    <s v="25"/>
    <s v="06"/>
    <s v="25.06.02"/>
    <s v="25.06.02"/>
    <n v="160"/>
  </r>
  <r>
    <s v="애드몹"/>
    <s v="리서치애드"/>
    <s v="한국일오삼농산"/>
    <x v="29"/>
    <s v="서비스"/>
    <s v="음식/조리"/>
    <s v="기타 프렌차이즈점"/>
    <s v="전국 둘레길 지도"/>
    <s v="생활정보(대)생활정보 기타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전국 둘레길 지도"/>
    <s v="생활정보(대)생활정보 기타(중)"/>
    <s v="m.app"/>
    <s v="애드몹"/>
    <s v="25"/>
    <s v="04"/>
    <s v="25.04.22"/>
    <s v="25.04.25"/>
    <n v="532"/>
  </r>
  <r>
    <s v="애드몹"/>
    <s v="리서치애드"/>
    <s v="한국일오삼농산"/>
    <x v="29"/>
    <s v="서비스"/>
    <s v="음식/조리"/>
    <s v="기타 프렌차이즈점"/>
    <s v="Text To Speech - SQZSoft"/>
    <s v="모바일(대)도구/유틸리티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스페인 여행지도"/>
    <s v="생활정보(대)생활정보 기타(중)"/>
    <s v="m.app"/>
    <s v="애드몹"/>
    <s v="25"/>
    <s v="05"/>
    <s v="25.05.19"/>
    <s v="25.05.19"/>
    <n v="147"/>
  </r>
  <r>
    <s v="애드몹"/>
    <s v="리서치애드"/>
    <s v="한국일오삼농산"/>
    <x v="29"/>
    <s v="서비스"/>
    <s v="음식/조리"/>
    <s v="기타 프렌차이즈점"/>
    <s v="옛날 옛적에: 영자 소설"/>
    <s v="엔터테인먼트(대)엔터테인먼트 기타(중)"/>
    <s v="m.app"/>
    <s v="애드몹"/>
    <s v="25"/>
    <s v="02"/>
    <s v="25.02.15"/>
    <s v="25.02.16"/>
    <n v="257"/>
  </r>
  <r>
    <s v="애드몹"/>
    <s v="리서치애드"/>
    <s v="한국일오삼농산"/>
    <x v="29"/>
    <s v="서비스"/>
    <s v="음식/조리"/>
    <s v="기타 프렌차이즈점"/>
    <s v="Cross Fight"/>
    <s v="엔터테인먼트(대)게임(중)"/>
    <s v="m.app"/>
    <s v="애드몹"/>
    <s v="25"/>
    <s v="04"/>
    <s v="25.04.26"/>
    <s v="25.04.27"/>
    <n v="266"/>
  </r>
  <r>
    <s v="애드몹"/>
    <s v="리서치애드"/>
    <s v="한국일오삼농산"/>
    <x v="29"/>
    <s v="서비스"/>
    <s v="음식/조리"/>
    <s v="기타 프렌차이즈점"/>
    <s v="Cross Fight"/>
    <s v="엔터테인먼트(대)게임(중)"/>
    <s v="m.app"/>
    <s v="애드몹"/>
    <s v="25"/>
    <s v="04"/>
    <s v="25.04.28"/>
    <s v="25.04.28"/>
    <n v="133"/>
  </r>
  <r>
    <s v="애드몹"/>
    <s v="리서치애드"/>
    <s v="한국일오삼농산"/>
    <x v="29"/>
    <s v="서비스"/>
    <s v="음식/조리"/>
    <s v="기타 프렌차이즈점"/>
    <s v="Pirate Attack"/>
    <s v="엔터테인먼트(대)게임(중)"/>
    <s v="m.app"/>
    <s v="애드몹"/>
    <s v="25"/>
    <s v="05"/>
    <s v="25.05.19"/>
    <s v="25.05.20"/>
    <n v="294"/>
  </r>
  <r>
    <s v="애드몹"/>
    <s v="리서치애드"/>
    <s v="한국일오삼농산"/>
    <x v="29"/>
    <s v="서비스"/>
    <s v="음식/조리"/>
    <s v="기타 프렌차이즈점"/>
    <s v="지리산 둘레길 정보"/>
    <s v="엔터테인먼트(대)스포츠/레포츠(중)"/>
    <s v="m.app"/>
    <s v="애드몹"/>
    <s v="25"/>
    <s v="05"/>
    <s v="25.05.20"/>
    <s v="25.05.20"/>
    <n v="147"/>
  </r>
  <r>
    <s v="애드몹"/>
    <s v="리서치애드"/>
    <s v="한국일오삼농산"/>
    <x v="29"/>
    <s v="서비스"/>
    <s v="음식/조리"/>
    <s v="기타 프렌차이즈점"/>
    <s v="데일리공연전시"/>
    <s v="엔터테인먼트(대)영화/공연(중)"/>
    <s v="m.app"/>
    <s v="애드몹"/>
    <s v="25"/>
    <s v="02"/>
    <s v="25.02.12"/>
    <s v="25.02.13"/>
    <n v="257"/>
  </r>
  <r>
    <s v="애드몹"/>
    <s v="리서치애드"/>
    <s v="한국일오삼농산"/>
    <x v="29"/>
    <s v="서비스"/>
    <s v="음식/조리"/>
    <s v="기타 프렌차이즈점"/>
    <s v="데일리공연전시"/>
    <s v="엔터테인먼트(대)영화/공연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충북에가면"/>
    <s v="생활정보(대)생활정보 기타(중)"/>
    <s v="m.app"/>
    <s v="애드몹"/>
    <s v="25"/>
    <s v="02"/>
    <s v="25.02.16"/>
    <s v="25.02.16"/>
    <n v="128"/>
  </r>
  <r>
    <s v="애드몹"/>
    <s v="리서치애드"/>
    <s v="한국일오삼농산"/>
    <x v="29"/>
    <s v="서비스"/>
    <s v="음식/조리"/>
    <s v="기타 프렌차이즈점"/>
    <s v="충북에가면"/>
    <s v="생활정보(대)생활정보 기타(중)"/>
    <s v="m.app"/>
    <s v="애드몹"/>
    <s v="25"/>
    <s v="02"/>
    <s v="25.02.17"/>
    <s v="25.02.18"/>
    <n v="257"/>
  </r>
  <r>
    <s v="애드몹"/>
    <s v="리서치애드"/>
    <s v="한국일오삼농산"/>
    <x v="29"/>
    <s v="서비스"/>
    <s v="음식/조리"/>
    <s v="기타 프렌차이즈점"/>
    <s v="충북에가면"/>
    <s v="생활정보(대)생활정보 기타(중)"/>
    <s v="m.app"/>
    <s v="애드몹"/>
    <s v="25"/>
    <s v="03"/>
    <s v="25.03.23"/>
    <s v="25.03.23"/>
    <n v="133"/>
  </r>
  <r>
    <s v="애드몹"/>
    <s v="리서치애드"/>
    <s v="한국일오삼농산"/>
    <x v="29"/>
    <s v="서비스"/>
    <s v="음식/조리"/>
    <s v="기타 프렌차이즈점"/>
    <s v="충북에가면"/>
    <s v="생활정보(대)생활정보 기타(중)"/>
    <s v="m.app"/>
    <s v="애드몹"/>
    <s v="25"/>
    <s v="03"/>
    <s v="25.03.24"/>
    <s v="25.03.27"/>
    <n v="532"/>
  </r>
  <r>
    <s v="애드몹"/>
    <s v="리서치애드"/>
    <s v="한국일오삼농산"/>
    <x v="29"/>
    <s v="서비스"/>
    <s v="음식/조리"/>
    <s v="기타 프렌차이즈점"/>
    <s v="충북에가면"/>
    <s v="생활정보(대)생활정보 기타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백두대간 산 정보"/>
    <s v="엔터테인먼트(대)스포츠/레포츠(중)"/>
    <s v="m.app"/>
    <s v="애드몹"/>
    <s v="25"/>
    <s v="02"/>
    <s v="25.02.13"/>
    <s v="25.02.16"/>
    <n v="513"/>
  </r>
  <r>
    <s v="애드몹"/>
    <s v="리서치애드"/>
    <s v="한국일오삼농산"/>
    <x v="29"/>
    <s v="서비스"/>
    <s v="음식/조리"/>
    <s v="기타 프렌차이즈점"/>
    <s v="백두대간 산 정보"/>
    <s v="엔터테인먼트(대)스포츠/레포츠(중)"/>
    <s v="m.app"/>
    <s v="애드몹"/>
    <s v="25"/>
    <s v="02"/>
    <s v="25.02.18"/>
    <s v="25.02.18"/>
    <n v="128"/>
  </r>
  <r>
    <s v="애드몹"/>
    <s v="리서치애드"/>
    <s v="한국일오삼농산"/>
    <x v="29"/>
    <s v="서비스"/>
    <s v="음식/조리"/>
    <s v="기타 프렌차이즈점"/>
    <s v="대전에가면"/>
    <s v="생활정보(대)생활정보 기타(중)"/>
    <s v="m.app"/>
    <s v="애드몹"/>
    <s v="25"/>
    <s v="05"/>
    <s v="25.05.19"/>
    <s v="25.05.20"/>
    <n v="294"/>
  </r>
  <r>
    <s v="애드몹"/>
    <s v="리서치애드"/>
    <s v="한국일오삼농산"/>
    <x v="29"/>
    <s v="서비스"/>
    <s v="음식/조리"/>
    <s v="기타 프렌차이즈점"/>
    <s v="대전에가면"/>
    <s v="생활정보(대)생활정보 기타(중)"/>
    <s v="m.app"/>
    <s v="애드몹"/>
    <s v="25"/>
    <s v="06"/>
    <s v="25.06.01"/>
    <s v="25.06.01"/>
    <n v="160"/>
  </r>
  <r>
    <s v="애드몹"/>
    <s v="리서치애드"/>
    <s v="한국일오삼농산"/>
    <x v="29"/>
    <s v="서비스"/>
    <s v="음식/조리"/>
    <s v="기타 프렌차이즈점"/>
    <s v="전남에가면"/>
    <s v="생활정보(대)생활정보 기타(중)"/>
    <s v="m.app"/>
    <s v="애드몹"/>
    <s v="25"/>
    <s v="02"/>
    <s v="25.02.12"/>
    <s v="25.02.12"/>
    <n v="128"/>
  </r>
  <r>
    <s v="애드몹"/>
    <s v="리서치애드"/>
    <s v="한국일오삼농산"/>
    <x v="29"/>
    <s v="서비스"/>
    <s v="음식/조리"/>
    <s v="기타 프렌차이즈점"/>
    <s v="D-Day"/>
    <s v="모바일(대)라이프스타일(중)"/>
    <s v="m.app"/>
    <s v="애드몹"/>
    <s v="25"/>
    <s v="04"/>
    <s v="25.04.20"/>
    <s v="25.04.20"/>
    <n v="133"/>
  </r>
  <r>
    <s v="애드몹"/>
    <s v="리서치애드"/>
    <s v="한국일오삼농산"/>
    <x v="29"/>
    <s v="서비스"/>
    <s v="음식/조리"/>
    <s v="기타 프렌차이즈점"/>
    <s v="D-Day"/>
    <s v="모바일(대)라이프스타일(중)"/>
    <s v="m.app"/>
    <s v="애드몹"/>
    <s v="25"/>
    <s v="04"/>
    <s v="25.04.22"/>
    <s v="25.04.27"/>
    <n v="798"/>
  </r>
  <r>
    <s v="애드몹"/>
    <s v="리서치애드"/>
    <s v="한국일오삼농산"/>
    <x v="29"/>
    <s v="서비스"/>
    <s v="음식/조리"/>
    <s v="기타 프렌차이즈점"/>
    <s v="D-Day"/>
    <s v="모바일(대)라이프스타일(중)"/>
    <s v="m.app"/>
    <s v="애드몹"/>
    <s v="25"/>
    <s v="04"/>
    <s v="25.04.27"/>
    <s v="25.04.27"/>
    <n v="133"/>
  </r>
  <r>
    <s v="애드몹"/>
    <s v="리서치애드"/>
    <s v="한국일오삼농산"/>
    <x v="29"/>
    <s v="서비스"/>
    <s v="음식/조리"/>
    <s v="기타 프렌차이즈점"/>
    <s v="D-Day"/>
    <s v="모바일(대)라이프스타일(중)"/>
    <s v="m.app"/>
    <s v="애드몹"/>
    <s v="25"/>
    <s v="04"/>
    <s v="25.04.28"/>
    <s v="25.04.29"/>
    <n v="266"/>
  </r>
  <r>
    <s v="애드몹"/>
    <s v="리서치애드"/>
    <s v="한국일오삼농산"/>
    <x v="29"/>
    <s v="서비스"/>
    <s v="음식/조리"/>
    <s v="기타 프렌차이즈점"/>
    <s v="Assistive Touch"/>
    <s v="모바일(대)도구/유틸리티(중)"/>
    <s v="m.app"/>
    <s v="애드몹"/>
    <s v="25"/>
    <s v="02"/>
    <s v="25.02.16"/>
    <s v="25.02.16"/>
    <n v="128"/>
  </r>
  <r>
    <s v="애드몹"/>
    <s v="리서치애드"/>
    <s v="한국일오삼농산"/>
    <x v="29"/>
    <s v="서비스"/>
    <s v="음식/조리"/>
    <s v="기타 프렌차이즈점"/>
    <s v="울지마 내 아가"/>
    <s v="생활정보(대)여성/육아(중)"/>
    <s v="m.app"/>
    <s v="애드몹"/>
    <s v="25"/>
    <s v="02"/>
    <s v="25.02.13"/>
    <s v="25.02.13"/>
    <n v="128"/>
  </r>
  <r>
    <s v="애드몹"/>
    <s v="리서치애드"/>
    <s v="한국일오삼농산"/>
    <x v="29"/>
    <s v="서비스"/>
    <s v="음식/조리"/>
    <s v="기타 프렌차이즈점"/>
    <s v="편의점 퀴즈"/>
    <s v="엔터테인먼트(대)게임(중)"/>
    <s v="m.app"/>
    <s v="애드몹"/>
    <s v="25"/>
    <s v="05"/>
    <s v="25.05.16"/>
    <s v="25.05.16"/>
    <n v="147"/>
  </r>
  <r>
    <s v="애드몹"/>
    <s v="리서치애드"/>
    <s v="한국일오삼농산"/>
    <x v="29"/>
    <s v="서비스"/>
    <s v="음식/조리"/>
    <s v="기타 프렌차이즈점"/>
    <s v="편의점 퀴즈"/>
    <s v="엔터테인먼트(대)게임(중)"/>
    <s v="m.app"/>
    <s v="애드몹"/>
    <s v="25"/>
    <s v="05"/>
    <s v="25.05.29"/>
    <s v="25.05.29"/>
    <n v="147"/>
  </r>
  <r>
    <s v="SNS"/>
    <s v="리서치애드"/>
    <s v="장스푸드"/>
    <x v="37"/>
    <s v="서비스"/>
    <s v="음식/조리"/>
    <s v="기타 프렌차이즈점"/>
    <s v="Instagram"/>
    <s v="커뮤니티(대)홈페이지(중)"/>
    <s v="m.app"/>
    <s v="-"/>
    <s v="25"/>
    <s v="02"/>
    <s v="25.02.03"/>
    <s v="25.02.03"/>
    <n v="819"/>
  </r>
  <r>
    <s v="SNS"/>
    <s v="리서치애드"/>
    <s v="장스푸드"/>
    <x v="37"/>
    <s v="서비스"/>
    <s v="음식/조리"/>
    <s v="기타 프렌차이즈점"/>
    <s v="Instagram"/>
    <s v="커뮤니티(대)홈페이지(중)"/>
    <s v="m.app"/>
    <s v="-"/>
    <s v="25"/>
    <s v="02"/>
    <s v="25.02.05"/>
    <s v="25.02.06"/>
    <n v="1637"/>
  </r>
  <r>
    <s v="SNS"/>
    <s v="리서치애드"/>
    <s v="장스푸드"/>
    <x v="37"/>
    <s v="서비스"/>
    <s v="음식/조리"/>
    <s v="기타 프렌차이즈점"/>
    <s v="Instagram"/>
    <s v="커뮤니티(대)홈페이지(중)"/>
    <s v="m.app"/>
    <s v="-"/>
    <s v="25"/>
    <s v="02"/>
    <s v="25.02.14"/>
    <s v="25.02.16"/>
    <n v="2456"/>
  </r>
  <r>
    <s v="SNS"/>
    <s v="리서치애드"/>
    <s v="장스푸드"/>
    <x v="37"/>
    <s v="서비스"/>
    <s v="음식/조리"/>
    <s v="기타 프렌차이즈점"/>
    <s v="Instagram"/>
    <s v="커뮤니티(대)홈페이지(중)"/>
    <s v="m.app"/>
    <s v="-"/>
    <s v="25"/>
    <s v="02"/>
    <s v="25.02.17"/>
    <s v="25.02.18"/>
    <n v="1637"/>
  </r>
  <r>
    <s v="애드몹"/>
    <s v="리서치애드"/>
    <s v="티앤비코리아"/>
    <x v="30"/>
    <s v="서비스"/>
    <s v="음식/조리"/>
    <s v="기타 프렌차이즈점"/>
    <s v="inews24.com"/>
    <s v="신문/잡지(대)IT관련 뉴스(중)"/>
    <s v="m.web"/>
    <s v="애드몹"/>
    <s v="25"/>
    <s v="02"/>
    <s v="25.02.20"/>
    <s v="25.02.22"/>
    <n v="659"/>
  </r>
  <r>
    <s v="애드몹"/>
    <s v="리서치애드"/>
    <s v="티앤비코리아"/>
    <x v="30"/>
    <s v="서비스"/>
    <s v="음식/조리"/>
    <s v="기타 프렌차이즈점"/>
    <s v="zum.com"/>
    <s v="포털(대)포털(중)"/>
    <s v="m.web"/>
    <s v="애드몹"/>
    <s v="25"/>
    <s v="02"/>
    <s v="25.02.15"/>
    <s v="25.02.15"/>
    <n v="436"/>
  </r>
  <r>
    <s v="애드몹"/>
    <s v="리서치애드"/>
    <s v="티앤비코리아"/>
    <x v="30"/>
    <s v="서비스"/>
    <s v="음식/조리"/>
    <s v="기타 프렌차이즈점"/>
    <s v="zum.com"/>
    <s v="포털(대)포털(중)"/>
    <s v="m.web"/>
    <s v="애드몹"/>
    <s v="25"/>
    <s v="02"/>
    <s v="25.02.19"/>
    <s v="25.02.19"/>
    <n v="436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6"/>
    <s v="25.06.03"/>
    <s v="25.06.05"/>
    <n v="9196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6"/>
    <s v="25.06.09"/>
    <s v="25.06.15"/>
    <n v="21458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6"/>
    <s v="25.06.16"/>
    <s v="25.06.22"/>
    <n v="21458"/>
  </r>
  <r>
    <s v="포털"/>
    <s v="리서치애드"/>
    <s v="아이더스에프앤비"/>
    <x v="31"/>
    <s v="서비스"/>
    <s v="음식/조리"/>
    <s v="기타 프렌차이즈점"/>
    <s v="naver.com"/>
    <s v="포털(대)포털(중)"/>
    <s v="m.web"/>
    <s v="-"/>
    <s v="25"/>
    <s v="06"/>
    <s v="25.06.23"/>
    <s v="25.06.28"/>
    <n v="18393"/>
  </r>
  <r>
    <s v="애드몹"/>
    <s v="리서치애드"/>
    <s v="아이더스에프앤비"/>
    <x v="31"/>
    <s v="서비스"/>
    <s v="음식/조리"/>
    <s v="기타 프렌차이즈점"/>
    <s v="벨소리 메이커"/>
    <s v="모바일(대)엔터테인먼트(중)"/>
    <s v="m.app"/>
    <s v="애드몹"/>
    <s v="25"/>
    <s v="01"/>
    <s v="25.01.14"/>
    <s v="25.01.14"/>
    <n v="93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04"/>
    <s v="25.04.17"/>
    <s v="25.04.20"/>
    <n v="27731"/>
  </r>
  <r>
    <s v="카카오광고"/>
    <s v="리서치애드"/>
    <s v="아이더스에프앤비"/>
    <x v="31"/>
    <s v="서비스"/>
    <s v="음식/조리"/>
    <s v="기타 프렌차이즈점"/>
    <s v="카카오톡"/>
    <s v="커뮤니케이션(대)채팅/메신저(중)"/>
    <s v="m.app"/>
    <s v="카카오광고"/>
    <s v="25"/>
    <s v="04"/>
    <s v="25.04.21"/>
    <s v="25.04.21"/>
    <n v="6933"/>
  </r>
  <r>
    <s v="애드몹"/>
    <s v="리서치애드"/>
    <s v="아이더스에프앤비"/>
    <x v="31"/>
    <s v="서비스"/>
    <s v="음식/조리"/>
    <s v="기타 프렌차이즈점"/>
    <s v="haeorum.com"/>
    <s v="생활정보(대)여성/육아(중)"/>
    <s v="m.web"/>
    <s v="애드몹"/>
    <s v="25"/>
    <s v="05"/>
    <s v="25.05.27"/>
    <s v="25.05.27"/>
    <n v="160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2"/>
    <s v="25.02.20"/>
    <s v="25.02.20"/>
    <n v="819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3"/>
    <s v="25.03.25"/>
    <s v="25.03.25"/>
    <n v="819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4"/>
    <s v="25.04.21"/>
    <s v="25.04.27"/>
    <n v="2823"/>
  </r>
  <r>
    <s v="SNS"/>
    <s v="리서치애드"/>
    <s v="아이더스에프앤비"/>
    <x v="31"/>
    <s v="서비스"/>
    <s v="음식/조리"/>
    <s v="기타 프렌차이즈점"/>
    <s v="Instagram"/>
    <s v="커뮤니티(대)홈페이지(중)"/>
    <s v="m.app"/>
    <s v="-"/>
    <s v="25"/>
    <s v="04"/>
    <s v="25.04.28"/>
    <s v="25.04.29"/>
    <n v="807"/>
  </r>
  <r>
    <s v="애드몹"/>
    <s v="리서치애드"/>
    <s v="아이더스에프앤비"/>
    <x v="31"/>
    <s v="서비스"/>
    <s v="음식/조리"/>
    <s v="기타 프렌차이즈점"/>
    <s v="Epic Race 3D"/>
    <s v="엔터테인먼트(대)게임(중)"/>
    <s v="m.app"/>
    <s v="애드몹"/>
    <s v="25"/>
    <s v="02"/>
    <s v="25.02.17"/>
    <s v="25.02.17"/>
    <n v="128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01"/>
    <s v="25.01.01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02"/>
    <s v="25.01.03"/>
    <n v="4810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04"/>
    <s v="25.01.05"/>
    <n v="4810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06"/>
    <s v="25.01.06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07"/>
    <s v="25.01.08"/>
    <n v="4810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09"/>
    <s v="25.01.12"/>
    <n v="9621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10"/>
    <s v="25.01.11"/>
    <n v="4810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13"/>
    <s v="25.01.19"/>
    <n v="16836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14"/>
    <s v="25.01.16"/>
    <n v="721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17"/>
    <s v="25.01.17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18"/>
    <s v="25.01.18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20"/>
    <s v="25.01.25"/>
    <n v="14431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21"/>
    <s v="25.01.21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22"/>
    <s v="25.01.24"/>
    <n v="721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23"/>
    <s v="25.01.26"/>
    <n v="9621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27"/>
    <s v="25.01.27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28"/>
    <s v="25.01.30"/>
    <n v="721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1"/>
    <s v="25.01.31"/>
    <s v="25.01.31"/>
    <n v="2405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01"/>
    <s v="25.02.01"/>
    <n v="2547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02"/>
    <s v="25.02.02"/>
    <n v="2547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03"/>
    <s v="25.02.03"/>
    <n v="2547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04"/>
    <s v="25.02.04"/>
    <n v="2547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05"/>
    <s v="25.02.09"/>
    <n v="12733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06"/>
    <s v="25.02.06"/>
    <n v="2547"/>
  </r>
  <r>
    <s v="포털"/>
    <s v="리서치애드"/>
    <s v="아이더스에프앤비"/>
    <x v="32"/>
    <s v="서비스"/>
    <s v="음식/조리"/>
    <s v="기타 프렌차이즈점"/>
    <s v="naver.com"/>
    <s v="포털(대)포털(중)"/>
    <s v="m.web"/>
    <s v="-"/>
    <s v="25"/>
    <s v="02"/>
    <s v="25.02.10"/>
    <s v="25.02.10"/>
    <n v="2547"/>
  </r>
  <r>
    <s v="애드몹"/>
    <s v="리서치애드"/>
    <s v="아이더스에프앤비"/>
    <x v="32"/>
    <s v="서비스"/>
    <s v="음식/조리"/>
    <s v="기타 프렌차이즈점"/>
    <s v="hankooki.com"/>
    <s v="신문/잡지(대)종합일간지(중)"/>
    <s v="m.web"/>
    <s v="애드몹"/>
    <s v="25"/>
    <s v="05"/>
    <s v="25.05.12"/>
    <s v="25.05.12"/>
    <n v="252"/>
  </r>
  <r>
    <s v="애드몹"/>
    <s v="리서치애드"/>
    <s v="아이더스에프앤비"/>
    <x v="32"/>
    <s v="서비스"/>
    <s v="음식/조리"/>
    <s v="기타 프렌차이즈점"/>
    <s v="edaily.co.kr"/>
    <s v="신문/잡지(대)신문/잡지 기타(중)"/>
    <s v="m.web"/>
    <s v="애드몹"/>
    <s v="25"/>
    <s v="03"/>
    <s v="25.03.21"/>
    <s v="25.03.21"/>
    <n v="456"/>
  </r>
  <r>
    <s v="애드몹"/>
    <s v="리서치애드"/>
    <s v="아이더스에프앤비"/>
    <x v="32"/>
    <s v="서비스"/>
    <s v="음식/조리"/>
    <s v="기타 프렌차이즈점"/>
    <s v="감옥탈출"/>
    <s v="엔터테인먼트(대)게임(중)"/>
    <s v="m.app"/>
    <s v="애드몹"/>
    <s v="25"/>
    <s v="01"/>
    <s v="25.01.01"/>
    <s v="25.01.01"/>
    <n v="93"/>
  </r>
  <r>
    <s v="애드몹"/>
    <s v="리서치애드"/>
    <s v="아이더스에프앤비"/>
    <x v="32"/>
    <s v="서비스"/>
    <s v="음식/조리"/>
    <s v="기타 프렌차이즈점"/>
    <s v="무한의 계단"/>
    <s v="엔터테인먼트(대)게임(중)"/>
    <s v="m.app"/>
    <s v="애드몹"/>
    <s v="25"/>
    <s v="01"/>
    <s v="25.01.04"/>
    <s v="25.01.04"/>
    <n v="93"/>
  </r>
  <r>
    <s v="애드몹"/>
    <s v="리서치애드"/>
    <s v="아이더스에프앤비"/>
    <x v="32"/>
    <s v="서비스"/>
    <s v="음식/조리"/>
    <s v="기타 프렌차이즈점"/>
    <s v="무한의 계단"/>
    <s v="엔터테인먼트(대)게임(중)"/>
    <s v="m.app"/>
    <s v="애드몹"/>
    <s v="25"/>
    <s v="02"/>
    <s v="25.02.09"/>
    <s v="25.02.09"/>
    <n v="128"/>
  </r>
  <r>
    <s v="애드몹"/>
    <s v="리서치애드"/>
    <s v="아이더스에프앤비"/>
    <x v="32"/>
    <s v="서비스"/>
    <s v="음식/조리"/>
    <s v="기타 프렌차이즈점"/>
    <s v="무한의 계단"/>
    <s v="엔터테인먼트(대)게임(중)"/>
    <s v="m.app"/>
    <s v="애드몹"/>
    <s v="25"/>
    <s v="02"/>
    <s v="25.02.10"/>
    <s v="25.02.10"/>
    <n v="128"/>
  </r>
  <r>
    <s v="애드몹"/>
    <s v="리서치애드"/>
    <s v="아이더스에프앤비"/>
    <x v="32"/>
    <s v="서비스"/>
    <s v="음식/조리"/>
    <s v="기타 프렌차이즈점"/>
    <s v="무한의 계단"/>
    <s v="엔터테인먼트(대)게임(중)"/>
    <s v="m.app"/>
    <s v="애드몹"/>
    <s v="25"/>
    <s v="02"/>
    <s v="25.02.10"/>
    <s v="25.02.13"/>
    <n v="513"/>
  </r>
  <r>
    <s v="애드몹"/>
    <s v="리서치애드"/>
    <s v="아이더스에프앤비"/>
    <x v="32"/>
    <s v="서비스"/>
    <s v="음식/조리"/>
    <s v="기타 프렌차이즈점"/>
    <s v="미로찾기의 왕"/>
    <s v="엔터테인먼트(대)게임(중)"/>
    <s v="m.app"/>
    <s v="애드몹"/>
    <s v="25"/>
    <s v="01"/>
    <s v="25.01.09"/>
    <s v="25.01.09"/>
    <n v="93"/>
  </r>
  <r>
    <s v="애드몹"/>
    <s v="리서치애드"/>
    <s v="아이더스에프앤비"/>
    <x v="32"/>
    <s v="서비스"/>
    <s v="음식/조리"/>
    <s v="기타 프렌차이즈점"/>
    <s v="미로찾기의 왕"/>
    <s v="엔터테인먼트(대)게임(중)"/>
    <s v="m.app"/>
    <s v="애드몹"/>
    <s v="25"/>
    <s v="02"/>
    <s v="25.02.06"/>
    <s v="25.02.06"/>
    <n v="128"/>
  </r>
  <r>
    <s v="애드몹"/>
    <s v="리서치애드"/>
    <s v="아이더스에프앤비"/>
    <x v="32"/>
    <s v="서비스"/>
    <s v="음식/조리"/>
    <s v="기타 프렌차이즈점"/>
    <s v="미친 미행"/>
    <s v="엔터테인먼트(대)게임(중)"/>
    <s v="m.app"/>
    <s v="애드몹"/>
    <s v="25"/>
    <s v="02"/>
    <s v="25.02.05"/>
    <s v="25.02.05"/>
    <n v="128"/>
  </r>
  <r>
    <s v="애드몹"/>
    <s v="리서치애드"/>
    <s v="아이더스에프앤비"/>
    <x v="32"/>
    <s v="서비스"/>
    <s v="음식/조리"/>
    <s v="기타 프렌차이즈점"/>
    <s v="블럭 퍼즐의 왕"/>
    <s v="엔터테인먼트(대)게임(중)"/>
    <s v="m.app"/>
    <s v="애드몹"/>
    <s v="25"/>
    <s v="02"/>
    <s v="25.02.05"/>
    <s v="25.02.05"/>
    <n v="128"/>
  </r>
  <r>
    <s v="애드몹"/>
    <s v="리서치애드"/>
    <s v="아이더스에프앤비"/>
    <x v="32"/>
    <s v="서비스"/>
    <s v="음식/조리"/>
    <s v="기타 프렌차이즈점"/>
    <s v="성형견적 테스트"/>
    <s v="엔터테인먼트(대)엔터테인먼트 기타(중)"/>
    <s v="m.app"/>
    <s v="애드몹"/>
    <s v="25"/>
    <s v="01"/>
    <s v="25.01.28"/>
    <s v="25.01.28"/>
    <n v="186"/>
  </r>
  <r>
    <s v="애드몹"/>
    <s v="리서치애드"/>
    <s v="아이더스에프앤비"/>
    <x v="32"/>
    <s v="서비스"/>
    <s v="음식/조리"/>
    <s v="기타 프렌차이즈점"/>
    <s v="알까기 매니아"/>
    <s v="엔터테인먼트(대)게임(중)"/>
    <s v="m.app"/>
    <s v="애드몹"/>
    <s v="25"/>
    <s v="01"/>
    <s v="25.01.12"/>
    <s v="25.01.12"/>
    <n v="186"/>
  </r>
  <r>
    <s v="애드몹"/>
    <s v="리서치애드"/>
    <s v="아이더스에프앤비"/>
    <x v="32"/>
    <s v="서비스"/>
    <s v="음식/조리"/>
    <s v="기타 프렌차이즈점"/>
    <s v="좀비고"/>
    <s v="엔터테인먼트(대)게임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미세미세"/>
    <s v="생활정보(대)교통/날씨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주차의 달인 4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날씨나라"/>
    <s v="생활정보(대)교통/날씨(중)"/>
    <s v="m.app"/>
    <s v="애드몹"/>
    <s v="25"/>
    <s v="01"/>
    <s v="25.01.06"/>
    <s v="25.01.06"/>
    <n v="93"/>
  </r>
  <r>
    <s v="애드몹"/>
    <s v="리서치애드"/>
    <s v="아이더스에프앤비"/>
    <x v="32"/>
    <s v="서비스"/>
    <s v="음식/조리"/>
    <s v="기타 프렌차이즈점"/>
    <s v="테마키보드"/>
    <s v="모바일(대)엔터테인먼트(중)"/>
    <s v="m.app"/>
    <s v="애드몹"/>
    <s v="25"/>
    <s v="01"/>
    <s v="25.01.14"/>
    <s v="25.01.14"/>
    <n v="93"/>
  </r>
  <r>
    <s v="애드몹"/>
    <s v="리서치애드"/>
    <s v="아이더스에프앤비"/>
    <x v="32"/>
    <s v="서비스"/>
    <s v="음식/조리"/>
    <s v="기타 프렌차이즈점"/>
    <s v="테마키보드"/>
    <s v="모바일(대)엔터테인먼트(중)"/>
    <s v="m.app"/>
    <s v="애드몹"/>
    <s v="25"/>
    <s v="02"/>
    <s v="25.02.09"/>
    <s v="25.02.09"/>
    <n v="128"/>
  </r>
  <r>
    <s v="애드몹"/>
    <s v="리서치애드"/>
    <s v="아이더스에프앤비"/>
    <x v="32"/>
    <s v="서비스"/>
    <s v="음식/조리"/>
    <s v="기타 프렌차이즈점"/>
    <s v="gamemeca.com"/>
    <s v="신문/잡지(대)온라인뉴스(중)"/>
    <s v="m.web"/>
    <s v="애드몹"/>
    <s v="25"/>
    <s v="02"/>
    <s v="25.02.19"/>
    <s v="25.02.19"/>
    <n v="384"/>
  </r>
  <r>
    <s v="애드몹"/>
    <s v="리서치애드"/>
    <s v="아이더스에프앤비"/>
    <x v="32"/>
    <s v="서비스"/>
    <s v="음식/조리"/>
    <s v="기타 프렌차이즈점"/>
    <s v="KBO STATS"/>
    <s v="엔터테인먼트(대)스포츠/레포츠(중)"/>
    <s v="m.app"/>
    <s v="애드몹"/>
    <s v="25"/>
    <s v="01"/>
    <s v="25.01.02"/>
    <s v="25.01.05"/>
    <n v="371"/>
  </r>
  <r>
    <s v="애드몹"/>
    <s v="리서치애드"/>
    <s v="아이더스에프앤비"/>
    <x v="32"/>
    <s v="서비스"/>
    <s v="음식/조리"/>
    <s v="기타 프렌차이즈점"/>
    <s v="Real Piano"/>
    <s v="엔터테인먼트(대)엔터테인먼트 기타(중)"/>
    <s v="m.app"/>
    <s v="애드몹"/>
    <s v="25"/>
    <s v="01"/>
    <s v="25.01.01"/>
    <s v="25.01.01"/>
    <n v="93"/>
  </r>
  <r>
    <s v="애드몹"/>
    <s v="리서치애드"/>
    <s v="아이더스에프앤비"/>
    <x v="32"/>
    <s v="서비스"/>
    <s v="음식/조리"/>
    <s v="기타 프렌차이즈점"/>
    <s v="Not Alone"/>
    <s v="엔터테인먼트(대)게임(중)"/>
    <s v="m.app"/>
    <s v="애드몹"/>
    <s v="25"/>
    <s v="02"/>
    <s v="25.02.13"/>
    <s v="25.02.13"/>
    <n v="128"/>
  </r>
  <r>
    <s v="애드몹"/>
    <s v="리서치애드"/>
    <s v="아이더스에프앤비"/>
    <x v="32"/>
    <s v="서비스"/>
    <s v="음식/조리"/>
    <s v="기타 프렌차이즈점"/>
    <s v="장풍 키우기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아재능력고사"/>
    <s v="엔터테인먼트(대)엔터테인먼트 기타(중)"/>
    <s v="m.app"/>
    <s v="애드몹"/>
    <s v="25"/>
    <s v="01"/>
    <s v="25.01.01"/>
    <s v="25.01.01"/>
    <n v="93"/>
  </r>
  <r>
    <s v="애드몹"/>
    <s v="리서치애드"/>
    <s v="아이더스에프앤비"/>
    <x v="32"/>
    <s v="서비스"/>
    <s v="음식/조리"/>
    <s v="기타 프렌차이즈점"/>
    <s v="오즈의타로"/>
    <s v="엔터테인먼트(대)엔터테인먼트 기타(중)"/>
    <s v="m.app"/>
    <s v="애드몹"/>
    <s v="25"/>
    <s v="02"/>
    <s v="25.02.14"/>
    <s v="25.02.14"/>
    <n v="128"/>
  </r>
  <r>
    <s v="애드몹"/>
    <s v="리서치애드"/>
    <s v="아이더스에프앤비"/>
    <x v="32"/>
    <s v="서비스"/>
    <s v="음식/조리"/>
    <s v="기타 프렌차이즈점"/>
    <s v="백점"/>
    <s v="엔터테인먼트(대)엔터테인먼트 기타(중)"/>
    <s v="m.app"/>
    <s v="애드몹"/>
    <s v="25"/>
    <s v="01"/>
    <s v="25.01.10"/>
    <s v="25.01.10"/>
    <n v="93"/>
  </r>
  <r>
    <s v="애드몹"/>
    <s v="리서치애드"/>
    <s v="아이더스에프앤비"/>
    <x v="32"/>
    <s v="서비스"/>
    <s v="음식/조리"/>
    <s v="기타 프렌차이즈점"/>
    <s v="TIViewer"/>
    <s v="모바일(대)도구/유틸리티(중)"/>
    <s v="m.app"/>
    <s v="애드몹"/>
    <s v="25"/>
    <s v="02"/>
    <s v="25.02.20"/>
    <s v="25.02.20"/>
    <n v="256"/>
  </r>
  <r>
    <s v="애드몹"/>
    <s v="리서치애드"/>
    <s v="아이더스에프앤비"/>
    <x v="32"/>
    <s v="서비스"/>
    <s v="음식/조리"/>
    <s v="기타 프렌차이즈점"/>
    <s v="대구버스"/>
    <s v="생활정보(대)교통/날씨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게임을 숨겼다2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전광판 LED"/>
    <s v="모바일(대)도구/유틸리티(중)"/>
    <s v="m.app"/>
    <s v="애드몹"/>
    <s v="25"/>
    <s v="02"/>
    <s v="25.02.13"/>
    <s v="25.02.13"/>
    <n v="128"/>
  </r>
  <r>
    <s v="애드몹"/>
    <s v="리서치애드"/>
    <s v="아이더스에프앤비"/>
    <x v="32"/>
    <s v="서비스"/>
    <s v="음식/조리"/>
    <s v="기타 프렌차이즈점"/>
    <s v="비내리는 단칸방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표창키우기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표창키우기"/>
    <s v="엔터테인먼트(대)게임(중)"/>
    <s v="m.app"/>
    <s v="애드몹"/>
    <s v="25"/>
    <s v="02"/>
    <s v="25.02.05"/>
    <s v="25.02.05"/>
    <n v="128"/>
  </r>
  <r>
    <s v="애드몹"/>
    <s v="리서치애드"/>
    <s v="아이더스에프앤비"/>
    <x v="32"/>
    <s v="서비스"/>
    <s v="음식/조리"/>
    <s v="기타 프렌차이즈점"/>
    <s v="백자 하루"/>
    <s v="모바일(대)도구/유틸리티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Determination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Draw Cartoon"/>
    <s v="엔터테인먼트(대)엔터테인먼트 기타(중)"/>
    <s v="m.app"/>
    <s v="애드몹"/>
    <s v="25"/>
    <s v="01"/>
    <s v="25.01.08"/>
    <s v="25.01.08"/>
    <n v="93"/>
  </r>
  <r>
    <s v="애드몹"/>
    <s v="리서치애드"/>
    <s v="아이더스에프앤비"/>
    <x v="32"/>
    <s v="서비스"/>
    <s v="음식/조리"/>
    <s v="기타 프렌차이즈점"/>
    <s v="스테고사우루스 - 합체! 다이노로봇"/>
    <s v="엔터테인먼트(대)게임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스테고사우루스 - 합체! 다이노로봇"/>
    <s v="엔터테인먼트(대)게임(중)"/>
    <s v="m.app"/>
    <s v="애드몹"/>
    <s v="25"/>
    <s v="01"/>
    <s v="25.01.08"/>
    <s v="25.01.08"/>
    <n v="93"/>
  </r>
  <r>
    <s v="애드몹"/>
    <s v="리서치애드"/>
    <s v="아이더스에프앤비"/>
    <x v="32"/>
    <s v="서비스"/>
    <s v="음식/조리"/>
    <s v="기타 프렌차이즈점"/>
    <s v="Ninja Arashi"/>
    <s v="엔터테인먼트(대)게임(중)"/>
    <s v="m.app"/>
    <s v="애드몹"/>
    <s v="25"/>
    <s v="02"/>
    <s v="25.02.03"/>
    <s v="25.02.03"/>
    <n v="128"/>
  </r>
  <r>
    <s v="애드몹"/>
    <s v="리서치애드"/>
    <s v="아이더스에프앤비"/>
    <x v="32"/>
    <s v="서비스"/>
    <s v="음식/조리"/>
    <s v="기타 프렌차이즈점"/>
    <s v="미미네 미니어쳐 (MIMINE)"/>
    <s v="방송(대)방송기타(중)"/>
    <s v="m.app"/>
    <s v="애드몹"/>
    <s v="25"/>
    <s v="01"/>
    <s v="25.01.10"/>
    <s v="25.01.10"/>
    <n v="93"/>
  </r>
  <r>
    <s v="애드몹"/>
    <s v="리서치애드"/>
    <s v="아이더스에프앤비"/>
    <x v="32"/>
    <s v="서비스"/>
    <s v="음식/조리"/>
    <s v="기타 프렌차이즈점"/>
    <s v="Picross Cat Slave"/>
    <s v="엔터테인먼트(대)게임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월드 볼링 챔피언십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먹방 퀴즈"/>
    <s v="엔터테인먼트(대)게임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한자 필기인식 사전"/>
    <s v="모바일(대)모바일기타(중)"/>
    <s v="m.app"/>
    <s v="애드몹"/>
    <s v="25"/>
    <s v="02"/>
    <s v="25.02.05"/>
    <s v="25.02.05"/>
    <n v="128"/>
  </r>
  <r>
    <s v="애드몹"/>
    <s v="리서치애드"/>
    <s v="아이더스에프앤비"/>
    <x v="32"/>
    <s v="서비스"/>
    <s v="음식/조리"/>
    <s v="기타 프렌차이즈점"/>
    <s v="샌드박스컬러"/>
    <s v="엔터테인먼트(대)엔터테인먼트 기타(중)"/>
    <s v="m.app"/>
    <s v="애드몹"/>
    <s v="25"/>
    <s v="02"/>
    <s v="25.02.03"/>
    <s v="25.02.03"/>
    <n v="128"/>
  </r>
  <r>
    <s v="애드몹"/>
    <s v="리서치애드"/>
    <s v="아이더스에프앤비"/>
    <x v="32"/>
    <s v="서비스"/>
    <s v="음식/조리"/>
    <s v="기타 프렌차이즈점"/>
    <s v="I''m AI"/>
    <s v="엔터테인먼트(대)게임(중)"/>
    <s v="m.app"/>
    <s v="애드몹"/>
    <s v="25"/>
    <s v="01"/>
    <s v="25.01.09"/>
    <s v="25.01.09"/>
    <n v="93"/>
  </r>
  <r>
    <s v="애드몹"/>
    <s v="리서치애드"/>
    <s v="아이더스에프앤비"/>
    <x v="32"/>
    <s v="서비스"/>
    <s v="음식/조리"/>
    <s v="기타 프렌차이즈점"/>
    <s v="드릴 키우기"/>
    <s v="엔터테인먼트(대)게임(중)"/>
    <s v="m.app"/>
    <s v="애드몹"/>
    <s v="25"/>
    <s v="02"/>
    <s v="25.02.17"/>
    <s v="25.02.17"/>
    <n v="128"/>
  </r>
  <r>
    <s v="애드몹"/>
    <s v="리서치애드"/>
    <s v="아이더스에프앤비"/>
    <x v="32"/>
    <s v="서비스"/>
    <s v="음식/조리"/>
    <s v="기타 프렌차이즈점"/>
    <s v="Dunk Shot"/>
    <s v="엔터테인먼트(대)게임(중)"/>
    <s v="m.app"/>
    <s v="애드몹"/>
    <s v="25"/>
    <s v="01"/>
    <s v="25.01.01"/>
    <s v="25.01.01"/>
    <n v="93"/>
  </r>
  <r>
    <s v="애드몹"/>
    <s v="리서치애드"/>
    <s v="아이더스에프앤비"/>
    <x v="32"/>
    <s v="서비스"/>
    <s v="음식/조리"/>
    <s v="기타 프렌차이즈점"/>
    <s v="Fit"/>
    <s v="엔터테인먼트(대)게임(중)"/>
    <s v="m.app"/>
    <s v="애드몹"/>
    <s v="25"/>
    <s v="02"/>
    <s v="25.02.05"/>
    <s v="25.02.05"/>
    <n v="128"/>
  </r>
  <r>
    <s v="애드몹"/>
    <s v="리서치애드"/>
    <s v="아이더스에프앤비"/>
    <x v="32"/>
    <s v="서비스"/>
    <s v="음식/조리"/>
    <s v="기타 프렌차이즈점"/>
    <s v="Granny"/>
    <s v="엔터테인먼트(대)게임(중)"/>
    <s v="m.app"/>
    <s v="애드몹"/>
    <s v="25"/>
    <s v="02"/>
    <s v="25.02.19"/>
    <s v="25.02.19"/>
    <n v="128"/>
  </r>
  <r>
    <s v="애드몹"/>
    <s v="리서치애드"/>
    <s v="아이더스에프앤비"/>
    <x v="32"/>
    <s v="서비스"/>
    <s v="음식/조리"/>
    <s v="기타 프렌차이즈점"/>
    <s v="새총의 왕"/>
    <s v="엔터테인먼트(대)게임(중)"/>
    <s v="m.app"/>
    <s v="애드몹"/>
    <s v="25"/>
    <s v="01"/>
    <s v="25.01.06"/>
    <s v="25.01.06"/>
    <n v="186"/>
  </r>
  <r>
    <s v="애드몹"/>
    <s v="리서치애드"/>
    <s v="아이더스에프앤비"/>
    <x v="32"/>
    <s v="서비스"/>
    <s v="음식/조리"/>
    <s v="기타 프렌차이즈점"/>
    <s v="새총의 왕"/>
    <s v="엔터테인먼트(대)게임(중)"/>
    <s v="m.app"/>
    <s v="애드몹"/>
    <s v="25"/>
    <s v="02"/>
    <s v="25.02.09"/>
    <s v="25.02.09"/>
    <n v="128"/>
  </r>
  <r>
    <s v="애드몹"/>
    <s v="리서치애드"/>
    <s v="아이더스에프앤비"/>
    <x v="32"/>
    <s v="서비스"/>
    <s v="음식/조리"/>
    <s v="기타 프렌차이즈점"/>
    <s v="새총의 왕"/>
    <s v="엔터테인먼트(대)게임(중)"/>
    <s v="m.app"/>
    <s v="애드몹"/>
    <s v="25"/>
    <s v="02"/>
    <s v="25.02.13"/>
    <s v="25.02.13"/>
    <n v="128"/>
  </r>
  <r>
    <s v="애드몹"/>
    <s v="리서치애드"/>
    <s v="아이더스에프앤비"/>
    <x v="32"/>
    <s v="서비스"/>
    <s v="음식/조리"/>
    <s v="기타 프렌차이즈점"/>
    <s v="1LINE"/>
    <s v="엔터테인먼트(대)게임(중)"/>
    <s v="m.app"/>
    <s v="애드몹"/>
    <s v="25"/>
    <s v="01"/>
    <s v="25.01.14"/>
    <s v="25.01.14"/>
    <n v="93"/>
  </r>
  <r>
    <s v="애드몹"/>
    <s v="리서치애드"/>
    <s v="아이더스에프앤비"/>
    <x v="32"/>
    <s v="서비스"/>
    <s v="음식/조리"/>
    <s v="기타 프렌차이즈점"/>
    <s v="1LINE"/>
    <s v="엔터테인먼트(대)게임(중)"/>
    <s v="m.app"/>
    <s v="애드몹"/>
    <s v="25"/>
    <s v="02"/>
    <s v="25.02.09"/>
    <s v="25.02.09"/>
    <n v="128"/>
  </r>
  <r>
    <s v="애드몹"/>
    <s v="리서치애드"/>
    <s v="아이더스에프앤비"/>
    <x v="32"/>
    <s v="서비스"/>
    <s v="음식/조리"/>
    <s v="기타 프렌차이즈점"/>
    <s v="푸딩이 없어졌다"/>
    <s v="엔터테인먼트(대)게임(중)"/>
    <s v="m.app"/>
    <s v="애드몹"/>
    <s v="25"/>
    <s v="01"/>
    <s v="25.01.02"/>
    <s v="25.01.02"/>
    <n v="186"/>
  </r>
  <r>
    <s v="애드몹"/>
    <s v="리서치애드"/>
    <s v="아이더스에프앤비"/>
    <x v="32"/>
    <s v="서비스"/>
    <s v="음식/조리"/>
    <s v="기타 프렌차이즈점"/>
    <s v="소음측정기"/>
    <s v="모바일(대)도구/유틸리티(중)"/>
    <s v="m.app"/>
    <s v="애드몹"/>
    <s v="25"/>
    <s v="01"/>
    <s v="25.01.13"/>
    <s v="25.01.13"/>
    <n v="93"/>
  </r>
  <r>
    <s v="애드몹"/>
    <s v="리서치애드"/>
    <s v="아이더스에프앤비"/>
    <x v="32"/>
    <s v="서비스"/>
    <s v="음식/조리"/>
    <s v="기타 프렌차이즈점"/>
    <s v="소음측정기"/>
    <s v="모바일(대)도구/유틸리티(중)"/>
    <s v="m.app"/>
    <s v="애드몹"/>
    <s v="25"/>
    <s v="02"/>
    <s v="25.02.19"/>
    <s v="25.02.19"/>
    <n v="256"/>
  </r>
  <r>
    <s v="애드몹"/>
    <s v="리서치애드"/>
    <s v="아이더스에프앤비"/>
    <x v="32"/>
    <s v="서비스"/>
    <s v="음식/조리"/>
    <s v="기타 프렌차이즈점"/>
    <s v="곰오디오"/>
    <s v="방송(대)인터넷방송(중)"/>
    <s v="m.app"/>
    <s v="애드몹"/>
    <s v="25"/>
    <s v="01"/>
    <s v="25.01.08"/>
    <s v="25.01.08"/>
    <n v="186"/>
  </r>
  <r>
    <s v="애드몹"/>
    <s v="리서치애드"/>
    <s v="아이더스에프앤비"/>
    <x v="32"/>
    <s v="서비스"/>
    <s v="음식/조리"/>
    <s v="기타 프렌차이즈점"/>
    <s v="회사 탈출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지구멸망 60초전!"/>
    <s v="엔터테인먼트(대)게임(중)"/>
    <s v="m.app"/>
    <s v="애드몹"/>
    <s v="25"/>
    <s v="01"/>
    <s v="25.01.02"/>
    <s v="25.01.02"/>
    <n v="186"/>
  </r>
  <r>
    <s v="애드몹"/>
    <s v="리서치애드"/>
    <s v="아이더스에프앤비"/>
    <x v="32"/>
    <s v="서비스"/>
    <s v="음식/조리"/>
    <s v="기타 프렌차이즈점"/>
    <s v="초성퀴즈"/>
    <s v="엔터테인먼트(대)게임(중)"/>
    <s v="m.app"/>
    <s v="애드몹"/>
    <s v="25"/>
    <s v="01"/>
    <s v="25.01.09"/>
    <s v="25.01.09"/>
    <n v="93"/>
  </r>
  <r>
    <s v="애드몹"/>
    <s v="리서치애드"/>
    <s v="아이더스에프앤비"/>
    <x v="32"/>
    <s v="서비스"/>
    <s v="음식/조리"/>
    <s v="기타 프렌차이즈점"/>
    <s v="부산버스"/>
    <s v="생활정보(대)교통/날씨(중)"/>
    <s v="m.app"/>
    <s v="애드몹"/>
    <s v="25"/>
    <s v="01"/>
    <s v="25.01.05"/>
    <s v="25.01.05"/>
    <n v="93"/>
  </r>
  <r>
    <s v="애드몹"/>
    <s v="리서치애드"/>
    <s v="아이더스에프앤비"/>
    <x v="32"/>
    <s v="서비스"/>
    <s v="음식/조리"/>
    <s v="기타 프렌차이즈점"/>
    <s v="소리 퀴즈"/>
    <s v="엔터테인먼트(대)게임(중)"/>
    <s v="m.app"/>
    <s v="애드몹"/>
    <s v="25"/>
    <s v="01"/>
    <s v="25.01.14"/>
    <s v="25.01.14"/>
    <n v="186"/>
  </r>
  <r>
    <s v="애드몹"/>
    <s v="리서치애드"/>
    <s v="아이더스에프앤비"/>
    <x v="32"/>
    <s v="서비스"/>
    <s v="음식/조리"/>
    <s v="기타 프렌차이즈점"/>
    <s v="막장 학교 퀴즈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우끼요"/>
    <s v="엔터테인먼트(대)엔터테인먼트 기타(중)"/>
    <s v="m.app"/>
    <s v="애드몹"/>
    <s v="25"/>
    <s v="01"/>
    <s v="25.01.02"/>
    <s v="25.01.03"/>
    <n v="186"/>
  </r>
  <r>
    <s v="애드몹"/>
    <s v="리서치애드"/>
    <s v="아이더스에프앤비"/>
    <x v="32"/>
    <s v="서비스"/>
    <s v="음식/조리"/>
    <s v="기타 프렌차이즈점"/>
    <s v="우끼요"/>
    <s v="엔터테인먼트(대)엔터테인먼트 기타(중)"/>
    <s v="m.app"/>
    <s v="애드몹"/>
    <s v="25"/>
    <s v="02"/>
    <s v="25.02.06"/>
    <s v="25.02.08"/>
    <n v="385"/>
  </r>
  <r>
    <s v="애드몹"/>
    <s v="리서치애드"/>
    <s v="아이더스에프앤비"/>
    <x v="32"/>
    <s v="서비스"/>
    <s v="음식/조리"/>
    <s v="기타 프렌차이즈점"/>
    <s v="하루동안 연예인"/>
    <s v="엔터테인먼트(대)게임(중)"/>
    <s v="m.app"/>
    <s v="애드몹"/>
    <s v="25"/>
    <s v="01"/>
    <s v="25.01.02"/>
    <s v="25.01.02"/>
    <n v="93"/>
  </r>
  <r>
    <s v="애드몹"/>
    <s v="리서치애드"/>
    <s v="아이더스에프앤비"/>
    <x v="32"/>
    <s v="서비스"/>
    <s v="음식/조리"/>
    <s v="기타 프렌차이즈점"/>
    <s v="스마트폰을 숨겼다"/>
    <s v="엔터테인먼트(대)게임(중)"/>
    <s v="m.app"/>
    <s v="애드몹"/>
    <s v="25"/>
    <s v="02"/>
    <s v="25.02.14"/>
    <s v="25.02.14"/>
    <n v="256"/>
  </r>
  <r>
    <s v="애드몹"/>
    <s v="리서치애드"/>
    <s v="아이더스에프앤비"/>
    <x v="32"/>
    <s v="서비스"/>
    <s v="음식/조리"/>
    <s v="기타 프렌차이즈점"/>
    <s v="정통장기"/>
    <s v="엔터테인먼트(대)게임(중)"/>
    <s v="m.app"/>
    <s v="애드몹"/>
    <s v="25"/>
    <s v="02"/>
    <s v="25.02.05"/>
    <s v="25.02.05"/>
    <n v="128"/>
  </r>
  <r>
    <s v="애드몹"/>
    <s v="리서치애드"/>
    <s v="아이더스에프앤비"/>
    <x v="32"/>
    <s v="서비스"/>
    <s v="음식/조리"/>
    <s v="기타 프렌차이즈점"/>
    <s v="No.Diamond"/>
    <s v="엔터테인먼트(대)엔터테인먼트 기타(중)"/>
    <s v="m.app"/>
    <s v="애드몹"/>
    <s v="25"/>
    <s v="01"/>
    <s v="25.01.14"/>
    <s v="25.01.14"/>
    <n v="186"/>
  </r>
  <r>
    <s v="애드몹"/>
    <s v="리서치애드"/>
    <s v="아이더스에프앤비"/>
    <x v="32"/>
    <s v="서비스"/>
    <s v="음식/조리"/>
    <s v="기타 프렌차이즈점"/>
    <s v="Epic Race 3D"/>
    <s v="엔터테인먼트(대)게임(중)"/>
    <s v="m.app"/>
    <s v="애드몹"/>
    <s v="25"/>
    <s v="02"/>
    <s v="25.02.06"/>
    <s v="25.02.09"/>
    <n v="513"/>
  </r>
  <r>
    <s v="애드몹"/>
    <s v="리서치애드"/>
    <s v="아이더스에프앤비"/>
    <x v="32"/>
    <s v="서비스"/>
    <s v="음식/조리"/>
    <s v="기타 프렌차이즈점"/>
    <s v="Epic Race 3D"/>
    <s v="엔터테인먼트(대)게임(중)"/>
    <s v="m.app"/>
    <s v="애드몹"/>
    <s v="25"/>
    <s v="02"/>
    <s v="25.02.09"/>
    <s v="25.02.09"/>
    <n v="128"/>
  </r>
  <r>
    <s v="애드몹"/>
    <s v="리서치애드"/>
    <s v="아이더스에프앤비"/>
    <x v="32"/>
    <s v="서비스"/>
    <s v="음식/조리"/>
    <s v="기타 프렌차이즈점"/>
    <s v="Epic Race 3D"/>
    <s v="엔터테인먼트(대)게임(중)"/>
    <s v="m.app"/>
    <s v="애드몹"/>
    <s v="25"/>
    <s v="02"/>
    <s v="25.02.17"/>
    <s v="25.02.17"/>
    <n v="256"/>
  </r>
  <r>
    <s v="애드몹"/>
    <s v="리서치애드"/>
    <s v="아이더스에프앤비"/>
    <x v="32"/>
    <s v="서비스"/>
    <s v="음식/조리"/>
    <s v="기타 프렌차이즈점"/>
    <s v="2 Player Games Free"/>
    <s v="엔터테인먼트(대)게임(중)"/>
    <s v="m.app"/>
    <s v="애드몹"/>
    <s v="25"/>
    <s v="01"/>
    <s v="25.01.01"/>
    <s v="25.01.01"/>
    <n v="93"/>
  </r>
  <r>
    <s v="애드몹"/>
    <s v="리서치애드"/>
    <s v="아이더스에프앤비"/>
    <x v="32"/>
    <s v="서비스"/>
    <s v="음식/조리"/>
    <s v="기타 프렌차이즈점"/>
    <s v="아이돌 짝맞추기"/>
    <s v="엔터테인먼트(대)게임(중)"/>
    <s v="m.app"/>
    <s v="애드몹"/>
    <s v="25"/>
    <s v="02"/>
    <s v="25.02.05"/>
    <s v="25.02.05"/>
    <n v="256"/>
  </r>
  <r>
    <s v="애드몹"/>
    <s v="리서치애드"/>
    <s v="아이더스에프앤비"/>
    <x v="32"/>
    <s v="서비스"/>
    <s v="음식/조리"/>
    <s v="기타 프렌차이즈점"/>
    <s v="Ball Sort Puzzle"/>
    <s v="엔터테인먼트(대)게임(중)"/>
    <s v="m.app"/>
    <s v="애드몹"/>
    <s v="25"/>
    <s v="03"/>
    <s v="25.03.06"/>
    <s v="25.03.06"/>
    <n v="133"/>
  </r>
  <r>
    <s v="애드몹"/>
    <s v="리서치애드"/>
    <s v="아이더스에프앤비"/>
    <x v="32"/>
    <s v="서비스"/>
    <s v="음식/조리"/>
    <s v="기타 프렌차이즈점"/>
    <s v="Super Jabber Jump"/>
    <s v="엔터테인먼트(대)게임(중)"/>
    <s v="m.app"/>
    <s v="애드몹"/>
    <s v="25"/>
    <s v="02"/>
    <s v="25.02.08"/>
    <s v="25.02.08"/>
    <n v="256"/>
  </r>
  <r>
    <s v="애드몹"/>
    <s v="리서치애드"/>
    <s v="아이더스에프앤비"/>
    <x v="32"/>
    <s v="서비스"/>
    <s v="음식/조리"/>
    <s v="기타 프렌차이즈점"/>
    <s v="음료수 퀴즈"/>
    <s v="엔터테인먼트(대)게임(중)"/>
    <s v="m.app"/>
    <s v="애드몹"/>
    <s v="25"/>
    <s v="03"/>
    <s v="25.03.16"/>
    <s v="25.03.16"/>
    <n v="133"/>
  </r>
  <r>
    <s v="애드몹"/>
    <s v="리서치애드"/>
    <s v="아이더스에프앤비"/>
    <x v="32"/>
    <s v="서비스"/>
    <s v="음식/조리"/>
    <s v="기타 프렌차이즈점"/>
    <s v="음료수 퀴즈"/>
    <s v="엔터테인먼트(대)게임(중)"/>
    <s v="m.app"/>
    <s v="애드몹"/>
    <s v="25"/>
    <s v="03"/>
    <s v="25.03.17"/>
    <s v="25.03.23"/>
    <n v="931"/>
  </r>
  <r>
    <s v="애드몹"/>
    <s v="리서치애드"/>
    <s v="아이더스에프앤비"/>
    <x v="32"/>
    <s v="서비스"/>
    <s v="음식/조리"/>
    <s v="기타 프렌차이즈점"/>
    <s v="음료수 퀴즈"/>
    <s v="엔터테인먼트(대)게임(중)"/>
    <s v="m.app"/>
    <s v="애드몹"/>
    <s v="25"/>
    <s v="03"/>
    <s v="25.03.24"/>
    <s v="25.03.25"/>
    <n v="266"/>
  </r>
  <r>
    <s v="애드몹"/>
    <s v="리서치애드"/>
    <s v="호식이두마리치킨"/>
    <x v="15"/>
    <s v="서비스"/>
    <s v="음식/조리"/>
    <s v="기타 프렌차이즈점"/>
    <s v="무한의 계단"/>
    <s v="엔터테인먼트(대)게임(중)"/>
    <s v="m.app"/>
    <s v="애드몹"/>
    <s v="25"/>
    <s v="01"/>
    <s v="25.01.11"/>
    <s v="25.01.11"/>
    <n v="93"/>
  </r>
  <r>
    <s v="애드몹"/>
    <s v="리서치애드"/>
    <s v="호식이두마리치킨"/>
    <x v="15"/>
    <s v="서비스"/>
    <s v="음식/조리"/>
    <s v="기타 프렌차이즈점"/>
    <s v="무한의 계단"/>
    <s v="엔터테인먼트(대)게임(중)"/>
    <s v="m.app"/>
    <s v="애드몹"/>
    <s v="25"/>
    <s v="02"/>
    <s v="25.02.17"/>
    <s v="25.02.18"/>
    <n v="257"/>
  </r>
  <r>
    <s v="애드몹"/>
    <s v="리서치애드"/>
    <s v="호식이두마리치킨"/>
    <x v="15"/>
    <s v="서비스"/>
    <s v="음식/조리"/>
    <s v="기타 프렌차이즈점"/>
    <s v="미로찾기의 왕"/>
    <s v="엔터테인먼트(대)게임(중)"/>
    <s v="m.app"/>
    <s v="애드몹"/>
    <s v="25"/>
    <s v="02"/>
    <s v="25.02.12"/>
    <s v="25.02.12"/>
    <n v="128"/>
  </r>
  <r>
    <s v="애드몹"/>
    <s v="리서치애드"/>
    <s v="호식이두마리치킨"/>
    <x v="15"/>
    <s v="서비스"/>
    <s v="음식/조리"/>
    <s v="기타 프렌차이즈점"/>
    <s v="미친 미행"/>
    <s v="엔터테인먼트(대)게임(중)"/>
    <s v="m.app"/>
    <s v="애드몹"/>
    <s v="25"/>
    <s v="01"/>
    <s v="25.01.27"/>
    <s v="25.01.27"/>
    <n v="93"/>
  </r>
  <r>
    <s v="애드몹"/>
    <s v="리서치애드"/>
    <s v="호식이두마리치킨"/>
    <x v="15"/>
    <s v="서비스"/>
    <s v="음식/조리"/>
    <s v="기타 프렌차이즈점"/>
    <s v="벨소리 메이커"/>
    <s v="모바일(대)엔터테인먼트(중)"/>
    <s v="m.app"/>
    <s v="애드몹"/>
    <s v="25"/>
    <s v="02"/>
    <s v="25.02.17"/>
    <s v="25.02.17"/>
    <n v="128"/>
  </r>
  <r>
    <s v="애드몹"/>
    <s v="리서치애드"/>
    <s v="호식이두마리치킨"/>
    <x v="15"/>
    <s v="서비스"/>
    <s v="음식/조리"/>
    <s v="기타 프렌차이즈점"/>
    <s v="블럭 퍼즐의 왕"/>
    <s v="엔터테인먼트(대)게임(중)"/>
    <s v="m.app"/>
    <s v="애드몹"/>
    <s v="25"/>
    <s v="01"/>
    <s v="25.01.15"/>
    <s v="25.01.15"/>
    <n v="93"/>
  </r>
  <r>
    <s v="애드몹"/>
    <s v="리서치애드"/>
    <s v="호식이두마리치킨"/>
    <x v="15"/>
    <s v="서비스"/>
    <s v="음식/조리"/>
    <s v="기타 프렌차이즈점"/>
    <s v="블럭 퍼즐의 왕"/>
    <s v="엔터테인먼트(대)게임(중)"/>
    <s v="m.app"/>
    <s v="애드몹"/>
    <s v="25"/>
    <s v="02"/>
    <s v="25.02.17"/>
    <s v="25.02.17"/>
    <n v="128"/>
  </r>
  <r>
    <s v="애드몹"/>
    <s v="리서치애드"/>
    <s v="호식이두마리치킨"/>
    <x v="15"/>
    <s v="서비스"/>
    <s v="음식/조리"/>
    <s v="기타 프렌차이즈점"/>
    <s v="GE in me"/>
    <s v="엔터테인먼트(대)엔터테인먼트 기타(중)"/>
    <s v="m.app"/>
    <s v="애드몹"/>
    <s v="25"/>
    <s v="02"/>
    <s v="25.02.04"/>
    <s v="25.02.04"/>
    <n v="128"/>
  </r>
  <r>
    <s v="애드몹"/>
    <s v="리서치애드"/>
    <s v="호식이두마리치킨"/>
    <x v="15"/>
    <s v="서비스"/>
    <s v="음식/조리"/>
    <s v="기타 프렌차이즈점"/>
    <s v="Piano Perfect"/>
    <s v="엔터테인먼트(대)엔터테인먼트 기타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Brain Dots"/>
    <s v="엔터테인먼트(대)게임(중)"/>
    <s v="m.app"/>
    <s v="애드몹"/>
    <s v="25"/>
    <s v="01"/>
    <s v="25.01.25"/>
    <s v="25.01.26"/>
    <n v="186"/>
  </r>
  <r>
    <s v="애드몹"/>
    <s v="리서치애드"/>
    <s v="호식이두마리치킨"/>
    <x v="15"/>
    <s v="서비스"/>
    <s v="음식/조리"/>
    <s v="기타 프렌차이즈점"/>
    <s v="Brain Dots"/>
    <s v="엔터테인먼트(대)게임(중)"/>
    <s v="m.app"/>
    <s v="애드몹"/>
    <s v="25"/>
    <s v="01"/>
    <s v="25.01.27"/>
    <s v="25.01.27"/>
    <n v="93"/>
  </r>
  <r>
    <s v="애드몹"/>
    <s v="리서치애드"/>
    <s v="호식이두마리치킨"/>
    <x v="15"/>
    <s v="서비스"/>
    <s v="음식/조리"/>
    <s v="기타 프렌차이즈점"/>
    <s v="오목의 달인"/>
    <s v="엔터테인먼트(대)게임(중)"/>
    <s v="m.app"/>
    <s v="애드몹"/>
    <s v="25"/>
    <s v="05"/>
    <s v="25.05.16"/>
    <s v="25.05.16"/>
    <n v="147"/>
  </r>
  <r>
    <s v="애드몹"/>
    <s v="리서치애드"/>
    <s v="호식이두마리치킨"/>
    <x v="15"/>
    <s v="서비스"/>
    <s v="음식/조리"/>
    <s v="기타 프렌차이즈점"/>
    <s v="정통오목"/>
    <s v="엔터테인먼트(대)게임(중)"/>
    <s v="m.app"/>
    <s v="애드몹"/>
    <s v="25"/>
    <s v="01"/>
    <s v="25.01.16"/>
    <s v="25.01.18"/>
    <n v="278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2"/>
    <s v="25.02.22"/>
    <s v="25.02.22"/>
    <n v="128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3"/>
    <s v="25.03.08"/>
    <s v="25.03.08"/>
    <n v="133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3"/>
    <s v="25.03.17"/>
    <s v="25.03.17"/>
    <n v="133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5"/>
    <s v="25.05.27"/>
    <s v="25.05.27"/>
    <n v="147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6"/>
    <s v="25.06.04"/>
    <s v="25.06.05"/>
    <n v="320"/>
  </r>
  <r>
    <s v="애드몹"/>
    <s v="리서치애드"/>
    <s v="호식이두마리치킨"/>
    <x v="15"/>
    <s v="서비스"/>
    <s v="음식/조리"/>
    <s v="기타 프렌차이즈점"/>
    <s v="알송"/>
    <s v="엔터테인먼트(대)음악(중)"/>
    <s v="m.app"/>
    <s v="애드몹"/>
    <s v="25"/>
    <s v="06"/>
    <s v="25.06.09"/>
    <s v="25.06.15"/>
    <n v="1120"/>
  </r>
  <r>
    <s v="애드몹"/>
    <s v="리서치애드"/>
    <s v="호식이두마리치킨"/>
    <x v="15"/>
    <s v="서비스"/>
    <s v="음식/조리"/>
    <s v="기타 프렌차이즈점"/>
    <s v="테마키보드"/>
    <s v="모바일(대)엔터테인먼트(중)"/>
    <s v="m.app"/>
    <s v="애드몹"/>
    <s v="25"/>
    <s v="01"/>
    <s v="25.01.21"/>
    <s v="25.01.21"/>
    <n v="93"/>
  </r>
  <r>
    <s v="애드몹"/>
    <s v="리서치애드"/>
    <s v="호식이두마리치킨"/>
    <x v="15"/>
    <s v="서비스"/>
    <s v="음식/조리"/>
    <s v="기타 프렌차이즈점"/>
    <s v="테마키보드"/>
    <s v="모바일(대)엔터테인먼트(중)"/>
    <s v="m.app"/>
    <s v="애드몹"/>
    <s v="25"/>
    <s v="02"/>
    <s v="25.02.11"/>
    <s v="25.02.16"/>
    <n v="770"/>
  </r>
  <r>
    <s v="애드몹"/>
    <s v="리서치애드"/>
    <s v="호식이두마리치킨"/>
    <x v="15"/>
    <s v="서비스"/>
    <s v="음식/조리"/>
    <s v="기타 프렌차이즈점"/>
    <s v="gamemeca.com"/>
    <s v="신문/잡지(대)온라인뉴스(중)"/>
    <s v="m.web"/>
    <s v="애드몹"/>
    <s v="25"/>
    <s v="02"/>
    <s v="25.02.12"/>
    <s v="25.02.12"/>
    <n v="384"/>
  </r>
  <r>
    <s v="애드몹"/>
    <s v="리서치애드"/>
    <s v="호식이두마리치킨"/>
    <x v="15"/>
    <s v="서비스"/>
    <s v="음식/조리"/>
    <s v="기타 프렌차이즈점"/>
    <s v="gamemeca.com"/>
    <s v="신문/잡지(대)온라인뉴스(중)"/>
    <s v="m.web"/>
    <s v="애드몹"/>
    <s v="25"/>
    <s v="05"/>
    <s v="25.05.07"/>
    <s v="25.05.07"/>
    <n v="439"/>
  </r>
  <r>
    <s v="애드몹"/>
    <s v="리서치애드"/>
    <s v="호식이두마리치킨"/>
    <x v="15"/>
    <s v="서비스"/>
    <s v="음식/조리"/>
    <s v="기타 프렌차이즈점"/>
    <s v="KBO STATS"/>
    <s v="엔터테인먼트(대)스포츠/레포츠(중)"/>
    <s v="m.app"/>
    <s v="애드몹"/>
    <s v="25"/>
    <s v="01"/>
    <s v="25.01.20"/>
    <s v="25.01.26"/>
    <n v="649"/>
  </r>
  <r>
    <s v="애드몹"/>
    <s v="리서치애드"/>
    <s v="호식이두마리치킨"/>
    <x v="15"/>
    <s v="서비스"/>
    <s v="음식/조리"/>
    <s v="기타 프렌차이즈점"/>
    <s v="KBO STATS"/>
    <s v="엔터테인먼트(대)스포츠/레포츠(중)"/>
    <s v="m.app"/>
    <s v="애드몹"/>
    <s v="25"/>
    <s v="01"/>
    <s v="25.01.27"/>
    <s v="25.01.30"/>
    <n v="371"/>
  </r>
  <r>
    <s v="애드몹"/>
    <s v="리서치애드"/>
    <s v="호식이두마리치킨"/>
    <x v="15"/>
    <s v="서비스"/>
    <s v="음식/조리"/>
    <s v="기타 프렌차이즈점"/>
    <s v="KBO STATS"/>
    <s v="엔터테인먼트(대)스포츠/레포츠(중)"/>
    <s v="m.app"/>
    <s v="애드몹"/>
    <s v="25"/>
    <s v="02"/>
    <s v="25.02.05"/>
    <s v="25.02.06"/>
    <n v="257"/>
  </r>
  <r>
    <s v="애드몹"/>
    <s v="리서치애드"/>
    <s v="호식이두마리치킨"/>
    <x v="15"/>
    <s v="서비스"/>
    <s v="음식/조리"/>
    <s v="기타 프렌차이즈점"/>
    <s v="골프장 날씨"/>
    <s v="생활정보(대)교통/날씨(중)"/>
    <s v="m.app"/>
    <s v="애드몹"/>
    <s v="25"/>
    <s v="01"/>
    <s v="25.01.25"/>
    <s v="25.01.25"/>
    <n v="93"/>
  </r>
  <r>
    <s v="애드몹"/>
    <s v="리서치애드"/>
    <s v="호식이두마리치킨"/>
    <x v="15"/>
    <s v="서비스"/>
    <s v="음식/조리"/>
    <s v="기타 프렌차이즈점"/>
    <s v="오즈의타로"/>
    <s v="엔터테인먼트(대)엔터테인먼트 기타(중)"/>
    <s v="m.app"/>
    <s v="애드몹"/>
    <s v="25"/>
    <s v="01"/>
    <s v="25.01.24"/>
    <s v="25.01.24"/>
    <n v="93"/>
  </r>
  <r>
    <s v="애드몹"/>
    <s v="리서치애드"/>
    <s v="호식이두마리치킨"/>
    <x v="15"/>
    <s v="서비스"/>
    <s v="음식/조리"/>
    <s v="기타 프렌차이즈점"/>
    <s v="오즈의타로"/>
    <s v="엔터테인먼트(대)엔터테인먼트 기타(중)"/>
    <s v="m.app"/>
    <s v="애드몹"/>
    <s v="25"/>
    <s v="01"/>
    <s v="25.01.28"/>
    <s v="25.01.31"/>
    <n v="371"/>
  </r>
  <r>
    <s v="애드몹"/>
    <s v="리서치애드"/>
    <s v="호식이두마리치킨"/>
    <x v="15"/>
    <s v="서비스"/>
    <s v="음식/조리"/>
    <s v="기타 프렌차이즈점"/>
    <s v="오즈의타로"/>
    <s v="엔터테인먼트(대)엔터테인먼트 기타(중)"/>
    <s v="m.app"/>
    <s v="애드몹"/>
    <s v="25"/>
    <s v="02"/>
    <s v="25.02.06"/>
    <s v="25.02.06"/>
    <n v="128"/>
  </r>
  <r>
    <s v="애드몹"/>
    <s v="리서치애드"/>
    <s v="호식이두마리치킨"/>
    <x v="15"/>
    <s v="서비스"/>
    <s v="음식/조리"/>
    <s v="기타 프렌차이즈점"/>
    <s v="오즈의타로"/>
    <s v="엔터테인먼트(대)엔터테인먼트 기타(중)"/>
    <s v="m.app"/>
    <s v="애드몹"/>
    <s v="25"/>
    <s v="02"/>
    <s v="25.02.17"/>
    <s v="25.02.18"/>
    <n v="257"/>
  </r>
  <r>
    <s v="애드몹"/>
    <s v="리서치애드"/>
    <s v="호식이두마리치킨"/>
    <x v="15"/>
    <s v="서비스"/>
    <s v="음식/조리"/>
    <s v="기타 프렌차이즈점"/>
    <s v="지퍼7"/>
    <s v="모바일(대)도구/유틸리티(중)"/>
    <s v="m.app"/>
    <s v="애드몹"/>
    <s v="25"/>
    <s v="01"/>
    <s v="25.01.28"/>
    <s v="25.01.28"/>
    <n v="93"/>
  </r>
  <r>
    <s v="애드몹"/>
    <s v="리서치애드"/>
    <s v="호식이두마리치킨"/>
    <x v="15"/>
    <s v="서비스"/>
    <s v="음식/조리"/>
    <s v="기타 프렌차이즈점"/>
    <s v="지퍼7"/>
    <s v="모바일(대)도구/유틸리티(중)"/>
    <s v="m.app"/>
    <s v="애드몹"/>
    <s v="25"/>
    <s v="02"/>
    <s v="25.02.06"/>
    <s v="25.02.06"/>
    <n v="128"/>
  </r>
  <r>
    <s v="애드몹"/>
    <s v="리서치애드"/>
    <s v="호식이두마리치킨"/>
    <x v="15"/>
    <s v="서비스"/>
    <s v="음식/조리"/>
    <s v="기타 프렌차이즈점"/>
    <s v="지퍼7"/>
    <s v="모바일(대)도구/유틸리티(중)"/>
    <s v="m.app"/>
    <s v="애드몹"/>
    <s v="25"/>
    <s v="02"/>
    <s v="25.02.18"/>
    <s v="25.02.18"/>
    <n v="128"/>
  </r>
  <r>
    <s v="애드몹"/>
    <s v="리서치애드"/>
    <s v="호식이두마리치킨"/>
    <x v="15"/>
    <s v="서비스"/>
    <s v="음식/조리"/>
    <s v="기타 프렌차이즈점"/>
    <s v="백점"/>
    <s v="엔터테인먼트(대)엔터테인먼트 기타(중)"/>
    <s v="m.app"/>
    <s v="애드몹"/>
    <s v="25"/>
    <s v="01"/>
    <s v="25.01.22"/>
    <s v="25.01.24"/>
    <n v="278"/>
  </r>
  <r>
    <s v="애드몹"/>
    <s v="리서치애드"/>
    <s v="호식이두마리치킨"/>
    <x v="15"/>
    <s v="서비스"/>
    <s v="음식/조리"/>
    <s v="기타 프렌차이즈점"/>
    <s v="백점"/>
    <s v="엔터테인먼트(대)엔터테인먼트 기타(중)"/>
    <s v="m.app"/>
    <s v="애드몹"/>
    <s v="25"/>
    <s v="01"/>
    <s v="25.01.27"/>
    <s v="25.01.28"/>
    <n v="186"/>
  </r>
  <r>
    <s v="애드몹"/>
    <s v="리서치애드"/>
    <s v="호식이두마리치킨"/>
    <x v="15"/>
    <s v="서비스"/>
    <s v="음식/조리"/>
    <s v="기타 프렌차이즈점"/>
    <s v="백점"/>
    <s v="엔터테인먼트(대)엔터테인먼트 기타(중)"/>
    <s v="m.app"/>
    <s v="애드몹"/>
    <s v="25"/>
    <s v="02"/>
    <s v="25.02.06"/>
    <s v="25.02.09"/>
    <n v="513"/>
  </r>
  <r>
    <s v="애드몹"/>
    <s v="리서치애드"/>
    <s v="호식이두마리치킨"/>
    <x v="15"/>
    <s v="서비스"/>
    <s v="음식/조리"/>
    <s v="기타 프렌차이즈점"/>
    <s v="백점"/>
    <s v="엔터테인먼트(대)엔터테인먼트 기타(중)"/>
    <s v="m.app"/>
    <s v="애드몹"/>
    <s v="25"/>
    <s v="02"/>
    <s v="25.02.11"/>
    <s v="25.02.11"/>
    <n v="128"/>
  </r>
  <r>
    <s v="애드몹"/>
    <s v="리서치애드"/>
    <s v="호식이두마리치킨"/>
    <x v="15"/>
    <s v="서비스"/>
    <s v="음식/조리"/>
    <s v="기타 프렌차이즈점"/>
    <s v="백점"/>
    <s v="엔터테인먼트(대)엔터테인먼트 기타(중)"/>
    <s v="m.app"/>
    <s v="애드몹"/>
    <s v="25"/>
    <s v="02"/>
    <s v="25.02.17"/>
    <s v="25.02.17"/>
    <n v="128"/>
  </r>
  <r>
    <s v="애드몹"/>
    <s v="리서치애드"/>
    <s v="호식이두마리치킨"/>
    <x v="15"/>
    <s v="서비스"/>
    <s v="음식/조리"/>
    <s v="기타 프렌차이즈점"/>
    <s v="알집"/>
    <s v="모바일(대)도구/유틸리티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알집"/>
    <s v="모바일(대)도구/유틸리티(중)"/>
    <s v="m.app"/>
    <s v="애드몹"/>
    <s v="25"/>
    <s v="01"/>
    <s v="25.01.16"/>
    <s v="25.01.16"/>
    <n v="93"/>
  </r>
  <r>
    <s v="애드몹"/>
    <s v="리서치애드"/>
    <s v="호식이두마리치킨"/>
    <x v="15"/>
    <s v="서비스"/>
    <s v="음식/조리"/>
    <s v="기타 프렌차이즈점"/>
    <s v="알집"/>
    <s v="모바일(대)도구/유틸리티(중)"/>
    <s v="m.app"/>
    <s v="애드몹"/>
    <s v="25"/>
    <s v="02"/>
    <s v="25.02.08"/>
    <s v="25.02.09"/>
    <n v="257"/>
  </r>
  <r>
    <s v="애드몹"/>
    <s v="리서치애드"/>
    <s v="호식이두마리치킨"/>
    <x v="15"/>
    <s v="서비스"/>
    <s v="음식/조리"/>
    <s v="기타 프렌차이즈점"/>
    <s v="Block Puzzle Jewel"/>
    <s v="엔터테인먼트(대)게임(중)"/>
    <s v="m.app"/>
    <s v="애드몹"/>
    <s v="25"/>
    <s v="06"/>
    <s v="25.06.14"/>
    <s v="25.06.14"/>
    <n v="160"/>
  </r>
  <r>
    <s v="애드몹"/>
    <s v="리서치애드"/>
    <s v="호식이두마리치킨"/>
    <x v="15"/>
    <s v="서비스"/>
    <s v="음식/조리"/>
    <s v="기타 프렌차이즈점"/>
    <s v="게임을 숨겼다2"/>
    <s v="엔터테인먼트(대)게임(중)"/>
    <s v="m.app"/>
    <s v="애드몹"/>
    <s v="25"/>
    <s v="01"/>
    <s v="25.01.24"/>
    <s v="25.01.24"/>
    <n v="93"/>
  </r>
  <r>
    <s v="애드몹"/>
    <s v="리서치애드"/>
    <s v="호식이두마리치킨"/>
    <x v="15"/>
    <s v="서비스"/>
    <s v="음식/조리"/>
    <s v="기타 프렌차이즈점"/>
    <s v="게임을 숨겼다2"/>
    <s v="엔터테인먼트(대)게임(중)"/>
    <s v="m.app"/>
    <s v="애드몹"/>
    <s v="25"/>
    <s v="02"/>
    <s v="25.02.12"/>
    <s v="25.02.12"/>
    <n v="128"/>
  </r>
  <r>
    <s v="애드몹"/>
    <s v="리서치애드"/>
    <s v="호식이두마리치킨"/>
    <x v="15"/>
    <s v="서비스"/>
    <s v="음식/조리"/>
    <s v="기타 프렌차이즈점"/>
    <s v="비내리는 단칸방"/>
    <s v="엔터테인먼트(대)게임(중)"/>
    <s v="m.app"/>
    <s v="애드몹"/>
    <s v="25"/>
    <s v="02"/>
    <s v="25.02.14"/>
    <s v="25.02.14"/>
    <n v="128"/>
  </r>
  <r>
    <s v="애드몹"/>
    <s v="리서치애드"/>
    <s v="호식이두마리치킨"/>
    <x v="15"/>
    <s v="서비스"/>
    <s v="음식/조리"/>
    <s v="기타 프렌차이즈점"/>
    <s v="7분 운동"/>
    <s v="모바일(대)라이프스타일(중)"/>
    <s v="m.app"/>
    <s v="애드몹"/>
    <s v="25"/>
    <s v="02"/>
    <s v="25.02.17"/>
    <s v="25.02.17"/>
    <n v="128"/>
  </r>
  <r>
    <s v="애드몹"/>
    <s v="리서치애드"/>
    <s v="호식이두마리치킨"/>
    <x v="15"/>
    <s v="서비스"/>
    <s v="음식/조리"/>
    <s v="기타 프렌차이즈점"/>
    <s v="미카 자동 띄어쓰기"/>
    <s v="모바일(대)도구/유틸리티(중)"/>
    <s v="m.app"/>
    <s v="애드몹"/>
    <s v="25"/>
    <s v="02"/>
    <s v="25.02.18"/>
    <s v="25.02.18"/>
    <n v="128"/>
  </r>
  <r>
    <s v="애드몹"/>
    <s v="리서치애드"/>
    <s v="호식이두마리치킨"/>
    <x v="15"/>
    <s v="서비스"/>
    <s v="음식/조리"/>
    <s v="기타 프렌차이즈점"/>
    <s v="자"/>
    <s v="모바일(대)도구/유틸리티(중)"/>
    <s v="m.app"/>
    <s v="애드몹"/>
    <s v="25"/>
    <s v="02"/>
    <s v="25.02.04"/>
    <s v="25.02.04"/>
    <n v="128"/>
  </r>
  <r>
    <s v="애드몹"/>
    <s v="리서치애드"/>
    <s v="호식이두마리치킨"/>
    <x v="15"/>
    <s v="서비스"/>
    <s v="음식/조리"/>
    <s v="기타 프렌차이즈점"/>
    <s v="Draw Cartoon"/>
    <s v="엔터테인먼트(대)엔터테인먼트 기타(중)"/>
    <s v="m.app"/>
    <s v="애드몹"/>
    <s v="25"/>
    <s v="04"/>
    <s v="25.04.22"/>
    <s v="25.04.22"/>
    <n v="133"/>
  </r>
  <r>
    <s v="애드몹"/>
    <s v="리서치애드"/>
    <s v="호식이두마리치킨"/>
    <x v="15"/>
    <s v="서비스"/>
    <s v="음식/조리"/>
    <s v="기타 프렌차이즈점"/>
    <s v="스테고사우루스 - 합체! 다이노로봇"/>
    <s v="엔터테인먼트(대)게임(중)"/>
    <s v="m.app"/>
    <s v="애드몹"/>
    <s v="25"/>
    <s v="01"/>
    <s v="25.01.25"/>
    <s v="25.01.25"/>
    <n v="93"/>
  </r>
  <r>
    <s v="애드몹"/>
    <s v="리서치애드"/>
    <s v="호식이두마리치킨"/>
    <x v="15"/>
    <s v="서비스"/>
    <s v="음식/조리"/>
    <s v="기타 프렌차이즈점"/>
    <s v="나를 위한알람시계"/>
    <s v="모바일(대)도구/유틸리티(중)"/>
    <s v="m.app"/>
    <s v="애드몹"/>
    <s v="25"/>
    <s v="03"/>
    <s v="25.03.25"/>
    <s v="25.03.25"/>
    <n v="133"/>
  </r>
  <r>
    <s v="애드몹"/>
    <s v="리서치애드"/>
    <s v="호식이두마리치킨"/>
    <x v="15"/>
    <s v="서비스"/>
    <s v="음식/조리"/>
    <s v="기타 프렌차이즈점"/>
    <s v="나를 위한알람시계"/>
    <s v="모바일(대)도구/유틸리티(중)"/>
    <s v="m.app"/>
    <s v="애드몹"/>
    <s v="25"/>
    <s v="06"/>
    <s v="25.06.04"/>
    <s v="25.06.04"/>
    <n v="160"/>
  </r>
  <r>
    <s v="애드몹"/>
    <s v="리서치애드"/>
    <s v="호식이두마리치킨"/>
    <x v="15"/>
    <s v="서비스"/>
    <s v="음식/조리"/>
    <s v="기타 프렌차이즈점"/>
    <s v="의학백과사전"/>
    <s v="생활정보(대)병원/건강정보(중)"/>
    <s v="m.app"/>
    <s v="애드몹"/>
    <s v="25"/>
    <s v="02"/>
    <s v="25.02.18"/>
    <s v="25.02.18"/>
    <n v="128"/>
  </r>
  <r>
    <s v="애드몹"/>
    <s v="리서치애드"/>
    <s v="호식이두마리치킨"/>
    <x v="15"/>
    <s v="서비스"/>
    <s v="음식/조리"/>
    <s v="기타 프렌차이즈점"/>
    <s v="미미네 미니어쳐 (MIMINE)"/>
    <s v="방송(대)방송기타(중)"/>
    <s v="m.app"/>
    <s v="애드몹"/>
    <s v="25"/>
    <s v="01"/>
    <s v="25.01.28"/>
    <s v="25.01.28"/>
    <n v="93"/>
  </r>
  <r>
    <s v="애드몹"/>
    <s v="리서치애드"/>
    <s v="호식이두마리치킨"/>
    <x v="15"/>
    <s v="서비스"/>
    <s v="음식/조리"/>
    <s v="기타 프렌차이즈점"/>
    <s v="미미네 미니어쳐 (MIMINE)"/>
    <s v="방송(대)방송기타(중)"/>
    <s v="m.app"/>
    <s v="애드몹"/>
    <s v="25"/>
    <s v="02"/>
    <s v="25.02.18"/>
    <s v="25.02.18"/>
    <n v="128"/>
  </r>
  <r>
    <s v="애드몹"/>
    <s v="리서치애드"/>
    <s v="호식이두마리치킨"/>
    <x v="15"/>
    <s v="서비스"/>
    <s v="음식/조리"/>
    <s v="기타 프렌차이즈점"/>
    <s v="트로트 메들리"/>
    <s v="엔터테인먼트(대)음악(중)"/>
    <s v="m.app"/>
    <s v="애드몹"/>
    <s v="25"/>
    <s v="01"/>
    <s v="25.01.28"/>
    <s v="25.01.28"/>
    <n v="93"/>
  </r>
  <r>
    <s v="애드몹"/>
    <s v="리서치애드"/>
    <s v="호식이두마리치킨"/>
    <x v="15"/>
    <s v="서비스"/>
    <s v="음식/조리"/>
    <s v="기타 프렌차이즈점"/>
    <s v="트로트 메들리"/>
    <s v="엔터테인먼트(대)음악(중)"/>
    <s v="m.app"/>
    <s v="애드몹"/>
    <s v="25"/>
    <s v="02"/>
    <s v="25.02.18"/>
    <s v="25.02.18"/>
    <n v="128"/>
  </r>
  <r>
    <s v="애드몹"/>
    <s v="리서치애드"/>
    <s v="호식이두마리치킨"/>
    <x v="15"/>
    <s v="서비스"/>
    <s v="음식/조리"/>
    <s v="기타 프렌차이즈점"/>
    <s v="Master Yi"/>
    <s v="엔터테인먼트(대)게임(중)"/>
    <s v="m.app"/>
    <s v="애드몹"/>
    <s v="25"/>
    <s v="01"/>
    <s v="25.01.31"/>
    <s v="25.01.31"/>
    <n v="93"/>
  </r>
  <r>
    <s v="애드몹"/>
    <s v="리서치애드"/>
    <s v="호식이두마리치킨"/>
    <x v="15"/>
    <s v="서비스"/>
    <s v="음식/조리"/>
    <s v="기타 프렌차이즈점"/>
    <s v="Sleep Well"/>
    <s v="모바일(대)도구/유틸리티(중)"/>
    <s v="m.app"/>
    <s v="애드몹"/>
    <s v="25"/>
    <s v="02"/>
    <s v="25.02.16"/>
    <s v="25.02.16"/>
    <n v="128"/>
  </r>
  <r>
    <s v="애드몹"/>
    <s v="리서치애드"/>
    <s v="호식이두마리치킨"/>
    <x v="15"/>
    <s v="서비스"/>
    <s v="음식/조리"/>
    <s v="기타 프렌차이즈점"/>
    <s v="haeorum.com"/>
    <s v="생활정보(대)여성/육아(중)"/>
    <s v="m.web"/>
    <s v="애드몹"/>
    <s v="25"/>
    <s v="05"/>
    <s v="25.05.06"/>
    <s v="25.05.06"/>
    <n v="160"/>
  </r>
  <r>
    <s v="애드몹"/>
    <s v="리서치애드"/>
    <s v="호식이두마리치킨"/>
    <x v="15"/>
    <s v="서비스"/>
    <s v="음식/조리"/>
    <s v="기타 프렌차이즈점"/>
    <s v="Fidget Spinner"/>
    <s v="엔터테인먼트(대)엔터테인먼트 기타(중)"/>
    <s v="m.app"/>
    <s v="애드몹"/>
    <s v="25"/>
    <s v="01"/>
    <s v="25.01.30"/>
    <s v="25.01.30"/>
    <n v="93"/>
  </r>
  <r>
    <s v="애드몹"/>
    <s v="리서치애드"/>
    <s v="호식이두마리치킨"/>
    <x v="15"/>
    <s v="서비스"/>
    <s v="음식/조리"/>
    <s v="기타 프렌차이즈점"/>
    <s v="일기 예보"/>
    <s v="생활정보(대)교통/날씨(중)"/>
    <s v="m.app"/>
    <s v="애드몹"/>
    <s v="25"/>
    <s v="01"/>
    <s v="25.01.19"/>
    <s v="25.01.19"/>
    <n v="93"/>
  </r>
  <r>
    <s v="애드몹"/>
    <s v="리서치애드"/>
    <s v="호식이두마리치킨"/>
    <x v="15"/>
    <s v="서비스"/>
    <s v="음식/조리"/>
    <s v="기타 프렌차이즈점"/>
    <s v="새총의 왕"/>
    <s v="엔터테인먼트(대)게임(중)"/>
    <s v="m.app"/>
    <s v="애드몹"/>
    <s v="25"/>
    <s v="02"/>
    <s v="25.02.11"/>
    <s v="25.02.11"/>
    <n v="128"/>
  </r>
  <r>
    <s v="애드몹"/>
    <s v="리서치애드"/>
    <s v="호식이두마리치킨"/>
    <x v="15"/>
    <s v="서비스"/>
    <s v="음식/조리"/>
    <s v="기타 프렌차이즈점"/>
    <s v="그림 퀴즈"/>
    <s v="엔터테인먼트(대)게임(중)"/>
    <s v="m.app"/>
    <s v="애드몹"/>
    <s v="25"/>
    <s v="01"/>
    <s v="25.01.28"/>
    <s v="25.01.28"/>
    <n v="93"/>
  </r>
  <r>
    <s v="애드몹"/>
    <s v="리서치애드"/>
    <s v="호식이두마리치킨"/>
    <x v="15"/>
    <s v="서비스"/>
    <s v="음식/조리"/>
    <s v="기타 프렌차이즈점"/>
    <s v="소음측정기"/>
    <s v="모바일(대)도구/유틸리티(중)"/>
    <s v="m.app"/>
    <s v="애드몹"/>
    <s v="25"/>
    <s v="01"/>
    <s v="25.01.30"/>
    <s v="25.01.31"/>
    <n v="186"/>
  </r>
  <r>
    <s v="애드몹"/>
    <s v="리서치애드"/>
    <s v="호식이두마리치킨"/>
    <x v="15"/>
    <s v="서비스"/>
    <s v="음식/조리"/>
    <s v="기타 프렌차이즈점"/>
    <s v="소음측정기"/>
    <s v="모바일(대)도구/유틸리티(중)"/>
    <s v="m.app"/>
    <s v="애드몹"/>
    <s v="25"/>
    <s v="02"/>
    <s v="25.02.03"/>
    <s v="25.02.03"/>
    <n v="128"/>
  </r>
  <r>
    <s v="애드몹"/>
    <s v="리서치애드"/>
    <s v="호식이두마리치킨"/>
    <x v="15"/>
    <s v="서비스"/>
    <s v="음식/조리"/>
    <s v="기타 프렌차이즈점"/>
    <s v="소음측정기"/>
    <s v="모바일(대)도구/유틸리티(중)"/>
    <s v="m.app"/>
    <s v="애드몹"/>
    <s v="25"/>
    <s v="02"/>
    <s v="25.02.11"/>
    <s v="25.02.11"/>
    <n v="128"/>
  </r>
  <r>
    <s v="애드몹"/>
    <s v="리서치애드"/>
    <s v="호식이두마리치킨"/>
    <x v="15"/>
    <s v="서비스"/>
    <s v="음식/조리"/>
    <s v="기타 프렌차이즈점"/>
    <s v="소음측정기"/>
    <s v="모바일(대)도구/유틸리티(중)"/>
    <s v="m.app"/>
    <s v="애드몹"/>
    <s v="25"/>
    <s v="02"/>
    <s v="25.02.17"/>
    <s v="25.02.18"/>
    <n v="257"/>
  </r>
  <r>
    <s v="애드몹"/>
    <s v="리서치애드"/>
    <s v="호식이두마리치킨"/>
    <x v="15"/>
    <s v="서비스"/>
    <s v="음식/조리"/>
    <s v="기타 프렌차이즈점"/>
    <s v="레이디버그와"/>
    <s v="엔터테인먼트(대)게임(중)"/>
    <s v="m.app"/>
    <s v="애드몹"/>
    <s v="25"/>
    <s v="05"/>
    <s v="25.05.04"/>
    <s v="25.05.04"/>
    <n v="147"/>
  </r>
  <r>
    <s v="애드몹"/>
    <s v="리서치애드"/>
    <s v="호식이두마리치킨"/>
    <x v="15"/>
    <s v="서비스"/>
    <s v="음식/조리"/>
    <s v="기타 프렌차이즈점"/>
    <s v="소리 퀴즈"/>
    <s v="엔터테인먼트(대)게임(중)"/>
    <s v="m.app"/>
    <s v="애드몹"/>
    <s v="25"/>
    <s v="02"/>
    <s v="25.02.10"/>
    <s v="25.02.10"/>
    <n v="128"/>
  </r>
  <r>
    <s v="애드몹"/>
    <s v="리서치애드"/>
    <s v="호식이두마리치킨"/>
    <x v="15"/>
    <s v="서비스"/>
    <s v="음식/조리"/>
    <s v="기타 프렌차이즈점"/>
    <s v="우끼요"/>
    <s v="엔터테인먼트(대)엔터테인먼트 기타(중)"/>
    <s v="m.app"/>
    <s v="애드몹"/>
    <s v="25"/>
    <s v="01"/>
    <s v="25.01.27"/>
    <s v="25.01.27"/>
    <n v="93"/>
  </r>
  <r>
    <s v="애드몹"/>
    <s v="리서치애드"/>
    <s v="호식이두마리치킨"/>
    <x v="15"/>
    <s v="서비스"/>
    <s v="음식/조리"/>
    <s v="기타 프렌차이즈점"/>
    <s v="우끼요"/>
    <s v="엔터테인먼트(대)엔터테인먼트 기타(중)"/>
    <s v="m.app"/>
    <s v="애드몹"/>
    <s v="25"/>
    <s v="02"/>
    <s v="25.02.09"/>
    <s v="25.02.09"/>
    <n v="128"/>
  </r>
  <r>
    <s v="애드몹"/>
    <s v="리서치애드"/>
    <s v="호식이두마리치킨"/>
    <x v="15"/>
    <s v="서비스"/>
    <s v="음식/조리"/>
    <s v="기타 프렌차이즈점"/>
    <s v="우끼요"/>
    <s v="엔터테인먼트(대)엔터테인먼트 기타(중)"/>
    <s v="m.app"/>
    <s v="애드몹"/>
    <s v="25"/>
    <s v="02"/>
    <s v="25.02.10"/>
    <s v="25.02.10"/>
    <n v="128"/>
  </r>
  <r>
    <s v="애드몹"/>
    <s v="리서치애드"/>
    <s v="호식이두마리치킨"/>
    <x v="15"/>
    <s v="서비스"/>
    <s v="음식/조리"/>
    <s v="기타 프렌차이즈점"/>
    <s v="우끼요"/>
    <s v="엔터테인먼트(대)엔터테인먼트 기타(중)"/>
    <s v="m.app"/>
    <s v="애드몹"/>
    <s v="25"/>
    <s v="02"/>
    <s v="25.02.17"/>
    <s v="25.02.18"/>
    <n v="257"/>
  </r>
  <r>
    <s v="애드몹"/>
    <s v="리서치애드"/>
    <s v="호식이두마리치킨"/>
    <x v="15"/>
    <s v="서비스"/>
    <s v="음식/조리"/>
    <s v="기타 프렌차이즈점"/>
    <s v="게임이 망했다"/>
    <s v="엔터테인먼트(대)게임(중)"/>
    <s v="m.app"/>
    <s v="애드몹"/>
    <s v="25"/>
    <s v="06"/>
    <s v="25.06.06"/>
    <s v="25.06.06"/>
    <n v="160"/>
  </r>
  <r>
    <s v="애드몹"/>
    <s v="리서치애드"/>
    <s v="호식이두마리치킨"/>
    <x v="15"/>
    <s v="서비스"/>
    <s v="음식/조리"/>
    <s v="기타 프렌차이즈점"/>
    <s v="체조 선수"/>
    <s v="엔터테인먼트(대)게임(중)"/>
    <s v="m.app"/>
    <s v="애드몹"/>
    <s v="25"/>
    <s v="05"/>
    <s v="25.05.06"/>
    <s v="25.05.06"/>
    <n v="147"/>
  </r>
  <r>
    <s v="애드몹"/>
    <s v="리서치애드"/>
    <s v="호식이두마리치킨"/>
    <x v="15"/>
    <s v="서비스"/>
    <s v="음식/조리"/>
    <s v="기타 프렌차이즈점"/>
    <s v="Crazy Cooking Chef"/>
    <s v="엔터테인먼트(대)게임(중)"/>
    <s v="m.app"/>
    <s v="애드몹"/>
    <s v="25"/>
    <s v="05"/>
    <s v="25.05.07"/>
    <s v="25.05.07"/>
    <n v="147"/>
  </r>
  <r>
    <s v="애드몹"/>
    <s v="리서치애드"/>
    <s v="호식이두마리치킨"/>
    <x v="15"/>
    <s v="서비스"/>
    <s v="음식/조리"/>
    <s v="기타 프렌차이즈점"/>
    <s v="Polaris Office"/>
    <s v="모바일(대)도구/유틸리티(중)"/>
    <s v="m.app"/>
    <s v="애드몹"/>
    <s v="25"/>
    <s v="02"/>
    <s v="25.02.11"/>
    <s v="25.02.11"/>
    <n v="128"/>
  </r>
  <r>
    <s v="애드몹"/>
    <s v="리서치애드"/>
    <s v="호식이두마리치킨"/>
    <x v="15"/>
    <s v="서비스"/>
    <s v="음식/조리"/>
    <s v="기타 프렌차이즈점"/>
    <s v="Polaris Office"/>
    <s v="모바일(대)도구/유틸리티(중)"/>
    <s v="m.app"/>
    <s v="애드몹"/>
    <s v="25"/>
    <s v="06"/>
    <s v="25.06.15"/>
    <s v="25.06.15"/>
    <n v="160"/>
  </r>
  <r>
    <s v="애드몹"/>
    <s v="리서치애드"/>
    <s v="호식이두마리치킨"/>
    <x v="15"/>
    <s v="서비스"/>
    <s v="음식/조리"/>
    <s v="기타 프렌차이즈점"/>
    <s v="Wood Block - Music Box"/>
    <s v="엔터테인먼트(대)게임(중)"/>
    <s v="m.app"/>
    <s v="애드몹"/>
    <s v="25"/>
    <s v="02"/>
    <s v="25.02.07"/>
    <s v="25.02.07"/>
    <n v="128"/>
  </r>
  <r>
    <s v="애드몹"/>
    <s v="리서치애드"/>
    <s v="호식이두마리치킨"/>
    <x v="15"/>
    <s v="서비스"/>
    <s v="음식/조리"/>
    <s v="기타 프렌차이즈점"/>
    <s v="Wood Block - Music Box"/>
    <s v="엔터테인먼트(대)게임(중)"/>
    <s v="m.app"/>
    <s v="애드몹"/>
    <s v="25"/>
    <s v="05"/>
    <s v="25.05.19"/>
    <s v="25.05.19"/>
    <n v="147"/>
  </r>
  <r>
    <s v="애드몹"/>
    <s v="리서치애드"/>
    <s v="호식이두마리치킨"/>
    <x v="15"/>
    <s v="서비스"/>
    <s v="음식/조리"/>
    <s v="기타 프렌차이즈점"/>
    <s v="Unblock Ball - Block Puzzle"/>
    <s v="엔터테인먼트(대)게임(중)"/>
    <s v="m.app"/>
    <s v="애드몹"/>
    <s v="25"/>
    <s v="01"/>
    <s v="25.01.30"/>
    <s v="25.01.30"/>
    <n v="93"/>
  </r>
  <r>
    <s v="애드몹"/>
    <s v="리서치애드"/>
    <s v="호식이두마리치킨"/>
    <x v="15"/>
    <s v="서비스"/>
    <s v="음식/조리"/>
    <s v="기타 프렌차이즈점"/>
    <s v="Wood Block Puzzle"/>
    <s v="엔터테인먼트(대)게임(중)"/>
    <s v="m.app"/>
    <s v="애드몹"/>
    <s v="25"/>
    <s v="05"/>
    <s v="25.05.05"/>
    <s v="25.05.05"/>
    <n v="147"/>
  </r>
  <r>
    <s v="애드몹"/>
    <s v="리서치애드"/>
    <s v="호식이두마리치킨"/>
    <x v="15"/>
    <s v="서비스"/>
    <s v="음식/조리"/>
    <s v="기타 프렌차이즈점"/>
    <s v="용구 탄생의 비밀"/>
    <s v="엔터테인먼트(대)게임(중)"/>
    <s v="m.app"/>
    <s v="애드몹"/>
    <s v="25"/>
    <s v="05"/>
    <s v="25.05.02"/>
    <s v="25.05.02"/>
    <n v="147"/>
  </r>
  <r>
    <s v="애드몹"/>
    <s v="리서치애드"/>
    <s v="호식이두마리치킨"/>
    <x v="15"/>
    <s v="서비스"/>
    <s v="음식/조리"/>
    <s v="기타 프렌차이즈점"/>
    <s v="용구 탄생의 비밀"/>
    <s v="엔터테인먼트(대)게임(중)"/>
    <s v="m.app"/>
    <s v="애드몹"/>
    <s v="25"/>
    <s v="05"/>
    <s v="25.05.09"/>
    <s v="25.05.09"/>
    <n v="147"/>
  </r>
  <r>
    <s v="애드몹"/>
    <s v="리서치애드"/>
    <s v="호식이두마리치킨"/>
    <x v="15"/>
    <s v="서비스"/>
    <s v="음식/조리"/>
    <s v="기타 프렌차이즈점"/>
    <s v="용구 탄생의 비밀"/>
    <s v="엔터테인먼트(대)게임(중)"/>
    <s v="m.app"/>
    <s v="애드몹"/>
    <s v="25"/>
    <s v="05"/>
    <s v="25.05.16"/>
    <s v="25.05.16"/>
    <n v="147"/>
  </r>
  <r>
    <s v="애드몹"/>
    <s v="리서치애드"/>
    <s v="호식이두마리치킨"/>
    <x v="15"/>
    <s v="서비스"/>
    <s v="음식/조리"/>
    <s v="기타 프렌차이즈점"/>
    <s v="용구 탄생의 비밀"/>
    <s v="엔터테인먼트(대)게임(중)"/>
    <s v="m.app"/>
    <s v="애드몹"/>
    <s v="25"/>
    <s v="05"/>
    <s v="25.05.24"/>
    <s v="25.05.24"/>
    <n v="147"/>
  </r>
  <r>
    <s v="애드몹"/>
    <s v="리서치애드"/>
    <s v="호식이두마리치킨"/>
    <x v="15"/>
    <s v="서비스"/>
    <s v="음식/조리"/>
    <s v="기타 프렌차이즈점"/>
    <s v="Epic Race 3D"/>
    <s v="엔터테인먼트(대)게임(중)"/>
    <s v="m.app"/>
    <s v="애드몹"/>
    <s v="25"/>
    <s v="02"/>
    <s v="25.02.19"/>
    <s v="25.02.19"/>
    <n v="128"/>
  </r>
  <r>
    <s v="애드몹"/>
    <s v="리서치애드"/>
    <s v="호식이두마리치킨"/>
    <x v="15"/>
    <s v="서비스"/>
    <s v="음식/조리"/>
    <s v="기타 프렌차이즈점"/>
    <s v="아기 재우기"/>
    <s v="모바일(대)엔터테인먼트(중)"/>
    <s v="m.app"/>
    <s v="애드몹"/>
    <s v="25"/>
    <s v="05"/>
    <s v="25.05.17"/>
    <s v="25.05.17"/>
    <n v="147"/>
  </r>
  <r>
    <s v="애드몹"/>
    <s v="리서치애드"/>
    <s v="호식이두마리치킨"/>
    <x v="15"/>
    <s v="서비스"/>
    <s v="음식/조리"/>
    <s v="기타 프렌차이즈점"/>
    <s v="MediBang Colors"/>
    <s v="엔터테인먼트(대)게임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Decision Roulette"/>
    <s v="모바일(대)엔터테인먼트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Blob Runner 3D"/>
    <s v="엔터테인먼트(대)게임(중)"/>
    <s v="m.app"/>
    <s v="애드몹"/>
    <s v="25"/>
    <s v="05"/>
    <s v="25.05.26"/>
    <s v="25.05.26"/>
    <n v="147"/>
  </r>
  <r>
    <s v="애드몹"/>
    <s v="리서치애드"/>
    <s v="호식이두마리치킨"/>
    <x v="15"/>
    <s v="서비스"/>
    <s v="음식/조리"/>
    <s v="기타 프렌차이즈점"/>
    <s v="한국 정치 결투"/>
    <s v="엔터테인먼트(대)게임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경찰승진시험"/>
    <s v="모바일(대)모바일기타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경찰공무원 시험"/>
    <s v="모바일(대)모바일기타(중)"/>
    <s v="m.app"/>
    <s v="애드몹"/>
    <s v="25"/>
    <s v="02"/>
    <s v="25.02.17"/>
    <s v="25.02.17"/>
    <n v="128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3"/>
    <s v="25.03.27"/>
    <s v="25.03.27"/>
    <n v="133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4"/>
    <s v="25.04.20"/>
    <s v="25.04.20"/>
    <n v="133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4"/>
    <s v="25.04.25"/>
    <s v="25.04.25"/>
    <n v="133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6"/>
    <s v="25.06.04"/>
    <s v="25.06.04"/>
    <n v="160"/>
  </r>
  <r>
    <s v="애드몹"/>
    <s v="리서치애드"/>
    <s v="호식이두마리치킨"/>
    <x v="15"/>
    <s v="서비스"/>
    <s v="음식/조리"/>
    <s v="기타 프렌차이즈점"/>
    <s v="모두의 신문"/>
    <s v="신문/잡지(대)신문/잡지 기타(중)"/>
    <s v="m.app"/>
    <s v="애드몹"/>
    <s v="25"/>
    <s v="06"/>
    <s v="25.06.16"/>
    <s v="25.06.16"/>
    <n v="160"/>
  </r>
  <r>
    <s v="애드몹"/>
    <s v="리서치애드"/>
    <s v="호식이두마리치킨"/>
    <x v="15"/>
    <s v="서비스"/>
    <s v="음식/조리"/>
    <s v="기타 프렌차이즈점"/>
    <s v="보수계"/>
    <s v="생활정보(대)병원/건강정보(중)"/>
    <s v="m.app"/>
    <s v="애드몹"/>
    <s v="25"/>
    <s v="02"/>
    <s v="25.02.17"/>
    <s v="25.02.17"/>
    <n v="128"/>
  </r>
  <r>
    <s v="애드몹"/>
    <s v="리서치애드"/>
    <s v="호식이두마리치킨"/>
    <x v="15"/>
    <s v="서비스"/>
    <s v="음식/조리"/>
    <s v="기타 프렌차이즈점"/>
    <s v="Speed Alarm"/>
    <s v="모바일(대)도구/유틸리티(중)"/>
    <s v="m.app"/>
    <s v="애드몹"/>
    <s v="25"/>
    <s v="03"/>
    <s v="25.03.05"/>
    <s v="25.03.05"/>
    <n v="133"/>
  </r>
  <r>
    <s v="애드몹"/>
    <s v="리서치애드"/>
    <s v="호식이두마리치킨"/>
    <x v="15"/>
    <s v="서비스"/>
    <s v="음식/조리"/>
    <s v="기타 프렌차이즈점"/>
    <s v="Speed Alarm"/>
    <s v="모바일(대)도구/유틸리티(중)"/>
    <s v="m.app"/>
    <s v="애드몹"/>
    <s v="25"/>
    <s v="03"/>
    <s v="25.03.28"/>
    <s v="25.03.30"/>
    <n v="399"/>
  </r>
  <r>
    <s v="애드몹"/>
    <s v="리서치애드"/>
    <s v="호식이두마리치킨"/>
    <x v="15"/>
    <s v="서비스"/>
    <s v="음식/조리"/>
    <s v="기타 프렌차이즈점"/>
    <s v="Speed Alarm"/>
    <s v="모바일(대)도구/유틸리티(중)"/>
    <s v="m.app"/>
    <s v="애드몹"/>
    <s v="25"/>
    <s v="03"/>
    <s v="25.03.31"/>
    <s v="25.03.31"/>
    <n v="133"/>
  </r>
  <r>
    <s v="애드몹"/>
    <s v="리서치애드"/>
    <s v="호식이두마리치킨"/>
    <x v="15"/>
    <s v="서비스"/>
    <s v="음식/조리"/>
    <s v="기타 프렌차이즈점"/>
    <s v="Speed Alarm"/>
    <s v="모바일(대)도구/유틸리티(중)"/>
    <s v="m.app"/>
    <s v="애드몹"/>
    <s v="25"/>
    <s v="04"/>
    <s v="25.04.01"/>
    <s v="25.04.01"/>
    <n v="133"/>
  </r>
  <r>
    <s v="애드몹"/>
    <s v="리서치애드"/>
    <s v="호식이두마리치킨"/>
    <x v="15"/>
    <s v="서비스"/>
    <s v="음식/조리"/>
    <s v="기타 프렌차이즈점"/>
    <s v="Speed Alarm"/>
    <s v="모바일(대)도구/유틸리티(중)"/>
    <s v="m.app"/>
    <s v="애드몹"/>
    <s v="25"/>
    <s v="04"/>
    <s v="25.04.26"/>
    <s v="25.04.27"/>
    <n v="266"/>
  </r>
  <r>
    <s v="애드몹"/>
    <s v="리서치애드"/>
    <s v="호식이두마리치킨"/>
    <x v="15"/>
    <s v="서비스"/>
    <s v="음식/조리"/>
    <s v="기타 프렌차이즈점"/>
    <s v="부부의 장난 2"/>
    <s v="엔터테인먼트(대)게임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부부의장난"/>
    <s v="엔터테인먼트(대)게임(중)"/>
    <s v="m.app"/>
    <s v="애드몹"/>
    <s v="25"/>
    <s v="01"/>
    <s v="25.01.12"/>
    <s v="25.01.12"/>
    <n v="93"/>
  </r>
  <r>
    <s v="애드몹"/>
    <s v="리서치애드"/>
    <s v="호식이두마리치킨"/>
    <x v="15"/>
    <s v="서비스"/>
    <s v="음식/조리"/>
    <s v="기타 프렌차이즈점"/>
    <s v="전국CCTV지도"/>
    <s v="생활정보(대)생활정보 기타(중)"/>
    <s v="m.app"/>
    <s v="애드몹"/>
    <s v="25"/>
    <s v="05"/>
    <s v="25.05.29"/>
    <s v="25.05.30"/>
    <n v="294"/>
  </r>
  <r>
    <s v="언론사"/>
    <s v="리서치애드"/>
    <s v="노랑푸드노랑통닭"/>
    <x v="33"/>
    <s v="서비스"/>
    <s v="음식/조리"/>
    <s v="기타 프렌차이즈점"/>
    <s v="donga.com"/>
    <s v="신문/잡지(대)종합일간지(중)"/>
    <s v="m.web"/>
    <s v="-"/>
    <s v="25"/>
    <s v="01"/>
    <s v="25.01.24"/>
    <s v="25.01.24"/>
    <n v="103"/>
  </r>
  <r>
    <s v="애드몹"/>
    <s v="리서치애드"/>
    <s v="노랑푸드노랑통닭"/>
    <x v="33"/>
    <s v="서비스"/>
    <s v="음식/조리"/>
    <s v="기타 프렌차이즈점"/>
    <s v="donga.com"/>
    <s v="신문/잡지(대)종합일간지(중)"/>
    <s v="m.web"/>
    <s v="애드몹"/>
    <s v="25"/>
    <s v="05"/>
    <s v="25.05.01"/>
    <s v="25.05.01"/>
    <n v="252"/>
  </r>
  <r>
    <s v="언론사"/>
    <s v="리서치애드"/>
    <s v="노랑푸드노랑통닭"/>
    <x v="33"/>
    <s v="서비스"/>
    <s v="음식/조리"/>
    <s v="기타 프렌차이즈점"/>
    <s v="hankooki.com"/>
    <s v="신문/잡지(대)종합일간지(중)"/>
    <s v="m.web"/>
    <s v="-"/>
    <s v="25"/>
    <s v="01"/>
    <s v="25.01.14"/>
    <s v="25.01.19"/>
    <n v="620"/>
  </r>
  <r>
    <s v="언론사"/>
    <s v="리서치애드"/>
    <s v="노랑푸드노랑통닭"/>
    <x v="33"/>
    <s v="서비스"/>
    <s v="음식/조리"/>
    <s v="기타 프렌차이즈점"/>
    <s v="hankooki.com"/>
    <s v="신문/잡지(대)종합일간지(중)"/>
    <s v="m.web"/>
    <s v="-"/>
    <s v="25"/>
    <s v="01"/>
    <s v="25.01.17"/>
    <s v="25.01.17"/>
    <n v="103"/>
  </r>
  <r>
    <s v="언론사"/>
    <s v="리서치애드"/>
    <s v="노랑푸드노랑통닭"/>
    <x v="33"/>
    <s v="서비스"/>
    <s v="음식/조리"/>
    <s v="기타 프렌차이즈점"/>
    <s v="hankooki.com"/>
    <s v="신문/잡지(대)종합일간지(중)"/>
    <s v="m.web"/>
    <s v="-"/>
    <s v="25"/>
    <s v="01"/>
    <s v="25.01.21"/>
    <s v="25.01.21"/>
    <n v="103"/>
  </r>
  <r>
    <s v="언론사"/>
    <s v="리서치애드"/>
    <s v="노랑푸드노랑통닭"/>
    <x v="33"/>
    <s v="서비스"/>
    <s v="음식/조리"/>
    <s v="기타 프렌차이즈점"/>
    <s v="hankooki.com"/>
    <s v="신문/잡지(대)종합일간지(중)"/>
    <s v="m.web"/>
    <s v="-"/>
    <s v="25"/>
    <s v="02"/>
    <s v="25.02.15"/>
    <s v="25.02.16"/>
    <n v="207"/>
  </r>
  <r>
    <s v="언론사"/>
    <s v="리서치애드"/>
    <s v="노랑푸드노랑통닭"/>
    <x v="33"/>
    <s v="서비스"/>
    <s v="음식/조리"/>
    <s v="기타 프렌차이즈점"/>
    <s v="hankooki.com"/>
    <s v="신문/잡지(대)종합일간지(중)"/>
    <s v="m.web"/>
    <s v="-"/>
    <s v="25"/>
    <s v="02"/>
    <s v="25.02.22"/>
    <s v="25.02.22"/>
    <n v="103"/>
  </r>
  <r>
    <s v="언론사"/>
    <s v="리서치애드"/>
    <s v="노랑푸드노랑통닭"/>
    <x v="33"/>
    <s v="서비스"/>
    <s v="음식/조리"/>
    <s v="기타 프렌차이즈점"/>
    <s v="hankooki.com"/>
    <s v="신문/잡지(대)종합일간지(중)"/>
    <s v="m.web"/>
    <s v="-"/>
    <s v="25"/>
    <s v="02"/>
    <s v="25.02.25"/>
    <s v="25.02.25"/>
    <n v="103"/>
  </r>
  <r>
    <s v="언론사"/>
    <s v="리서치애드"/>
    <s v="노랑푸드노랑통닭"/>
    <x v="33"/>
    <s v="서비스"/>
    <s v="음식/조리"/>
    <s v="기타 프렌차이즈점"/>
    <s v="hani.co.kr"/>
    <s v="신문/잡지(대)종합일간지(중)"/>
    <s v="m.web"/>
    <s v="-"/>
    <s v="25"/>
    <s v="01"/>
    <s v="25.01.14"/>
    <s v="25.01.14"/>
    <n v="103"/>
  </r>
  <r>
    <s v="언론사"/>
    <s v="리서치애드"/>
    <s v="노랑푸드노랑통닭"/>
    <x v="33"/>
    <s v="서비스"/>
    <s v="음식/조리"/>
    <s v="기타 프렌차이즈점"/>
    <s v="hani.co.kr"/>
    <s v="신문/잡지(대)종합일간지(중)"/>
    <s v="m.web"/>
    <s v="-"/>
    <s v="25"/>
    <s v="02"/>
    <s v="25.02.24"/>
    <s v="25.02.24"/>
    <n v="103"/>
  </r>
  <r>
    <s v="언론사"/>
    <s v="리서치애드"/>
    <s v="노랑푸드노랑통닭"/>
    <x v="33"/>
    <s v="서비스"/>
    <s v="음식/조리"/>
    <s v="기타 프렌차이즈점"/>
    <s v="hani.co.kr"/>
    <s v="신문/잡지(대)종합일간지(중)"/>
    <s v="m.web"/>
    <s v="-"/>
    <s v="25"/>
    <s v="02"/>
    <s v="25.02.25"/>
    <s v="25.02.25"/>
    <n v="103"/>
  </r>
  <r>
    <s v="언론사"/>
    <s v="리서치애드"/>
    <s v="노랑푸드노랑통닭"/>
    <x v="33"/>
    <s v="서비스"/>
    <s v="음식/조리"/>
    <s v="기타 프렌차이즈점"/>
    <s v="ohmynews.com"/>
    <s v="신문/잡지(대)온라인뉴스(중)"/>
    <s v="m.web"/>
    <s v="-"/>
    <s v="25"/>
    <s v="02"/>
    <s v="25.02.17"/>
    <s v="25.02.17"/>
    <n v="103"/>
  </r>
  <r>
    <s v="오픈마켓"/>
    <s v="리서치애드"/>
    <s v="노랑푸드노랑통닭"/>
    <x v="33"/>
    <s v="서비스"/>
    <s v="음식/조리"/>
    <s v="기타 프렌차이즈점"/>
    <s v="dcinside.com"/>
    <s v="생활정보(대)쇼핑/가격정보(중)"/>
    <s v="m.web"/>
    <s v="-"/>
    <s v="25"/>
    <s v="02"/>
    <s v="25.02.23"/>
    <s v="25.02.23"/>
    <n v="103"/>
  </r>
  <r>
    <s v="언론사"/>
    <s v="리서치애드"/>
    <s v="노랑푸드노랑통닭"/>
    <x v="33"/>
    <s v="서비스"/>
    <s v="음식/조리"/>
    <s v="기타 프렌차이즈점"/>
    <s v="khan.co.kr"/>
    <s v="신문/잡지(대)종합일간지(중)"/>
    <s v="m.web"/>
    <s v="-"/>
    <s v="25"/>
    <s v="01"/>
    <s v="25.01.21"/>
    <s v="25.01.23"/>
    <n v="310"/>
  </r>
  <r>
    <s v="언론사"/>
    <s v="리서치애드"/>
    <s v="노랑푸드노랑통닭"/>
    <x v="33"/>
    <s v="서비스"/>
    <s v="음식/조리"/>
    <s v="기타 프렌차이즈점"/>
    <s v="khan.co.kr"/>
    <s v="신문/잡지(대)종합일간지(중)"/>
    <s v="m.web"/>
    <s v="-"/>
    <s v="25"/>
    <s v="02"/>
    <s v="25.02.20"/>
    <s v="25.02.20"/>
    <n v="103"/>
  </r>
  <r>
    <s v="언론사"/>
    <s v="리서치애드"/>
    <s v="노랑푸드노랑통닭"/>
    <x v="33"/>
    <s v="서비스"/>
    <s v="음식/조리"/>
    <s v="기타 프렌차이즈점"/>
    <s v="khan.co.kr"/>
    <s v="신문/잡지(대)종합일간지(중)"/>
    <s v="m.web"/>
    <s v="-"/>
    <s v="25"/>
    <s v="02"/>
    <s v="25.02.21"/>
    <s v="25.02.21"/>
    <n v="103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1"/>
    <s v="25.01.22"/>
    <s v="25.01.22"/>
    <n v="103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1"/>
    <s v="25.01.23"/>
    <s v="25.01.23"/>
    <n v="103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1"/>
    <s v="25.01.30"/>
    <s v="25.01.30"/>
    <n v="103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2"/>
    <s v="25.02.12"/>
    <s v="25.02.15"/>
    <n v="413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2"/>
    <s v="25.02.14"/>
    <s v="25.02.16"/>
    <n v="310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2"/>
    <s v="25.02.21"/>
    <s v="25.02.23"/>
    <n v="310"/>
  </r>
  <r>
    <s v="언론사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-"/>
    <s v="25"/>
    <s v="02"/>
    <s v="25.02.24"/>
    <s v="25.02.24"/>
    <n v="103"/>
  </r>
  <r>
    <s v="애드몹"/>
    <s v="리서치애드"/>
    <s v="노랑푸드노랑통닭"/>
    <x v="33"/>
    <s v="서비스"/>
    <s v="음식/조리"/>
    <s v="기타 프렌차이즈점"/>
    <s v="seoul.co.kr"/>
    <s v="신문/잡지(대)종합일간지(중)"/>
    <s v="m.web"/>
    <s v="애드몹"/>
    <s v="25"/>
    <s v="05"/>
    <s v="25.05.26"/>
    <s v="25.05.26"/>
    <n v="504"/>
  </r>
  <r>
    <s v="언론사"/>
    <s v="리서치애드"/>
    <s v="노랑푸드노랑통닭"/>
    <x v="33"/>
    <s v="서비스"/>
    <s v="음식/조리"/>
    <s v="기타 프렌차이즈점"/>
    <s v="zdnet.co.kr"/>
    <s v="신문/잡지(대)IT관련 뉴스(중)"/>
    <s v="m.web"/>
    <s v="-"/>
    <s v="25"/>
    <s v="01"/>
    <s v="25.01.20"/>
    <s v="25.01.20"/>
    <n v="205"/>
  </r>
  <r>
    <s v="언론사"/>
    <s v="리서치애드"/>
    <s v="노랑푸드노랑통닭"/>
    <x v="33"/>
    <s v="서비스"/>
    <s v="음식/조리"/>
    <s v="기타 프렌차이즈점"/>
    <s v="mt.co.kr"/>
    <s v="신문/잡지(대)경제신문(중)"/>
    <s v="m.web"/>
    <s v="-"/>
    <s v="25"/>
    <s v="02"/>
    <s v="25.02.23"/>
    <s v="25.02.23"/>
    <n v="66"/>
  </r>
  <r>
    <s v="언론사"/>
    <s v="리서치애드"/>
    <s v="노랑푸드노랑통닭"/>
    <x v="33"/>
    <s v="서비스"/>
    <s v="음식/조리"/>
    <s v="기타 프렌차이즈점"/>
    <s v="mt.co.kr"/>
    <s v="신문/잡지(대)경제신문(중)"/>
    <s v="m.web"/>
    <s v="-"/>
    <s v="25"/>
    <s v="02"/>
    <s v="25.02.25"/>
    <s v="25.02.25"/>
    <n v="66"/>
  </r>
  <r>
    <s v="언론사"/>
    <s v="리서치애드"/>
    <s v="노랑푸드노랑통닭"/>
    <x v="33"/>
    <s v="서비스"/>
    <s v="음식/조리"/>
    <s v="기타 프렌차이즈점"/>
    <s v="ytn.co.kr"/>
    <s v="방송(대)케이블/위성방송(중)"/>
    <s v="m.web"/>
    <s v="-"/>
    <s v="25"/>
    <s v="02"/>
    <s v="25.02.26"/>
    <s v="25.02.26"/>
    <n v="103"/>
  </r>
  <r>
    <s v="애드몹"/>
    <s v="리서치애드"/>
    <s v="노랑푸드노랑통닭"/>
    <x v="33"/>
    <s v="서비스"/>
    <s v="음식/조리"/>
    <s v="기타 프렌차이즈점"/>
    <s v="kbs.co.kr"/>
    <s v="방송(대)방송국(중)"/>
    <s v="m.web"/>
    <s v="애드몹"/>
    <s v="25"/>
    <s v="05"/>
    <s v="25.05.10"/>
    <s v="25.05.10"/>
    <n v="499"/>
  </r>
  <r>
    <s v="카카오광고"/>
    <s v="리서치애드"/>
    <s v="노랑푸드노랑통닭"/>
    <x v="33"/>
    <s v="서비스"/>
    <s v="음식/조리"/>
    <s v="기타 프렌차이즈점"/>
    <s v="카카오톡"/>
    <s v="커뮤니케이션(대)채팅/메신저(중)"/>
    <s v="m.app"/>
    <s v="카카오광고"/>
    <s v="25"/>
    <s v="02"/>
    <s v="25.02.26"/>
    <s v="25.02.28"/>
    <n v="17684"/>
  </r>
  <r>
    <s v="카카오광고"/>
    <s v="리서치애드"/>
    <s v="노랑푸드노랑통닭"/>
    <x v="33"/>
    <s v="서비스"/>
    <s v="음식/조리"/>
    <s v="기타 프렌차이즈점"/>
    <s v="카카오톡"/>
    <s v="커뮤니케이션(대)채팅/메신저(중)"/>
    <s v="m.app"/>
    <s v="카카오광고"/>
    <s v="25"/>
    <s v="03"/>
    <s v="25.03.01"/>
    <s v="25.03.02"/>
    <n v="13866"/>
  </r>
  <r>
    <s v="애드몹"/>
    <s v="리서치애드"/>
    <s v="노랑푸드노랑통닭"/>
    <x v="33"/>
    <s v="서비스"/>
    <s v="음식/조리"/>
    <s v="기타 프렌차이즈점"/>
    <s v="한붓그리기"/>
    <s v="엔터테인먼트(대)게임(중)"/>
    <s v="m.app"/>
    <s v="애드몹"/>
    <s v="25"/>
    <s v="01"/>
    <s v="25.01.15"/>
    <s v="25.01.15"/>
    <n v="93"/>
  </r>
  <r>
    <s v="애드몹"/>
    <s v="리서치애드"/>
    <s v="노랑푸드노랑통닭"/>
    <x v="33"/>
    <s v="서비스"/>
    <s v="음식/조리"/>
    <s v="기타 프렌차이즈점"/>
    <s v="진통측정기"/>
    <s v="생활정보(대)여성/육아(중)"/>
    <s v="m.app"/>
    <s v="애드몹"/>
    <s v="25"/>
    <s v="01"/>
    <s v="25.01.16"/>
    <s v="25.01.16"/>
    <n v="93"/>
  </r>
  <r>
    <s v="와이더플래닛"/>
    <s v="리서치애드"/>
    <s v="노랑푸드노랑통닭"/>
    <x v="33"/>
    <s v="서비스"/>
    <s v="음식/조리"/>
    <s v="기타 프렌차이즈점"/>
    <s v="칼로리 다이어트"/>
    <s v="모바일(대)라이프스타일(중)"/>
    <s v="m.app"/>
    <s v="와이더플래닛"/>
    <s v="25"/>
    <s v="05"/>
    <s v="25.05.31"/>
    <s v="25.05.31"/>
    <n v="6734"/>
  </r>
  <r>
    <s v="애드몹"/>
    <s v="리서치애드"/>
    <s v="노랑푸드노랑통닭"/>
    <x v="33"/>
    <s v="서비스"/>
    <s v="음식/조리"/>
    <s v="기타 프렌차이즈점"/>
    <s v="mydaily.co.kr"/>
    <s v="신문/잡지(대)온라인뉴스(중)"/>
    <s v="m.web"/>
    <s v="애드몹"/>
    <s v="25"/>
    <s v="05"/>
    <s v="25.05.19"/>
    <s v="25.05.19"/>
    <n v="160"/>
  </r>
  <r>
    <s v="애드몹"/>
    <s v="리서치애드"/>
    <s v="노랑푸드노랑통닭"/>
    <x v="33"/>
    <s v="서비스"/>
    <s v="음식/조리"/>
    <s v="기타 프렌차이즈점"/>
    <s v="moneta.co.kr"/>
    <s v="금융/비즈니스(대)금융정보(중)"/>
    <s v="m.web"/>
    <s v="애드몹"/>
    <s v="25"/>
    <s v="01"/>
    <s v="25.01.15"/>
    <s v="25.01.15"/>
    <n v="101"/>
  </r>
  <r>
    <s v="와이더플래닛"/>
    <s v="리서치애드"/>
    <s v="노랑푸드노랑통닭"/>
    <x v="33"/>
    <s v="서비스"/>
    <s v="음식/조리"/>
    <s v="기타 프렌차이즈점"/>
    <s v="Draw Joust"/>
    <s v="엔터테인먼트(대)게임(중)"/>
    <s v="m.app"/>
    <s v="와이더플래닛"/>
    <s v="25"/>
    <s v="06"/>
    <s v="25.06.28"/>
    <s v="25.06.28"/>
    <n v="6734"/>
  </r>
  <r>
    <s v="애드몹"/>
    <s v="리서치애드"/>
    <s v="노랑푸드노랑통닭"/>
    <x v="33"/>
    <s v="서비스"/>
    <s v="음식/조리"/>
    <s v="기타 프렌차이즈점"/>
    <s v="진주에가면"/>
    <s v="생활정보(대)생활정보 기타(중)"/>
    <s v="m.app"/>
    <s v="애드몹"/>
    <s v="25"/>
    <s v="01"/>
    <s v="25.01.18"/>
    <s v="25.01.18"/>
    <n v="93"/>
  </r>
  <r>
    <s v="애드몹"/>
    <s v="리서치애드"/>
    <s v="노랑푸드노랑통닭"/>
    <x v="33"/>
    <s v="서비스"/>
    <s v="음식/조리"/>
    <s v="기타 프렌차이즈점"/>
    <s v="AllTourmap"/>
    <s v="생활정보(대)생활정보 기타(중)"/>
    <s v="m.app"/>
    <s v="애드몹"/>
    <s v="25"/>
    <s v="01"/>
    <s v="25.01.18"/>
    <s v="25.01.18"/>
    <n v="93"/>
  </r>
  <r>
    <s v="언론사"/>
    <s v="리서치애드"/>
    <s v="노랑푸드노랑통닭"/>
    <x v="33"/>
    <s v="서비스"/>
    <s v="음식/조리"/>
    <s v="기타 프렌차이즈점"/>
    <s v="isplus.com"/>
    <s v="신문/잡지(대)스포츠신문(중)"/>
    <s v="m.web"/>
    <s v="-"/>
    <s v="25"/>
    <s v="01"/>
    <s v="25.01.19"/>
    <s v="25.01.19"/>
    <n v="99"/>
  </r>
  <r>
    <s v="언론사"/>
    <s v="리서치애드"/>
    <s v="노랑푸드노랑통닭"/>
    <x v="33"/>
    <s v="서비스"/>
    <s v="음식/조리"/>
    <s v="기타 프렌차이즈점"/>
    <s v="isplus.com"/>
    <s v="신문/잡지(대)스포츠신문(중)"/>
    <s v="m.web"/>
    <s v="-"/>
    <s v="25"/>
    <s v="02"/>
    <s v="25.02.16"/>
    <s v="25.02.16"/>
    <n v="99"/>
  </r>
  <r>
    <s v="와이더플래닛"/>
    <s v="리서치애드"/>
    <s v="노랑푸드노랑통닭"/>
    <x v="33"/>
    <s v="서비스"/>
    <s v="음식/조리"/>
    <s v="기타 프렌차이즈점"/>
    <s v="????대한특보"/>
    <s v="신문/잡지(대)온라인뉴스(중)"/>
    <s v="m.app"/>
    <s v="와이더플래닛"/>
    <s v="25"/>
    <s v="05"/>
    <s v="25.05.20"/>
    <s v="25.05.21"/>
    <n v="13468"/>
  </r>
  <r>
    <s v="와이더플래닛"/>
    <s v="리서치애드"/>
    <s v="노랑푸드노랑통닭"/>
    <x v="33"/>
    <s v="서비스"/>
    <s v="음식/조리"/>
    <s v="기타 프렌차이즈점"/>
    <s v="낱말퀴즈"/>
    <s v="모바일(대)엔터테인먼트(중)"/>
    <s v="m.app"/>
    <s v="와이더플래닛"/>
    <s v="25"/>
    <s v="06"/>
    <s v="25.06.15"/>
    <s v="25.06.15"/>
    <n v="6734"/>
  </r>
  <r>
    <s v="애드몹"/>
    <s v="리서치애드"/>
    <s v="노랑푸드노랑통닭"/>
    <x v="33"/>
    <s v="서비스"/>
    <s v="음식/조리"/>
    <s v="기타 프렌차이즈점"/>
    <s v="Divineko"/>
    <s v="엔터테인먼트(대)게임(중)"/>
    <s v="m.app"/>
    <s v="애드몹"/>
    <s v="25"/>
    <s v="01"/>
    <s v="25.01.15"/>
    <s v="25.01.15"/>
    <n v="93"/>
  </r>
  <r>
    <s v="애드몹"/>
    <s v="리서치애드"/>
    <s v="노랑푸드노랑통닭"/>
    <x v="33"/>
    <s v="서비스"/>
    <s v="음식/조리"/>
    <s v="기타 프렌차이즈점"/>
    <s v="편의점 퀴즈"/>
    <s v="엔터테인먼트(대)게임(중)"/>
    <s v="m.app"/>
    <s v="애드몹"/>
    <s v="25"/>
    <s v="01"/>
    <s v="25.01.14"/>
    <s v="25.01.14"/>
    <n v="93"/>
  </r>
  <r>
    <s v="포털"/>
    <s v="리서치애드"/>
    <s v="티지와이"/>
    <x v="34"/>
    <s v="서비스"/>
    <s v="음식/조리"/>
    <s v="기타 프렌차이즈점"/>
    <s v="naver.com"/>
    <s v="포털(대)포털(중)"/>
    <s v="m.web"/>
    <s v="-"/>
    <s v="25"/>
    <s v="01"/>
    <s v="25.01.01"/>
    <s v="25.01.02"/>
    <n v="4810"/>
  </r>
  <r>
    <s v="포털"/>
    <s v="리서치애드"/>
    <s v="티지와이"/>
    <x v="34"/>
    <s v="서비스"/>
    <s v="음식/조리"/>
    <s v="기타 프렌차이즈점"/>
    <s v="naver.com"/>
    <s v="포털(대)포털(중)"/>
    <s v="m.web"/>
    <s v="-"/>
    <s v="25"/>
    <s v="01"/>
    <s v="25.01.03"/>
    <s v="25.01.05"/>
    <n v="7215"/>
  </r>
  <r>
    <s v="포털"/>
    <s v="리서치애드"/>
    <s v="티지와이"/>
    <x v="34"/>
    <s v="서비스"/>
    <s v="음식/조리"/>
    <s v="기타 프렌차이즈점"/>
    <s v="naver.com"/>
    <s v="포털(대)포털(중)"/>
    <s v="m.web"/>
    <s v="-"/>
    <s v="25"/>
    <s v="01"/>
    <s v="25.01.06"/>
    <s v="25.01.06"/>
    <n v="2405"/>
  </r>
  <r>
    <s v="Dable"/>
    <s v="리서치애드"/>
    <s v="티지와이"/>
    <x v="34"/>
    <s v="서비스"/>
    <s v="음식/조리"/>
    <s v="기타 프렌차이즈점"/>
    <s v="nate.com"/>
    <s v="포털(대)포털(중)"/>
    <s v="m.web"/>
    <s v="Dable"/>
    <s v="25"/>
    <s v="04"/>
    <s v="25.04.04"/>
    <s v="25.04.04"/>
    <n v="157"/>
  </r>
  <r>
    <s v="Dable"/>
    <s v="리서치애드"/>
    <s v="티지와이"/>
    <x v="34"/>
    <s v="서비스"/>
    <s v="음식/조리"/>
    <s v="기타 프렌차이즈점"/>
    <s v="chosun.com"/>
    <s v="신문/잡지(대)종합일간지(중)"/>
    <s v="m.web"/>
    <s v="Dable"/>
    <s v="25"/>
    <s v="04"/>
    <s v="25.04.05"/>
    <s v="25.04.05"/>
    <n v="33"/>
  </r>
  <r>
    <s v="Dable"/>
    <s v="리서치애드"/>
    <s v="티지와이"/>
    <x v="34"/>
    <s v="서비스"/>
    <s v="음식/조리"/>
    <s v="기타 프렌차이즈점"/>
    <s v="chosun.com"/>
    <s v="신문/잡지(대)종합일간지(중)"/>
    <s v="m.web"/>
    <s v="Dable"/>
    <s v="25"/>
    <s v="04"/>
    <s v="25.04.07"/>
    <s v="25.04.09"/>
    <n v="100"/>
  </r>
  <r>
    <s v="Dable"/>
    <s v="리서치애드"/>
    <s v="티지와이"/>
    <x v="34"/>
    <s v="서비스"/>
    <s v="음식/조리"/>
    <s v="기타 프렌차이즈점"/>
    <s v="chosun.com"/>
    <s v="신문/잡지(대)종합일간지(중)"/>
    <s v="m.web"/>
    <s v="Dable"/>
    <s v="25"/>
    <s v="04"/>
    <s v="25.04.08"/>
    <s v="25.04.08"/>
    <n v="33"/>
  </r>
  <r>
    <s v="Dable"/>
    <s v="리서치애드"/>
    <s v="티지와이"/>
    <x v="34"/>
    <s v="서비스"/>
    <s v="음식/조리"/>
    <s v="기타 프렌차이즈점"/>
    <s v="sbs.co.kr"/>
    <s v="방송(대)방송국(중)"/>
    <s v="m.web"/>
    <s v="Dable"/>
    <s v="25"/>
    <s v="04"/>
    <s v="25.04.04"/>
    <s v="25.04.04"/>
    <n v="66"/>
  </r>
  <r>
    <s v="Dable"/>
    <s v="리서치애드"/>
    <s v="티지와이"/>
    <x v="34"/>
    <s v="서비스"/>
    <s v="음식/조리"/>
    <s v="기타 프렌차이즈점"/>
    <s v="sportsseoul.com"/>
    <s v="신문/잡지(대)스포츠신문(중)"/>
    <s v="m.web"/>
    <s v="Dable"/>
    <s v="25"/>
    <s v="04"/>
    <s v="25.04.04"/>
    <s v="25.04.05"/>
    <n v="201"/>
  </r>
  <r>
    <s v="Dable"/>
    <s v="리서치애드"/>
    <s v="티지와이"/>
    <x v="34"/>
    <s v="서비스"/>
    <s v="음식/조리"/>
    <s v="기타 프렌차이즈점"/>
    <s v="sportsseoul.com"/>
    <s v="신문/잡지(대)스포츠신문(중)"/>
    <s v="m.web"/>
    <s v="Dable"/>
    <s v="25"/>
    <s v="04"/>
    <s v="25.04.07"/>
    <s v="25.04.09"/>
    <n v="100"/>
  </r>
  <r>
    <s v="Dable"/>
    <s v="리서치애드"/>
    <s v="티지와이"/>
    <x v="34"/>
    <s v="서비스"/>
    <s v="음식/조리"/>
    <s v="기타 프렌차이즈점"/>
    <s v="sportsseoul.com"/>
    <s v="신문/잡지(대)스포츠신문(중)"/>
    <s v="m.web"/>
    <s v="Dable"/>
    <s v="25"/>
    <s v="04"/>
    <s v="25.04.08"/>
    <s v="25.04.08"/>
    <n v="33"/>
  </r>
  <r>
    <s v="Dable"/>
    <s v="리서치애드"/>
    <s v="티지와이"/>
    <x v="34"/>
    <s v="서비스"/>
    <s v="음식/조리"/>
    <s v="기타 프렌차이즈점"/>
    <s v="donga.com"/>
    <s v="신문/잡지(대)종합일간지(중)"/>
    <s v="m.web"/>
    <s v="Dable"/>
    <s v="25"/>
    <s v="04"/>
    <s v="25.04.04"/>
    <s v="25.04.04"/>
    <n v="33"/>
  </r>
  <r>
    <s v="Dable"/>
    <s v="리서치애드"/>
    <s v="티지와이"/>
    <x v="34"/>
    <s v="서비스"/>
    <s v="음식/조리"/>
    <s v="기타 프렌차이즈점"/>
    <s v="hani.co.kr"/>
    <s v="신문/잡지(대)종합일간지(중)"/>
    <s v="m.web"/>
    <s v="Dable"/>
    <s v="25"/>
    <s v="04"/>
    <s v="25.04.07"/>
    <s v="25.04.08"/>
    <n v="67"/>
  </r>
  <r>
    <s v="Dable"/>
    <s v="리서치애드"/>
    <s v="티지와이"/>
    <x v="34"/>
    <s v="서비스"/>
    <s v="음식/조리"/>
    <s v="기타 프렌차이즈점"/>
    <s v="ohmynews.com"/>
    <s v="신문/잡지(대)온라인뉴스(중)"/>
    <s v="m.web"/>
    <s v="Dable"/>
    <s v="25"/>
    <s v="04"/>
    <s v="25.04.05"/>
    <s v="25.04.05"/>
    <n v="33"/>
  </r>
  <r>
    <s v="Dable"/>
    <s v="리서치애드"/>
    <s v="티지와이"/>
    <x v="34"/>
    <s v="서비스"/>
    <s v="음식/조리"/>
    <s v="기타 프렌차이즈점"/>
    <s v="yna.co.kr"/>
    <s v="신문/잡지(대)온라인뉴스(중)"/>
    <s v="m.web"/>
    <s v="Dable"/>
    <s v="25"/>
    <s v="04"/>
    <s v="25.04.04"/>
    <s v="25.04.05"/>
    <n v="63"/>
  </r>
  <r>
    <s v="Dable"/>
    <s v="리서치애드"/>
    <s v="티지와이"/>
    <x v="34"/>
    <s v="서비스"/>
    <s v="음식/조리"/>
    <s v="기타 프렌차이즈점"/>
    <s v="khan.co.kr"/>
    <s v="신문/잡지(대)종합일간지(중)"/>
    <s v="m.web"/>
    <s v="Dable"/>
    <s v="25"/>
    <s v="04"/>
    <s v="25.04.03"/>
    <s v="25.04.03"/>
    <n v="33"/>
  </r>
  <r>
    <s v="Dable"/>
    <s v="리서치애드"/>
    <s v="티지와이"/>
    <x v="34"/>
    <s v="서비스"/>
    <s v="음식/조리"/>
    <s v="기타 프렌차이즈점"/>
    <s v="khan.co.kr"/>
    <s v="신문/잡지(대)종합일간지(중)"/>
    <s v="m.web"/>
    <s v="Dable"/>
    <s v="25"/>
    <s v="04"/>
    <s v="25.04.07"/>
    <s v="25.04.09"/>
    <n v="100"/>
  </r>
  <r>
    <s v="Dable"/>
    <s v="리서치애드"/>
    <s v="티지와이"/>
    <x v="34"/>
    <s v="서비스"/>
    <s v="음식/조리"/>
    <s v="기타 프렌차이즈점"/>
    <s v="khan.co.kr"/>
    <s v="신문/잡지(대)종합일간지(중)"/>
    <s v="m.web"/>
    <s v="Dable"/>
    <s v="25"/>
    <s v="04"/>
    <s v="25.04.08"/>
    <s v="25.04.08"/>
    <n v="33"/>
  </r>
  <r>
    <s v="Dable"/>
    <s v="리서치애드"/>
    <s v="티지와이"/>
    <x v="34"/>
    <s v="서비스"/>
    <s v="음식/조리"/>
    <s v="기타 프렌차이즈점"/>
    <s v="kmib.co.kr"/>
    <s v="신문/잡지(대)종합일간지(중)"/>
    <s v="m.web"/>
    <s v="Dable"/>
    <s v="25"/>
    <s v="04"/>
    <s v="25.04.04"/>
    <s v="25.04.05"/>
    <n v="63"/>
  </r>
  <r>
    <s v="Dable"/>
    <s v="리서치애드"/>
    <s v="티지와이"/>
    <x v="34"/>
    <s v="서비스"/>
    <s v="음식/조리"/>
    <s v="기타 프렌차이즈점"/>
    <s v="kmib.co.kr"/>
    <s v="신문/잡지(대)종합일간지(중)"/>
    <s v="m.web"/>
    <s v="Dable"/>
    <s v="25"/>
    <s v="04"/>
    <s v="25.04.07"/>
    <s v="25.04.07"/>
    <n v="31"/>
  </r>
  <r>
    <s v="Dable"/>
    <s v="리서치애드"/>
    <s v="티지와이"/>
    <x v="34"/>
    <s v="서비스"/>
    <s v="음식/조리"/>
    <s v="기타 프렌차이즈점"/>
    <s v="zdnet.co.kr"/>
    <s v="신문/잡지(대)IT관련 뉴스(중)"/>
    <s v="m.web"/>
    <s v="Dable"/>
    <s v="25"/>
    <s v="04"/>
    <s v="25.04.05"/>
    <s v="25.04.05"/>
    <n v="66"/>
  </r>
  <r>
    <s v="Dable"/>
    <s v="리서치애드"/>
    <s v="티지와이"/>
    <x v="34"/>
    <s v="서비스"/>
    <s v="음식/조리"/>
    <s v="기타 프렌차이즈점"/>
    <s v="ytn.co.kr"/>
    <s v="방송(대)케이블/위성방송(중)"/>
    <s v="m.web"/>
    <s v="Dable"/>
    <s v="25"/>
    <s v="04"/>
    <s v="25.04.04"/>
    <s v="25.04.06"/>
    <n v="100"/>
  </r>
  <r>
    <s v="Dable"/>
    <s v="리서치애드"/>
    <s v="티지와이"/>
    <x v="34"/>
    <s v="서비스"/>
    <s v="음식/조리"/>
    <s v="기타 프렌차이즈점"/>
    <s v="ytn.co.kr"/>
    <s v="방송(대)케이블/위성방송(중)"/>
    <s v="m.web"/>
    <s v="Dable"/>
    <s v="25"/>
    <s v="04"/>
    <s v="25.04.07"/>
    <s v="25.04.08"/>
    <n v="67"/>
  </r>
  <r>
    <s v="Dable"/>
    <s v="리서치애드"/>
    <s v="티지와이"/>
    <x v="34"/>
    <s v="서비스"/>
    <s v="음식/조리"/>
    <s v="기타 프렌차이즈점"/>
    <s v="edaily.co.kr"/>
    <s v="신문/잡지(대)신문/잡지 기타(중)"/>
    <s v="m.web"/>
    <s v="Dable"/>
    <s v="25"/>
    <s v="04"/>
    <s v="25.04.03"/>
    <s v="25.04.06"/>
    <n v="133"/>
  </r>
  <r>
    <s v="Dable"/>
    <s v="리서치애드"/>
    <s v="티지와이"/>
    <x v="34"/>
    <s v="서비스"/>
    <s v="음식/조리"/>
    <s v="기타 프렌차이즈점"/>
    <s v="edaily.co.kr"/>
    <s v="신문/잡지(대)신문/잡지 기타(중)"/>
    <s v="m.web"/>
    <s v="Dable"/>
    <s v="25"/>
    <s v="04"/>
    <s v="25.04.05"/>
    <s v="25.04.05"/>
    <n v="33"/>
  </r>
  <r>
    <s v="Dable"/>
    <s v="리서치애드"/>
    <s v="티지와이"/>
    <x v="34"/>
    <s v="서비스"/>
    <s v="음식/조리"/>
    <s v="기타 프렌차이즈점"/>
    <s v="edaily.co.kr"/>
    <s v="신문/잡지(대)신문/잡지 기타(중)"/>
    <s v="m.web"/>
    <s v="Dable"/>
    <s v="25"/>
    <s v="04"/>
    <s v="25.04.07"/>
    <s v="25.04.09"/>
    <n v="100"/>
  </r>
  <r>
    <s v="Dable"/>
    <s v="리서치애드"/>
    <s v="티지와이"/>
    <x v="34"/>
    <s v="서비스"/>
    <s v="음식/조리"/>
    <s v="기타 프렌차이즈점"/>
    <s v="dt.co.kr"/>
    <s v="신문/잡지(대)IT관련 뉴스(중)"/>
    <s v="m.web"/>
    <s v="Dable"/>
    <s v="25"/>
    <s v="04"/>
    <s v="25.04.05"/>
    <s v="25.04.05"/>
    <n v="66"/>
  </r>
  <r>
    <s v="Dable"/>
    <s v="리서치애드"/>
    <s v="티지와이"/>
    <x v="34"/>
    <s v="서비스"/>
    <s v="음식/조리"/>
    <s v="기타 프렌차이즈점"/>
    <s v="nocutnews.co.kr"/>
    <s v="신문/잡지(대)온라인뉴스(중)"/>
    <s v="m.web"/>
    <s v="Dable"/>
    <s v="25"/>
    <s v="04"/>
    <s v="25.04.04"/>
    <s v="25.04.06"/>
    <n v="200"/>
  </r>
  <r>
    <s v="Dable"/>
    <s v="리서치애드"/>
    <s v="티지와이"/>
    <x v="34"/>
    <s v="서비스"/>
    <s v="음식/조리"/>
    <s v="기타 프렌차이즈점"/>
    <s v="nocutnews.co.kr"/>
    <s v="신문/잡지(대)온라인뉴스(중)"/>
    <s v="m.web"/>
    <s v="Dable"/>
    <s v="25"/>
    <s v="04"/>
    <s v="25.04.07"/>
    <s v="25.04.09"/>
    <n v="300"/>
  </r>
  <r>
    <s v="Dable"/>
    <s v="리서치애드"/>
    <s v="티지와이"/>
    <x v="34"/>
    <s v="서비스"/>
    <s v="음식/조리"/>
    <s v="기타 프렌차이즈점"/>
    <s v="asiae.co.kr"/>
    <s v="신문/잡지(대)경제신문(중)"/>
    <s v="m.web"/>
    <s v="Dable"/>
    <s v="25"/>
    <s v="04"/>
    <s v="25.04.04"/>
    <s v="25.04.05"/>
    <n v="67"/>
  </r>
  <r>
    <s v="Dable"/>
    <s v="리서치애드"/>
    <s v="티지와이"/>
    <x v="34"/>
    <s v="서비스"/>
    <s v="음식/조리"/>
    <s v="기타 프렌차이즈점"/>
    <s v="asiae.co.kr"/>
    <s v="신문/잡지(대)경제신문(중)"/>
    <s v="m.web"/>
    <s v="Dable"/>
    <s v="25"/>
    <s v="04"/>
    <s v="25.04.07"/>
    <s v="25.04.09"/>
    <n v="100"/>
  </r>
  <r>
    <s v="Dable"/>
    <s v="리서치애드"/>
    <s v="티지와이"/>
    <x v="34"/>
    <s v="서비스"/>
    <s v="음식/조리"/>
    <s v="기타 프렌차이즈점"/>
    <s v="ruliweb.com"/>
    <s v="커뮤니티(대)게시판(중)"/>
    <s v="m.web"/>
    <s v="Dable"/>
    <s v="25"/>
    <s v="04"/>
    <s v="25.04.07"/>
    <s v="25.04.07"/>
    <n v="69"/>
  </r>
  <r>
    <s v="애드몹"/>
    <s v="리서치애드"/>
    <s v="티지와이"/>
    <x v="34"/>
    <s v="서비스"/>
    <s v="음식/조리"/>
    <s v="기타 프렌차이즈점"/>
    <s v="hungryapp.co.kr"/>
    <s v="엔터테인먼트(대)게임(중)"/>
    <s v="m.web"/>
    <s v="애드몹"/>
    <s v="25"/>
    <s v="04"/>
    <s v="25.04.05"/>
    <s v="25.04.05"/>
    <n v="1013"/>
  </r>
  <r>
    <s v="애드몹"/>
    <s v="리서치애드"/>
    <s v="티지와이"/>
    <x v="34"/>
    <s v="서비스"/>
    <s v="음식/조리"/>
    <s v="기타 프렌차이즈점"/>
    <s v="얼굴 바꾸기 2"/>
    <s v="모바일(대)엔터테인먼트(중)"/>
    <s v="m.app"/>
    <s v="애드몹"/>
    <s v="25"/>
    <s v="04"/>
    <s v="25.04.01"/>
    <s v="25.04.02"/>
    <n v="266"/>
  </r>
  <r>
    <s v="Dable"/>
    <s v="리서치애드"/>
    <s v="티지와이"/>
    <x v="34"/>
    <s v="서비스"/>
    <s v="음식/조리"/>
    <s v="기타 프렌차이즈점"/>
    <s v="stoo.com"/>
    <s v="신문/잡지(대)스포츠신문(중)"/>
    <s v="m.web"/>
    <s v="Dable"/>
    <s v="25"/>
    <s v="04"/>
    <s v="25.04.04"/>
    <s v="25.04.06"/>
    <n v="63"/>
  </r>
  <r>
    <s v="Dable"/>
    <s v="리서치애드"/>
    <s v="티지와이"/>
    <x v="34"/>
    <s v="서비스"/>
    <s v="음식/조리"/>
    <s v="기타 프렌차이즈점"/>
    <s v="ichannela.com"/>
    <s v="방송(대)방송기타(중)"/>
    <s v="m.web"/>
    <s v="Dable"/>
    <s v="25"/>
    <s v="04"/>
    <s v="25.04.04"/>
    <s v="25.04.04"/>
    <n v="21"/>
  </r>
  <r>
    <s v="Dable"/>
    <s v="리서치애드"/>
    <s v="티지와이"/>
    <x v="34"/>
    <s v="서비스"/>
    <s v="음식/조리"/>
    <s v="기타 프렌차이즈점"/>
    <s v="ichannela.com"/>
    <s v="방송(대)방송기타(중)"/>
    <s v="m.web"/>
    <s v="Dable"/>
    <s v="25"/>
    <s v="04"/>
    <s v="25.04.05"/>
    <s v="25.04.05"/>
    <n v="21"/>
  </r>
  <r>
    <s v="Dable"/>
    <s v="리서치애드"/>
    <s v="티지와이"/>
    <x v="34"/>
    <s v="서비스"/>
    <s v="음식/조리"/>
    <s v="기타 프렌차이즈점"/>
    <s v="tvchosun.com"/>
    <s v="방송(대)방송기타(중)"/>
    <s v="m.web"/>
    <s v="Dable"/>
    <s v="25"/>
    <s v="04"/>
    <s v="25.04.07"/>
    <s v="25.04.07"/>
    <n v="21"/>
  </r>
  <r>
    <s v="Dable"/>
    <s v="리서치애드"/>
    <s v="티지와이"/>
    <x v="34"/>
    <s v="서비스"/>
    <s v="음식/조리"/>
    <s v="기타 프렌차이즈점"/>
    <s v="tvchosun.com"/>
    <s v="방송(대)방송기타(중)"/>
    <s v="m.web"/>
    <s v="Dable"/>
    <s v="25"/>
    <s v="04"/>
    <s v="25.04.08"/>
    <s v="25.04.08"/>
    <n v="21"/>
  </r>
  <r>
    <s v="Dable"/>
    <s v="리서치애드"/>
    <s v="티지와이"/>
    <x v="34"/>
    <s v="서비스"/>
    <s v="음식/조리"/>
    <s v="기타 프렌차이즈점"/>
    <s v="newdaily.co.kr"/>
    <s v="신문/잡지(대)온라인뉴스(중)"/>
    <s v="m.web"/>
    <s v="Dable"/>
    <s v="25"/>
    <s v="04"/>
    <s v="25.04.04"/>
    <s v="25.04.04"/>
    <n v="21"/>
  </r>
  <r>
    <s v="Dable"/>
    <s v="리서치애드"/>
    <s v="티지와이"/>
    <x v="34"/>
    <s v="서비스"/>
    <s v="음식/조리"/>
    <s v="기타 프렌차이즈점"/>
    <s v="maxmovie.com"/>
    <s v="엔터테인먼트(대)영화/공연(중)"/>
    <s v="m.web"/>
    <s v="Dable"/>
    <s v="25"/>
    <s v="04"/>
    <s v="25.04.04"/>
    <s v="25.04.04"/>
    <n v="21"/>
  </r>
  <r>
    <s v="Dable"/>
    <s v="리서치애드"/>
    <s v="티지와이"/>
    <x v="34"/>
    <s v="서비스"/>
    <s v="음식/조리"/>
    <s v="기타 프렌차이즈점"/>
    <s v="maxmovie.com"/>
    <s v="엔터테인먼트(대)영화/공연(중)"/>
    <s v="m.web"/>
    <s v="Dable"/>
    <s v="25"/>
    <s v="04"/>
    <s v="25.04.05"/>
    <s v="25.04.05"/>
    <n v="21"/>
  </r>
  <r>
    <s v="애드몹"/>
    <s v="리서치애드"/>
    <s v="티지와이"/>
    <x v="34"/>
    <s v="서비스"/>
    <s v="음식/조리"/>
    <s v="기타 프렌차이즈점"/>
    <s v="음료수퀴즈"/>
    <s v="엔터테인먼트(대)게임(중)"/>
    <s v="m.app"/>
    <s v="애드몹"/>
    <s v="25"/>
    <s v="03"/>
    <s v="25.03.24"/>
    <s v="25.03.28"/>
    <n v="665"/>
  </r>
  <r>
    <s v="애드몹"/>
    <s v="리서치애드"/>
    <s v="티지와이"/>
    <x v="34"/>
    <s v="서비스"/>
    <s v="음식/조리"/>
    <s v="기타 프렌차이즈점"/>
    <s v="haeorum.com"/>
    <s v="생활정보(대)여성/육아(중)"/>
    <s v="m.web"/>
    <s v="애드몹"/>
    <s v="25"/>
    <s v="04"/>
    <s v="25.04.05"/>
    <s v="25.04.05"/>
    <n v="145"/>
  </r>
  <r>
    <s v="Dable"/>
    <s v="리서치애드"/>
    <s v="티지와이"/>
    <x v="34"/>
    <s v="서비스"/>
    <s v="음식/조리"/>
    <s v="기타 프렌차이즈점"/>
    <s v="paxnet.co.kr"/>
    <s v="금융/비즈니스(대)증권정보(중)"/>
    <s v="m.web"/>
    <s v="Dable"/>
    <s v="25"/>
    <s v="04"/>
    <s v="25.04.05"/>
    <s v="25.04.05"/>
    <n v="21"/>
  </r>
  <r>
    <s v="Dable"/>
    <s v="리서치애드"/>
    <s v="티지와이"/>
    <x v="34"/>
    <s v="서비스"/>
    <s v="음식/조리"/>
    <s v="기타 프렌차이즈점"/>
    <s v="paxnet.co.kr"/>
    <s v="금융/비즈니스(대)증권정보(중)"/>
    <s v="m.web"/>
    <s v="Dable"/>
    <s v="25"/>
    <s v="04"/>
    <s v="25.04.05"/>
    <s v="25.04.06"/>
    <n v="84"/>
  </r>
  <r>
    <s v="Dable"/>
    <s v="리서치애드"/>
    <s v="티지와이"/>
    <x v="34"/>
    <s v="서비스"/>
    <s v="음식/조리"/>
    <s v="기타 프렌차이즈점"/>
    <s v="paxnet.co.kr"/>
    <s v="금융/비즈니스(대)증권정보(중)"/>
    <s v="m.web"/>
    <s v="Dable"/>
    <s v="25"/>
    <s v="04"/>
    <s v="25.04.08"/>
    <s v="25.04.08"/>
    <n v="42"/>
  </r>
  <r>
    <s v="Dable"/>
    <s v="리서치애드"/>
    <s v="티지와이"/>
    <x v="34"/>
    <s v="서비스"/>
    <s v="음식/조리"/>
    <s v="기타 프렌차이즈점"/>
    <s v="joongang.co.kr"/>
    <s v="신문/잡지(대)종합일간지(중)"/>
    <s v="m.web"/>
    <s v="Dable"/>
    <s v="25"/>
    <s v="04"/>
    <s v="25.04.04"/>
    <s v="25.04.04"/>
    <n v="31"/>
  </r>
  <r>
    <s v="Dable"/>
    <s v="리서치애드"/>
    <s v="티지와이"/>
    <x v="34"/>
    <s v="서비스"/>
    <s v="음식/조리"/>
    <s v="기타 프렌차이즈점"/>
    <s v="joongang.co.kr"/>
    <s v="신문/잡지(대)종합일간지(중)"/>
    <s v="m.web"/>
    <s v="Dable"/>
    <s v="25"/>
    <s v="04"/>
    <s v="25.04.07"/>
    <s v="25.04.07"/>
    <n v="31"/>
  </r>
  <r>
    <s v="Dable"/>
    <s v="리서치애드"/>
    <s v="티지와이"/>
    <x v="34"/>
    <s v="서비스"/>
    <s v="음식/조리"/>
    <s v="기타 프렌차이즈점"/>
    <s v="joongang.co.kr"/>
    <s v="신문/잡지(대)종합일간지(중)"/>
    <s v="m.web"/>
    <s v="Dable"/>
    <s v="25"/>
    <s v="04"/>
    <s v="25.04.09"/>
    <s v="25.04.09"/>
    <n v="31"/>
  </r>
  <r>
    <s v="Dable"/>
    <s v="리서치애드"/>
    <s v="티지와이"/>
    <x v="34"/>
    <s v="서비스"/>
    <s v="음식/조리"/>
    <s v="기타 프렌차이즈점"/>
    <s v="jtbc.co.kr"/>
    <s v="방송(대)방송기타(중)"/>
    <s v="m.web"/>
    <s v="Dable"/>
    <s v="25"/>
    <s v="04"/>
    <s v="25.04.04"/>
    <s v="25.04.05"/>
    <n v="63"/>
  </r>
  <r>
    <s v="Dable"/>
    <s v="리서치애드"/>
    <s v="티지와이"/>
    <x v="34"/>
    <s v="서비스"/>
    <s v="음식/조리"/>
    <s v="기타 프렌차이즈점"/>
    <s v="jtbc.co.kr"/>
    <s v="방송(대)방송기타(중)"/>
    <s v="m.web"/>
    <s v="Dable"/>
    <s v="25"/>
    <s v="04"/>
    <s v="25.04.08"/>
    <s v="25.04.08"/>
    <n v="3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x v="0"/>
    <x v="0"/>
    <s v="리서치애드"/>
    <x v="0"/>
    <s v="락앤락"/>
    <s v="가정용품"/>
    <s v="주방용품"/>
    <s v="바이오 용기"/>
    <s v="imbc.com"/>
    <s v="방송(대)방송국(중)"/>
    <s v="연예"/>
    <s v="Taboola"/>
    <x v="0"/>
    <x v="0"/>
    <s v="24.02.15"/>
    <s v="24.02.15"/>
    <n v="85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0"/>
    <x v="1"/>
    <s v="24.03.17"/>
    <s v="24.03.17"/>
    <n v="62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0"/>
    <x v="2"/>
    <s v="24.05.22"/>
    <s v="24.05.22"/>
    <n v="62"/>
  </r>
  <r>
    <x v="0"/>
    <x v="2"/>
    <s v="리서치애드"/>
    <x v="0"/>
    <s v="락앤락"/>
    <s v="가정용품"/>
    <s v="주방용품"/>
    <s v="바이오 용기"/>
    <s v="tf.co.kr"/>
    <s v="신문/잡지(대)스포츠신문(중)"/>
    <s v="TV"/>
    <s v="크리테오"/>
    <x v="0"/>
    <x v="1"/>
    <s v="24.03.27"/>
    <s v="24.03.27"/>
    <n v="26"/>
  </r>
  <r>
    <x v="1"/>
    <x v="1"/>
    <s v="리서치애드"/>
    <x v="1"/>
    <s v="코렐"/>
    <s v="가정용품"/>
    <s v="주방용품"/>
    <s v="유리 및 자기그릇"/>
    <s v="facebook.com"/>
    <s v="커뮤니티(대)홈페이지(중)"/>
    <s v="커뮤니케이션 기타"/>
    <s v="-"/>
    <x v="0"/>
    <x v="0"/>
    <s v="24.02.26"/>
    <s v="24.02.26"/>
    <n v="131"/>
  </r>
  <r>
    <x v="1"/>
    <x v="1"/>
    <s v="리서치애드"/>
    <x v="2"/>
    <s v="글라스락"/>
    <s v="가정용품"/>
    <s v="주방용품"/>
    <s v="유리 및 자기그릇"/>
    <s v="facebook.com"/>
    <s v="커뮤니티(대)홈페이지(중)"/>
    <s v="커뮤니케이션 기타"/>
    <s v="-"/>
    <x v="0"/>
    <x v="3"/>
    <s v="24.04.25"/>
    <s v="24.04.25"/>
    <n v="62"/>
  </r>
  <r>
    <x v="2"/>
    <x v="3"/>
    <s v="리서치애드"/>
    <x v="3"/>
    <s v="이케아"/>
    <s v="가정용품"/>
    <s v="가구류"/>
    <s v="가구류 제품종합"/>
    <s v="naver.com"/>
    <s v="포털(대)포털(중)"/>
    <s v="메인"/>
    <s v="-"/>
    <x v="0"/>
    <x v="4"/>
    <s v="24.01.11"/>
    <s v="24.01.11"/>
    <n v="10814"/>
  </r>
  <r>
    <x v="2"/>
    <x v="3"/>
    <s v="리서치애드"/>
    <x v="3"/>
    <s v="이케아"/>
    <s v="가정용품"/>
    <s v="가구류"/>
    <s v="가구류 제품종합"/>
    <s v="naver.com"/>
    <s v="포털(대)포털(중)"/>
    <s v="메인"/>
    <s v="-"/>
    <x v="0"/>
    <x v="2"/>
    <s v="24.05.14"/>
    <s v="24.05.14"/>
    <n v="12027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0"/>
    <x v="5"/>
    <s v="24.09.13"/>
    <s v="24.09.13"/>
    <n v="62"/>
  </r>
  <r>
    <x v="0"/>
    <x v="2"/>
    <s v="리서치애드"/>
    <x v="0"/>
    <s v="락앤락"/>
    <s v="가정용품"/>
    <s v="주방용품"/>
    <s v="바이오 용기"/>
    <s v="MSN"/>
    <s v="포털(대)포털(중)"/>
    <s v="메인"/>
    <s v="크리테오"/>
    <x v="0"/>
    <x v="6"/>
    <s v="24.07.14"/>
    <s v="24.07.14"/>
    <n v="26"/>
  </r>
  <r>
    <x v="0"/>
    <x v="2"/>
    <s v="리서치애드"/>
    <x v="0"/>
    <s v="락앤락"/>
    <s v="가정용품"/>
    <s v="주방용품"/>
    <s v="바이오 용기"/>
    <s v="tvchosun.com"/>
    <s v="방송(대)방송기타(중)"/>
    <s v="동영상플레이어"/>
    <s v="크리테오"/>
    <x v="0"/>
    <x v="6"/>
    <s v="24.07.13"/>
    <s v="24.07.13"/>
    <n v="26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0"/>
    <x v="7"/>
    <s v="24.08.11"/>
    <s v="24.08.11"/>
    <n v="62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0"/>
    <x v="7"/>
    <s v="24.08.12"/>
    <s v="24.08.18"/>
    <n v="432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0"/>
    <x v="7"/>
    <s v="24.08.22"/>
    <s v="24.08.22"/>
    <n v="62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0"/>
    <x v="8"/>
    <s v="24.12.03"/>
    <s v="24.12.04"/>
    <n v="123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0"/>
    <x v="8"/>
    <s v="24.12.09"/>
    <s v="24.12.10"/>
    <n v="3241"/>
  </r>
  <r>
    <x v="2"/>
    <x v="3"/>
    <s v="리서치애드"/>
    <x v="2"/>
    <s v="글라스락"/>
    <s v="가정용품"/>
    <s v="주방용품"/>
    <s v="유리 및 자기그릇"/>
    <s v="naver.com"/>
    <s v="포털(대)포털(중)"/>
    <s v="뉴스"/>
    <s v="-"/>
    <x v="0"/>
    <x v="7"/>
    <s v="24.08.13"/>
    <s v="24.08.18"/>
    <n v="186"/>
  </r>
  <r>
    <x v="2"/>
    <x v="3"/>
    <s v="리서치애드"/>
    <x v="3"/>
    <s v="이케아"/>
    <s v="가정용품"/>
    <s v="가구류"/>
    <s v="가구류 제품종합"/>
    <s v="naver.com"/>
    <s v="포털(대)포털(중)"/>
    <s v="메인"/>
    <s v="-"/>
    <x v="0"/>
    <x v="7"/>
    <s v="24.08.30"/>
    <s v="24.08.30"/>
    <n v="19782"/>
  </r>
  <r>
    <x v="0"/>
    <x v="4"/>
    <s v="리서치애드"/>
    <x v="3"/>
    <s v="이케아"/>
    <s v="가정용품"/>
    <s v="가구류"/>
    <s v="가구류 제품종합"/>
    <s v="jobkorea.co.kr"/>
    <s v="생활정보(대)구인/구직(중)"/>
    <s v="메인"/>
    <s v="네트워크"/>
    <x v="0"/>
    <x v="9"/>
    <s v="24.10.15"/>
    <s v="24.10.20"/>
    <n v="2849"/>
  </r>
  <r>
    <x v="0"/>
    <x v="4"/>
    <s v="리서치애드"/>
    <x v="3"/>
    <s v="이케아"/>
    <s v="가정용품"/>
    <s v="가구류"/>
    <s v="가구류 제품종합"/>
    <s v="jobkorea.co.kr"/>
    <s v="생활정보(대)구인/구직(중)"/>
    <s v="메인"/>
    <s v="네트워크"/>
    <x v="0"/>
    <x v="9"/>
    <s v="24.10.21"/>
    <s v="24.10.24"/>
    <n v="1899"/>
  </r>
  <r>
    <x v="0"/>
    <x v="4"/>
    <s v="리서치애드"/>
    <x v="3"/>
    <s v="이케아"/>
    <s v="가정용품"/>
    <s v="가구류"/>
    <s v="가구류 제품종합"/>
    <s v="jobkorea.co.kr"/>
    <s v="생활정보(대)구인/구직(중)"/>
    <s v="채용정보검색"/>
    <s v="네트워크"/>
    <x v="0"/>
    <x v="9"/>
    <s v="24.10.15"/>
    <s v="24.10.20"/>
    <n v="1141"/>
  </r>
  <r>
    <x v="2"/>
    <x v="5"/>
    <s v="리서치애드"/>
    <x v="3"/>
    <s v="이케아"/>
    <s v="가정용품"/>
    <s v="가구류"/>
    <s v="가구류 제품종합"/>
    <s v="jobkorea.co.kr"/>
    <s v="생활정보(대)구인/구직(중)"/>
    <s v="채용정보검색"/>
    <s v="-"/>
    <x v="0"/>
    <x v="9"/>
    <s v="24.10.21"/>
    <s v="24.10.24"/>
    <n v="761"/>
  </r>
  <r>
    <x v="2"/>
    <x v="5"/>
    <s v="리서치애드"/>
    <x v="3"/>
    <s v="이케아"/>
    <s v="가정용품"/>
    <s v="가구류"/>
    <s v="가구류 제품종합"/>
    <s v="jobkorea.co.kr"/>
    <s v="생활정보(대)구인/구직(중)"/>
    <s v="채용정보검색"/>
    <s v="-"/>
    <x v="0"/>
    <x v="9"/>
    <s v="24.10.15"/>
    <s v="24.10.20"/>
    <n v="858"/>
  </r>
  <r>
    <x v="2"/>
    <x v="5"/>
    <s v="리서치애드"/>
    <x v="3"/>
    <s v="이케아"/>
    <s v="가정용품"/>
    <s v="가구류"/>
    <s v="가구류 제품종합"/>
    <s v="jobkorea.co.kr"/>
    <s v="생활정보(대)구인/구직(중)"/>
    <s v="채용정보검색"/>
    <s v="-"/>
    <x v="0"/>
    <x v="9"/>
    <s v="24.10.21"/>
    <s v="24.10.24"/>
    <n v="572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1"/>
    <x v="4"/>
    <s v="25.01.23"/>
    <s v="25.01.23"/>
    <n v="62"/>
  </r>
  <r>
    <x v="0"/>
    <x v="6"/>
    <s v="리서치애드"/>
    <x v="0"/>
    <s v="락앤락"/>
    <s v="가정용품"/>
    <s v="주방용품"/>
    <s v="바이오 용기"/>
    <s v="11st.co.kr"/>
    <s v="생활정보(대)쇼핑/가격정보(중)"/>
    <s v="식품"/>
    <s v="-"/>
    <x v="1"/>
    <x v="4"/>
    <s v="25.01.10"/>
    <s v="25.01.12"/>
    <n v="47"/>
  </r>
  <r>
    <x v="0"/>
    <x v="6"/>
    <s v="리서치애드"/>
    <x v="0"/>
    <s v="락앤락"/>
    <s v="가정용품"/>
    <s v="주방용품"/>
    <s v="바이오 용기"/>
    <s v="11st.co.kr"/>
    <s v="생활정보(대)쇼핑/가격정보(중)"/>
    <s v="식품"/>
    <s v="-"/>
    <x v="1"/>
    <x v="4"/>
    <s v="25.01.13"/>
    <s v="25.01.13"/>
    <n v="16"/>
  </r>
  <r>
    <x v="1"/>
    <x v="1"/>
    <s v="리서치애드"/>
    <x v="0"/>
    <s v="락앤락4in1멀티쿠커"/>
    <s v="가정용 전기전자"/>
    <s v="주방용 전기전자"/>
    <s v="주방용 전기전자 기타"/>
    <s v="facebook.com"/>
    <s v="커뮤니티(대)홈페이지(중)"/>
    <s v="커뮤니케이션 기타"/>
    <s v="-"/>
    <x v="1"/>
    <x v="2"/>
    <s v="25.05.25"/>
    <s v="25.05.25"/>
    <n v="62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1"/>
    <x v="4"/>
    <s v="25.01.25"/>
    <s v="25.01.26"/>
    <n v="123"/>
  </r>
  <r>
    <x v="1"/>
    <x v="1"/>
    <s v="리서치애드"/>
    <x v="1"/>
    <s v="코렐듀라나노"/>
    <s v="가정용품"/>
    <s v="주방용품"/>
    <s v="조리용구"/>
    <s v="facebook.com"/>
    <s v="커뮤니티(대)홈페이지(중)"/>
    <s v="커뮤니케이션 기타"/>
    <s v="-"/>
    <x v="1"/>
    <x v="4"/>
    <s v="25.01.30"/>
    <s v="25.01.31"/>
    <n v="123"/>
  </r>
  <r>
    <x v="1"/>
    <x v="1"/>
    <s v="리서치애드"/>
    <x v="2"/>
    <s v="글라스락"/>
    <s v="가정용품"/>
    <s v="주방용품"/>
    <s v="유리 및 자기그릇"/>
    <s v="facebook.com"/>
    <s v="커뮤니티(대)홈페이지(중)"/>
    <s v="동영상플레이어"/>
    <s v="-"/>
    <x v="1"/>
    <x v="3"/>
    <s v="25.04.16"/>
    <s v="25.04.16"/>
    <n v="62"/>
  </r>
  <r>
    <x v="2"/>
    <x v="3"/>
    <s v="리서치애드"/>
    <x v="3"/>
    <s v="이케아"/>
    <s v="가정용품"/>
    <s v="가구류"/>
    <s v="가구류 제품종합"/>
    <s v="naver.com"/>
    <s v="포털(대)포털(중)"/>
    <s v="메인"/>
    <s v="-"/>
    <x v="1"/>
    <x v="0"/>
    <s v="25.02.14"/>
    <s v="25.02.14"/>
    <n v="44276"/>
  </r>
  <r>
    <x v="2"/>
    <x v="3"/>
    <s v="리서치애드"/>
    <x v="3"/>
    <s v="이케아"/>
    <s v="가정용품"/>
    <s v="가구류"/>
    <s v="가구류 제품종합"/>
    <s v="naver.com"/>
    <s v="포털(대)포털(중)"/>
    <s v="메인"/>
    <s v="-"/>
    <x v="1"/>
    <x v="10"/>
    <s v="25.06.19"/>
    <s v="25.06.19"/>
    <n v="44993"/>
  </r>
  <r>
    <x v="2"/>
    <x v="3"/>
    <s v="리서치애드"/>
    <x v="0"/>
    <s v="락앤락"/>
    <s v="가정용품"/>
    <s v="주방용품"/>
    <s v="바이오 용기"/>
    <s v="naver.com"/>
    <s v="포털(대)포털(중)"/>
    <s v="뉴스"/>
    <s v="-"/>
    <x v="2"/>
    <x v="4"/>
    <s v="26.01.06"/>
    <s v="26.01.06"/>
    <n v="31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2"/>
    <x v="4"/>
    <s v="26.01.02"/>
    <s v="26.01.02"/>
    <n v="62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1"/>
    <x v="11"/>
    <s v="25.11.20"/>
    <s v="25.11.23"/>
    <n v="5168"/>
  </r>
  <r>
    <x v="1"/>
    <x v="1"/>
    <s v="리서치애드"/>
    <x v="0"/>
    <s v="락앤락"/>
    <s v="가정용품"/>
    <s v="주방용품"/>
    <s v="바이오 용기"/>
    <s v="facebook.com"/>
    <s v="커뮤니티(대)홈페이지(중)"/>
    <s v="커뮤니케이션 기타"/>
    <s v="-"/>
    <x v="2"/>
    <x v="4"/>
    <s v="26.01.15"/>
    <s v="26.01.15"/>
    <n v="1531"/>
  </r>
  <r>
    <x v="0"/>
    <x v="6"/>
    <s v="리서치애드"/>
    <x v="0"/>
    <s v="락앤락"/>
    <s v="가정용품"/>
    <s v="주방용품"/>
    <s v="바이오 용기"/>
    <s v="11st.co.kr"/>
    <s v="생활정보(대)쇼핑/가격정보(중)"/>
    <s v="메인"/>
    <s v="-"/>
    <x v="1"/>
    <x v="11"/>
    <s v="25.11.17"/>
    <s v="25.11.17"/>
    <n v="389"/>
  </r>
  <r>
    <x v="1"/>
    <x v="1"/>
    <s v="리서치애드"/>
    <x v="0"/>
    <s v="락앤락올스텐접이식멀티쿠커"/>
    <s v="가정용 전기전자"/>
    <s v="주방용 전기전자"/>
    <s v="주방용 전기전자 기타"/>
    <s v="facebook.com"/>
    <s v="커뮤니티(대)홈페이지(중)"/>
    <s v="커뮤니케이션 기타"/>
    <s v="-"/>
    <x v="2"/>
    <x v="4"/>
    <s v="26.01.05"/>
    <s v="26.01.05"/>
    <n v="62"/>
  </r>
  <r>
    <x v="1"/>
    <x v="1"/>
    <s v="리서치애드"/>
    <x v="0"/>
    <s v="락앤락음식물처리기"/>
    <s v="가정용 전기전자"/>
    <s v="주방용 전기전자"/>
    <s v="음식물처리기"/>
    <s v="facebook.com"/>
    <s v="커뮤니티(대)홈페이지(중)"/>
    <s v="커뮤니케이션 기타"/>
    <s v="-"/>
    <x v="2"/>
    <x v="4"/>
    <s v="26.01.29"/>
    <s v="26.01.29"/>
    <n v="62"/>
  </r>
  <r>
    <x v="0"/>
    <x v="7"/>
    <s v="리서치애드"/>
    <x v="2"/>
    <s v="글라스락"/>
    <s v="가정용품"/>
    <s v="주방용품"/>
    <s v="유리 및 자기그릇"/>
    <s v="nate.com"/>
    <s v="포털(대)포털(중)"/>
    <s v="뉴스"/>
    <s v="모비온"/>
    <x v="1"/>
    <x v="9"/>
    <s v="25.10.24"/>
    <s v="25.10.24"/>
    <n v="124"/>
  </r>
  <r>
    <x v="2"/>
    <x v="5"/>
    <s v="리서치애드"/>
    <x v="2"/>
    <s v="글라스락"/>
    <s v="가정용품"/>
    <s v="주방용품"/>
    <s v="유리 및 자기그릇"/>
    <s v="nate.com"/>
    <s v="포털(대)포털(중)"/>
    <s v="연예"/>
    <s v="모비온"/>
    <x v="1"/>
    <x v="8"/>
    <s v="25.12.23"/>
    <s v="25.12.23"/>
    <n v="124"/>
  </r>
  <r>
    <x v="2"/>
    <x v="5"/>
    <s v="리서치애드"/>
    <x v="2"/>
    <s v="글라스락"/>
    <s v="가정용품"/>
    <s v="주방용품"/>
    <s v="유리 및 자기그릇"/>
    <s v="chosun.com"/>
    <s v="신문/잡지(대)종합일간지(중)"/>
    <s v="스포츠"/>
    <s v="모비온"/>
    <x v="1"/>
    <x v="9"/>
    <s v="25.10.22"/>
    <s v="25.10.22"/>
    <n v="124"/>
  </r>
  <r>
    <x v="2"/>
    <x v="5"/>
    <s v="리서치애드"/>
    <x v="2"/>
    <s v="글라스락"/>
    <s v="가정용품"/>
    <s v="주방용품"/>
    <s v="유리 및 자기그릇"/>
    <s v="chosun.com"/>
    <s v="신문/잡지(대)종합일간지(중)"/>
    <s v="스포츠조선"/>
    <s v="모비온"/>
    <x v="1"/>
    <x v="7"/>
    <s v="25.08.21"/>
    <s v="25.08.21"/>
    <n v="150"/>
  </r>
  <r>
    <x v="2"/>
    <x v="5"/>
    <s v="리서치애드"/>
    <x v="2"/>
    <s v="글라스락"/>
    <s v="가정용품"/>
    <s v="주방용품"/>
    <s v="유리 및 자기그릇"/>
    <s v="chosun.com"/>
    <s v="신문/잡지(대)종합일간지(중)"/>
    <s v="오피니언"/>
    <s v="모비온"/>
    <x v="2"/>
    <x v="4"/>
    <s v="26.01.06"/>
    <s v="26.01.06"/>
    <n v="447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만화"/>
    <s v="모비온"/>
    <x v="1"/>
    <x v="9"/>
    <s v="25.10.10"/>
    <s v="25.10.10"/>
    <n v="124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스포츠"/>
    <s v="모비온"/>
    <x v="1"/>
    <x v="11"/>
    <s v="25.11.29"/>
    <s v="25.11.29"/>
    <n v="124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스포츠"/>
    <s v="모비온"/>
    <x v="1"/>
    <x v="8"/>
    <s v="25.12.04"/>
    <s v="25.12.04"/>
    <n v="124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스포츠"/>
    <s v="모비온"/>
    <x v="1"/>
    <x v="8"/>
    <s v="25.12.12"/>
    <s v="25.12.12"/>
    <n v="124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야구"/>
    <s v="모비온"/>
    <x v="1"/>
    <x v="9"/>
    <s v="25.10.13"/>
    <s v="25.10.13"/>
    <n v="124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야구"/>
    <s v="모비온"/>
    <x v="1"/>
    <x v="9"/>
    <s v="25.10.23"/>
    <s v="25.10.23"/>
    <n v="124"/>
  </r>
  <r>
    <x v="2"/>
    <x v="5"/>
    <s v="리서치애드"/>
    <x v="2"/>
    <s v="글라스락"/>
    <s v="가정용품"/>
    <s v="주방용품"/>
    <s v="유리 및 자기그릇"/>
    <s v="sportsseoul.com"/>
    <s v="신문/잡지(대)스포츠신문(중)"/>
    <s v="야구"/>
    <s v="모비온"/>
    <x v="1"/>
    <x v="11"/>
    <s v="25.11.22"/>
    <s v="25.11.22"/>
    <n v="124"/>
  </r>
  <r>
    <x v="0"/>
    <x v="7"/>
    <s v="리서치애드"/>
    <x v="2"/>
    <s v="글라스락"/>
    <s v="가정용품"/>
    <s v="주방용품"/>
    <s v="유리 및 자기그릇"/>
    <s v="sportsseoul.com"/>
    <s v="신문/잡지(대)스포츠신문(중)"/>
    <s v="정치"/>
    <s v="모비온"/>
    <x v="1"/>
    <x v="9"/>
    <s v="25.10.27"/>
    <s v="25.10.27"/>
    <n v="124"/>
  </r>
  <r>
    <x v="0"/>
    <x v="7"/>
    <s v="리서치애드"/>
    <x v="2"/>
    <s v="글라스락"/>
    <s v="가정용품"/>
    <s v="주방용품"/>
    <s v="유리 및 자기그릇"/>
    <s v="stoo.com"/>
    <s v="신문/잡지(대)스포츠신문(중)"/>
    <s v="만화"/>
    <s v="모비온"/>
    <x v="1"/>
    <x v="5"/>
    <s v="25.09.23"/>
    <s v="25.09.23"/>
    <n v="150"/>
  </r>
  <r>
    <x v="0"/>
    <x v="7"/>
    <s v="리서치애드"/>
    <x v="2"/>
    <s v="글라스락"/>
    <s v="가정용품"/>
    <s v="주방용품"/>
    <s v="유리 및 자기그릇"/>
    <s v="stoo.com"/>
    <s v="신문/잡지(대)스포츠신문(중)"/>
    <s v="스포츠"/>
    <s v="모비온"/>
    <x v="1"/>
    <x v="8"/>
    <s v="25.12.15"/>
    <s v="25.12.16"/>
    <n v="247"/>
  </r>
  <r>
    <x v="2"/>
    <x v="5"/>
    <s v="리서치애드"/>
    <x v="2"/>
    <s v="글라스락"/>
    <s v="가정용품"/>
    <s v="주방용품"/>
    <s v="유리 및 자기그릇"/>
    <s v="stoo.com"/>
    <s v="신문/잡지(대)스포츠신문(중)"/>
    <s v="연예"/>
    <s v="모비온"/>
    <x v="1"/>
    <x v="8"/>
    <s v="25.12.14"/>
    <s v="25.12.14"/>
    <n v="124"/>
  </r>
  <r>
    <x v="0"/>
    <x v="7"/>
    <s v="리서치애드"/>
    <x v="2"/>
    <s v="글라스락"/>
    <s v="가정용품"/>
    <s v="주방용품"/>
    <s v="유리 및 자기그릇"/>
    <s v="donga.com"/>
    <s v="신문/잡지(대)종합일간지(중)"/>
    <s v="스포츠"/>
    <s v="모비온"/>
    <x v="1"/>
    <x v="6"/>
    <s v="25.07.31"/>
    <s v="25.07.31"/>
    <n v="150"/>
  </r>
  <r>
    <x v="0"/>
    <x v="7"/>
    <s v="리서치애드"/>
    <x v="2"/>
    <s v="글라스락"/>
    <s v="가정용품"/>
    <s v="주방용품"/>
    <s v="유리 및 자기그릇"/>
    <s v="donga.com"/>
    <s v="신문/잡지(대)종합일간지(중)"/>
    <s v="스포츠동아"/>
    <s v="모비온"/>
    <x v="1"/>
    <x v="11"/>
    <s v="25.11.28"/>
    <s v="25.11.28"/>
    <n v="124"/>
  </r>
  <r>
    <x v="0"/>
    <x v="7"/>
    <s v="리서치애드"/>
    <x v="2"/>
    <s v="글라스락"/>
    <s v="가정용품"/>
    <s v="주방용품"/>
    <s v="유리 및 자기그릇"/>
    <s v="donga.com"/>
    <s v="신문/잡지(대)종합일간지(중)"/>
    <s v="MLB파크"/>
    <s v="모비온"/>
    <x v="1"/>
    <x v="9"/>
    <s v="25.10.17"/>
    <s v="25.10.17"/>
    <n v="124"/>
  </r>
  <r>
    <x v="0"/>
    <x v="7"/>
    <s v="리서치애드"/>
    <x v="2"/>
    <s v="글라스락"/>
    <s v="가정용품"/>
    <s v="주방용품"/>
    <s v="유리 및 자기그릇"/>
    <s v="hankooki.com"/>
    <s v="신문/잡지(대)종합일간지(중)"/>
    <s v="데일리한국"/>
    <s v="모비온"/>
    <x v="1"/>
    <x v="11"/>
    <s v="25.11.19"/>
    <s v="25.11.19"/>
    <n v="124"/>
  </r>
  <r>
    <x v="0"/>
    <x v="7"/>
    <s v="리서치애드"/>
    <x v="2"/>
    <s v="글라스락"/>
    <s v="가정용품"/>
    <s v="주방용품"/>
    <s v="유리 및 자기그릇"/>
    <s v="hankooki.com"/>
    <s v="신문/잡지(대)종합일간지(중)"/>
    <s v="데일리한국"/>
    <s v="모비온"/>
    <x v="1"/>
    <x v="11"/>
    <s v="25.11.25"/>
    <s v="25.11.25"/>
    <n v="124"/>
  </r>
  <r>
    <x v="0"/>
    <x v="7"/>
    <s v="리서치애드"/>
    <x v="2"/>
    <s v="글라스락"/>
    <s v="가정용품"/>
    <s v="주방용품"/>
    <s v="유리 및 자기그릇"/>
    <s v="hani.co.kr"/>
    <s v="신문/잡지(대)종합일간지(중)"/>
    <s v="문화"/>
    <s v="모비온"/>
    <x v="1"/>
    <x v="8"/>
    <s v="25.12.29"/>
    <s v="25.12.29"/>
    <n v="124"/>
  </r>
  <r>
    <x v="0"/>
    <x v="7"/>
    <s v="리서치애드"/>
    <x v="2"/>
    <s v="글라스락"/>
    <s v="가정용품"/>
    <s v="주방용품"/>
    <s v="유리 및 자기그릇"/>
    <s v="maxmovie.com"/>
    <s v="엔터테인먼트(대)영화/공연(중)"/>
    <s v="기획"/>
    <s v="모비온"/>
    <x v="1"/>
    <x v="9"/>
    <s v="25.10.17"/>
    <s v="25.10.17"/>
    <n v="124"/>
  </r>
  <r>
    <x v="0"/>
    <x v="7"/>
    <s v="리서치애드"/>
    <x v="2"/>
    <s v="글라스락"/>
    <s v="가정용품"/>
    <s v="주방용품"/>
    <s v="유리 및 자기그릇"/>
    <s v="maxmovie.com"/>
    <s v="엔터테인먼트(대)영화/공연(중)"/>
    <s v="포토"/>
    <s v="모비온"/>
    <x v="1"/>
    <x v="7"/>
    <s v="25.08.23"/>
    <s v="25.08.23"/>
    <n v="150"/>
  </r>
  <r>
    <x v="0"/>
    <x v="7"/>
    <s v="리서치애드"/>
    <x v="2"/>
    <s v="글라스락"/>
    <s v="가정용품"/>
    <s v="주방용품"/>
    <s v="유리 및 자기그릇"/>
    <s v="maxmovie.com"/>
    <s v="엔터테인먼트(대)영화/공연(중)"/>
    <s v="홈"/>
    <s v="모비온"/>
    <x v="1"/>
    <x v="9"/>
    <s v="25.10.05"/>
    <s v="25.10.05"/>
    <n v="124"/>
  </r>
  <r>
    <x v="0"/>
    <x v="7"/>
    <s v="리서치애드"/>
    <x v="2"/>
    <s v="글라스락"/>
    <s v="가정용품"/>
    <s v="주방용품"/>
    <s v="유리 및 자기그릇"/>
    <s v="ohmynews.com"/>
    <s v="신문/잡지(대)온라인뉴스(중)"/>
    <s v="사는 이야기"/>
    <s v="모비온"/>
    <x v="1"/>
    <x v="9"/>
    <s v="25.10.04"/>
    <s v="25.10.04"/>
    <n v="124"/>
  </r>
  <r>
    <x v="0"/>
    <x v="7"/>
    <s v="리서치애드"/>
    <x v="2"/>
    <s v="글라스락"/>
    <s v="가정용품"/>
    <s v="주방용품"/>
    <s v="유리 및 자기그릇"/>
    <s v="ohmynews.com"/>
    <s v="신문/잡지(대)온라인뉴스(중)"/>
    <s v="오마이스타"/>
    <s v="모비온"/>
    <x v="1"/>
    <x v="9"/>
    <s v="25.10.27"/>
    <s v="25.10.27"/>
    <n v="124"/>
  </r>
  <r>
    <x v="0"/>
    <x v="7"/>
    <s v="리서치애드"/>
    <x v="2"/>
    <s v="글라스락"/>
    <s v="가정용품"/>
    <s v="주방용품"/>
    <s v="유리 및 자기그릇"/>
    <s v="ohmynews.com"/>
    <s v="신문/잡지(대)온라인뉴스(중)"/>
    <s v="오마이스타"/>
    <s v="모비온"/>
    <x v="1"/>
    <x v="11"/>
    <s v="25.11.03"/>
    <s v="25.11.03"/>
    <n v="124"/>
  </r>
  <r>
    <x v="0"/>
    <x v="7"/>
    <s v="리서치애드"/>
    <x v="2"/>
    <s v="글라스락"/>
    <s v="가정용품"/>
    <s v="주방용품"/>
    <s v="유리 및 자기그릇"/>
    <s v="ohmynews.com"/>
    <s v="신문/잡지(대)온라인뉴스(중)"/>
    <s v="지역"/>
    <s v="모비온"/>
    <x v="1"/>
    <x v="9"/>
    <s v="25.10.19"/>
    <s v="25.10.19"/>
    <n v="124"/>
  </r>
  <r>
    <x v="0"/>
    <x v="7"/>
    <s v="리서치애드"/>
    <x v="2"/>
    <s v="글라스락"/>
    <s v="가정용품"/>
    <s v="주방용품"/>
    <s v="유리 및 자기그릇"/>
    <s v="ohmynews.com"/>
    <s v="신문/잡지(대)온라인뉴스(중)"/>
    <s v="책동네"/>
    <s v="모비온"/>
    <x v="1"/>
    <x v="9"/>
    <s v="25.10.24"/>
    <s v="25.10.24"/>
    <n v="124"/>
  </r>
  <r>
    <x v="0"/>
    <x v="7"/>
    <s v="리서치애드"/>
    <x v="2"/>
    <s v="글라스락"/>
    <s v="가정용품"/>
    <s v="주방용품"/>
    <s v="유리 및 자기그릇"/>
    <s v="mk.co.kr"/>
    <s v="신문/잡지(대)경제신문(중)"/>
    <s v="뉴스"/>
    <s v="모비온"/>
    <x v="1"/>
    <x v="5"/>
    <s v="25.09.14"/>
    <s v="25.09.14"/>
    <n v="150"/>
  </r>
  <r>
    <x v="0"/>
    <x v="7"/>
    <s v="리서치애드"/>
    <x v="2"/>
    <s v="글라스락"/>
    <s v="가정용품"/>
    <s v="주방용품"/>
    <s v="유리 및 자기그릇"/>
    <s v="mk.co.kr"/>
    <s v="신문/잡지(대)경제신문(중)"/>
    <s v="뉴스"/>
    <s v="모비온"/>
    <x v="1"/>
    <x v="8"/>
    <s v="25.12.07"/>
    <s v="25.12.07"/>
    <n v="124"/>
  </r>
  <r>
    <x v="0"/>
    <x v="7"/>
    <s v="리서치애드"/>
    <x v="2"/>
    <s v="글라스락"/>
    <s v="가정용품"/>
    <s v="주방용품"/>
    <s v="유리 및 자기그릇"/>
    <s v="yna.co.kr"/>
    <s v="신문/잡지(대)온라인뉴스(중)"/>
    <s v="경제"/>
    <s v="모비온"/>
    <x v="1"/>
    <x v="5"/>
    <s v="25.09.15"/>
    <s v="25.09.15"/>
    <n v="150"/>
  </r>
  <r>
    <x v="0"/>
    <x v="7"/>
    <s v="리서치애드"/>
    <x v="2"/>
    <s v="글라스락"/>
    <s v="가정용품"/>
    <s v="주방용품"/>
    <s v="유리 및 자기그릇"/>
    <s v="yna.co.kr"/>
    <s v="신문/잡지(대)온라인뉴스(중)"/>
    <s v="사회"/>
    <s v="모비온"/>
    <x v="1"/>
    <x v="11"/>
    <s v="25.11.10"/>
    <s v="25.11.16"/>
    <n v="864"/>
  </r>
  <r>
    <x v="0"/>
    <x v="7"/>
    <s v="리서치애드"/>
    <x v="2"/>
    <s v="글라스락"/>
    <s v="가정용품"/>
    <s v="주방용품"/>
    <s v="유리 및 자기그릇"/>
    <s v="yna.co.kr"/>
    <s v="신문/잡지(대)온라인뉴스(중)"/>
    <s v="산업"/>
    <s v="모비온"/>
    <x v="1"/>
    <x v="8"/>
    <s v="25.12.04"/>
    <s v="25.12.04"/>
    <n v="124"/>
  </r>
  <r>
    <x v="0"/>
    <x v="7"/>
    <s v="리서치애드"/>
    <x v="2"/>
    <s v="글라스락"/>
    <s v="가정용품"/>
    <s v="주방용품"/>
    <s v="유리 및 자기그릇"/>
    <s v="yna.co.kr"/>
    <s v="신문/잡지(대)온라인뉴스(중)"/>
    <s v="여행"/>
    <s v="모비온"/>
    <x v="1"/>
    <x v="9"/>
    <s v="25.10.21"/>
    <s v="25.10.21"/>
    <n v="124"/>
  </r>
  <r>
    <x v="0"/>
    <x v="7"/>
    <s v="리서치애드"/>
    <x v="2"/>
    <s v="글라스락"/>
    <s v="가정용품"/>
    <s v="주방용품"/>
    <s v="유리 및 자기그릇"/>
    <s v="yna.co.kr"/>
    <s v="신문/잡지(대)온라인뉴스(중)"/>
    <s v="전국"/>
    <s v="모비온"/>
    <x v="1"/>
    <x v="5"/>
    <s v="25.09.14"/>
    <s v="25.09.14"/>
    <n v="150"/>
  </r>
  <r>
    <x v="0"/>
    <x v="7"/>
    <s v="리서치애드"/>
    <x v="2"/>
    <s v="글라스락"/>
    <s v="가정용품"/>
    <s v="주방용품"/>
    <s v="유리 및 자기그릇"/>
    <s v="yna.co.kr"/>
    <s v="신문/잡지(대)온라인뉴스(중)"/>
    <s v="전국"/>
    <s v="모비온"/>
    <x v="1"/>
    <x v="8"/>
    <s v="25.12.14"/>
    <s v="25.12.14"/>
    <n v="124"/>
  </r>
  <r>
    <x v="0"/>
    <x v="7"/>
    <s v="리서치애드"/>
    <x v="2"/>
    <s v="글라스락"/>
    <s v="가정용품"/>
    <s v="주방용품"/>
    <s v="유리 및 자기그릇"/>
    <s v="khan.co.kr"/>
    <s v="신문/잡지(대)종합일간지(중)"/>
    <s v="매거진"/>
    <s v="모비온"/>
    <x v="1"/>
    <x v="5"/>
    <s v="25.09.15"/>
    <s v="25.09.15"/>
    <n v="150"/>
  </r>
  <r>
    <x v="0"/>
    <x v="7"/>
    <s v="리서치애드"/>
    <x v="2"/>
    <s v="글라스락"/>
    <s v="가정용품"/>
    <s v="주방용품"/>
    <s v="유리 및 자기그릇"/>
    <s v="khan.co.kr"/>
    <s v="신문/잡지(대)종합일간지(중)"/>
    <s v="매거진"/>
    <s v="모비온"/>
    <x v="1"/>
    <x v="11"/>
    <s v="25.11.02"/>
    <s v="25.11.02"/>
    <n v="124"/>
  </r>
  <r>
    <x v="0"/>
    <x v="7"/>
    <s v="리서치애드"/>
    <x v="2"/>
    <s v="글라스락"/>
    <s v="가정용품"/>
    <s v="주방용품"/>
    <s v="유리 및 자기그릇"/>
    <s v="khan.co.kr"/>
    <s v="신문/잡지(대)종합일간지(중)"/>
    <s v="문화"/>
    <s v="모비온"/>
    <x v="1"/>
    <x v="8"/>
    <s v="25.12.31"/>
    <s v="25.12.31"/>
    <n v="124"/>
  </r>
  <r>
    <x v="0"/>
    <x v="7"/>
    <s v="리서치애드"/>
    <x v="2"/>
    <s v="글라스락"/>
    <s v="가정용품"/>
    <s v="주방용품"/>
    <s v="유리 및 자기그릇"/>
    <s v="khan.co.kr"/>
    <s v="신문/잡지(대)종합일간지(중)"/>
    <s v="오피니언"/>
    <s v="모비온"/>
    <x v="1"/>
    <x v="11"/>
    <s v="25.11.24"/>
    <s v="25.11.24"/>
    <n v="124"/>
  </r>
  <r>
    <x v="0"/>
    <x v="7"/>
    <s v="리서치애드"/>
    <x v="2"/>
    <s v="글라스락"/>
    <s v="가정용품"/>
    <s v="주방용품"/>
    <s v="유리 및 자기그릇"/>
    <s v="khan.co.kr"/>
    <s v="신문/잡지(대)종합일간지(중)"/>
    <s v="정치"/>
    <s v="모비온"/>
    <x v="1"/>
    <x v="9"/>
    <s v="25.10.13"/>
    <s v="25.10.13"/>
    <n v="124"/>
  </r>
  <r>
    <x v="0"/>
    <x v="7"/>
    <s v="리서치애드"/>
    <x v="2"/>
    <s v="글라스락"/>
    <s v="가정용품"/>
    <s v="주방용품"/>
    <s v="유리 및 자기그릇"/>
    <s v="khan.co.kr"/>
    <s v="신문/잡지(대)종합일간지(중)"/>
    <s v="지역"/>
    <s v="모비온"/>
    <x v="1"/>
    <x v="9"/>
    <s v="25.10.24"/>
    <s v="25.10.24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골프"/>
    <s v="모비온"/>
    <x v="1"/>
    <x v="11"/>
    <s v="25.11.24"/>
    <s v="25.11.24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금융"/>
    <s v="모비온"/>
    <x v="1"/>
    <x v="9"/>
    <s v="25.10.04"/>
    <s v="25.10.04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사회"/>
    <s v="모비온"/>
    <x v="1"/>
    <x v="5"/>
    <s v="25.09.22"/>
    <s v="25.09.22"/>
    <n v="150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스포츠"/>
    <s v="모비온"/>
    <x v="1"/>
    <x v="9"/>
    <s v="25.10.24"/>
    <s v="25.10.24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오피니언"/>
    <s v="모비온"/>
    <x v="1"/>
    <x v="9"/>
    <s v="25.10.27"/>
    <s v="25.10.27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오피니언"/>
    <s v="모비온"/>
    <x v="1"/>
    <x v="8"/>
    <s v="25.12.17"/>
    <s v="25.12.17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정치"/>
    <s v="모비온"/>
    <x v="1"/>
    <x v="11"/>
    <s v="25.11.08"/>
    <s v="25.11.08"/>
    <n v="124"/>
  </r>
  <r>
    <x v="0"/>
    <x v="7"/>
    <s v="리서치애드"/>
    <x v="2"/>
    <s v="글라스락"/>
    <s v="가정용품"/>
    <s v="주방용품"/>
    <s v="유리 및 자기그릇"/>
    <s v="hankyung.com"/>
    <s v="신문/잡지(대)경제신문(중)"/>
    <s v="코리아마켓"/>
    <s v="모비온"/>
    <x v="1"/>
    <x v="8"/>
    <s v="25.12.24"/>
    <s v="25.12.24"/>
    <n v="124"/>
  </r>
  <r>
    <x v="0"/>
    <x v="7"/>
    <s v="리서치애드"/>
    <x v="2"/>
    <s v="글라스락"/>
    <s v="가정용품"/>
    <s v="주방용품"/>
    <s v="유리 및 자기그릇"/>
    <s v="seoul.co.kr"/>
    <s v="신문/잡지(대)종합일간지(중)"/>
    <s v="국제"/>
    <s v="모비온"/>
    <x v="2"/>
    <x v="4"/>
    <s v="26.01.07"/>
    <s v="26.01.07"/>
    <n v="447"/>
  </r>
  <r>
    <x v="0"/>
    <x v="7"/>
    <s v="리서치애드"/>
    <x v="2"/>
    <s v="글라스락"/>
    <s v="가정용품"/>
    <s v="주방용품"/>
    <s v="유리 및 자기그릇"/>
    <s v="seoul.co.kr"/>
    <s v="신문/잡지(대)종합일간지(중)"/>
    <s v="연예"/>
    <s v="모비온"/>
    <x v="1"/>
    <x v="8"/>
    <s v="25.12.24"/>
    <s v="25.12.24"/>
    <n v="124"/>
  </r>
  <r>
    <x v="0"/>
    <x v="7"/>
    <s v="리서치애드"/>
    <x v="2"/>
    <s v="글라스락"/>
    <s v="가정용품"/>
    <s v="주방용품"/>
    <s v="유리 및 자기그릇"/>
    <s v="mt.co.kr"/>
    <s v="신문/잡지(대)경제신문(중)"/>
    <s v="뉴스"/>
    <s v="모비온"/>
    <x v="1"/>
    <x v="9"/>
    <s v="25.10.27"/>
    <s v="25.10.27"/>
    <n v="124"/>
  </r>
  <r>
    <x v="0"/>
    <x v="7"/>
    <s v="리서치애드"/>
    <x v="2"/>
    <s v="글라스락"/>
    <s v="가정용품"/>
    <s v="주방용품"/>
    <s v="유리 및 자기그릇"/>
    <s v="ytn.co.kr"/>
    <s v="방송(대)케이블/위성방송(중)"/>
    <s v="경제"/>
    <s v="모비온"/>
    <x v="1"/>
    <x v="9"/>
    <s v="25.10.09"/>
    <s v="25.10.09"/>
    <n v="124"/>
  </r>
  <r>
    <x v="0"/>
    <x v="7"/>
    <s v="리서치애드"/>
    <x v="2"/>
    <s v="글라스락"/>
    <s v="가정용품"/>
    <s v="주방용품"/>
    <s v="유리 및 자기그릇"/>
    <s v="ytn.co.kr"/>
    <s v="방송(대)케이블/위성방송(중)"/>
    <s v="경제"/>
    <s v="모비온"/>
    <x v="1"/>
    <x v="11"/>
    <s v="25.11.24"/>
    <s v="25.11.24"/>
    <n v="124"/>
  </r>
  <r>
    <x v="0"/>
    <x v="7"/>
    <s v="리서치애드"/>
    <x v="2"/>
    <s v="글라스락"/>
    <s v="가정용품"/>
    <s v="주방용품"/>
    <s v="유리 및 자기그릇"/>
    <s v="ytn.co.kr"/>
    <s v="방송(대)케이블/위성방송(중)"/>
    <s v="과학"/>
    <s v="모비온"/>
    <x v="1"/>
    <x v="9"/>
    <s v="25.10.23"/>
    <s v="25.10.23"/>
    <n v="124"/>
  </r>
  <r>
    <x v="0"/>
    <x v="7"/>
    <s v="리서치애드"/>
    <x v="2"/>
    <s v="글라스락"/>
    <s v="가정용품"/>
    <s v="주방용품"/>
    <s v="유리 및 자기그릇"/>
    <s v="ytn.co.kr"/>
    <s v="방송(대)케이블/위성방송(중)"/>
    <s v="많이 본 뉴스"/>
    <s v="모비온"/>
    <x v="1"/>
    <x v="9"/>
    <s v="25.10.02"/>
    <s v="25.10.02"/>
    <n v="124"/>
  </r>
  <r>
    <x v="0"/>
    <x v="7"/>
    <s v="리서치애드"/>
    <x v="2"/>
    <s v="글라스락"/>
    <s v="가정용품"/>
    <s v="주방용품"/>
    <s v="유리 및 자기그릇"/>
    <s v="ytn.co.kr"/>
    <s v="방송(대)케이블/위성방송(중)"/>
    <s v="메인"/>
    <s v="모비온"/>
    <x v="1"/>
    <x v="7"/>
    <s v="25.08.20"/>
    <s v="25.08.20"/>
    <n v="150"/>
  </r>
  <r>
    <x v="0"/>
    <x v="7"/>
    <s v="리서치애드"/>
    <x v="2"/>
    <s v="글라스락"/>
    <s v="가정용품"/>
    <s v="주방용품"/>
    <s v="유리 및 자기그릇"/>
    <s v="edaily.co.kr"/>
    <s v="신문/잡지(대)신문/잡지 기타(중)"/>
    <s v="부동산"/>
    <s v="모비온"/>
    <x v="2"/>
    <x v="4"/>
    <s v="26.01.07"/>
    <s v="26.01.07"/>
    <n v="447"/>
  </r>
  <r>
    <x v="0"/>
    <x v="7"/>
    <s v="리서치애드"/>
    <x v="2"/>
    <s v="글라스락"/>
    <s v="가정용품"/>
    <s v="주방용품"/>
    <s v="유리 및 자기그릇"/>
    <s v="edaily.co.kr"/>
    <s v="신문/잡지(대)신문/잡지 기타(중)"/>
    <s v="연예"/>
    <s v="모비온"/>
    <x v="1"/>
    <x v="8"/>
    <s v="25.12.28"/>
    <s v="25.12.28"/>
    <n v="124"/>
  </r>
  <r>
    <x v="0"/>
    <x v="7"/>
    <s v="리서치애드"/>
    <x v="2"/>
    <s v="글라스락"/>
    <s v="가정용품"/>
    <s v="주방용품"/>
    <s v="유리 및 자기그릇"/>
    <s v="edaily.co.kr"/>
    <s v="신문/잡지(대)신문/잡지 기타(중)"/>
    <s v="오피니언"/>
    <s v="모비온"/>
    <x v="1"/>
    <x v="11"/>
    <s v="25.11.29"/>
    <s v="25.11.29"/>
    <n v="124"/>
  </r>
  <r>
    <x v="0"/>
    <x v="7"/>
    <s v="리서치애드"/>
    <x v="2"/>
    <s v="글라스락"/>
    <s v="가정용품"/>
    <s v="주방용품"/>
    <s v="유리 및 자기그릇"/>
    <s v="joseilbo.com"/>
    <s v="신문/잡지(대)온라인뉴스(중)"/>
    <s v="뉴스"/>
    <s v="모비온"/>
    <x v="1"/>
    <x v="6"/>
    <s v="25.07.27"/>
    <s v="25.07.27"/>
    <n v="150"/>
  </r>
  <r>
    <x v="0"/>
    <x v="7"/>
    <s v="리서치애드"/>
    <x v="2"/>
    <s v="글라스락"/>
    <s v="가정용품"/>
    <s v="주방용품"/>
    <s v="유리 및 자기그릇"/>
    <s v="joseilbo.com"/>
    <s v="신문/잡지(대)온라인뉴스(중)"/>
    <s v="오피니언"/>
    <s v="모비온"/>
    <x v="1"/>
    <x v="6"/>
    <s v="25.07.28"/>
    <s v="25.07.30"/>
    <n v="450"/>
  </r>
  <r>
    <x v="0"/>
    <x v="7"/>
    <s v="리서치애드"/>
    <x v="2"/>
    <s v="글라스락"/>
    <s v="가정용품"/>
    <s v="주방용품"/>
    <s v="유리 및 자기그릇"/>
    <s v="diodeo.com"/>
    <s v="방송(대)방송기타(중)"/>
    <s v="정치"/>
    <s v="모비온"/>
    <x v="1"/>
    <x v="8"/>
    <s v="25.12.22"/>
    <s v="25.12.22"/>
    <n v="124"/>
  </r>
  <r>
    <x v="0"/>
    <x v="7"/>
    <s v="리서치애드"/>
    <x v="2"/>
    <s v="글라스락"/>
    <s v="가정용품"/>
    <s v="주방용품"/>
    <s v="유리 및 자기그릇"/>
    <s v="jjang0u.com"/>
    <s v="엔터테인먼트(대)엔터테인먼트 기타(중)"/>
    <s v="취미창작"/>
    <s v="모비온"/>
    <x v="1"/>
    <x v="7"/>
    <s v="25.08.17"/>
    <s v="25.08.17"/>
    <n v="150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경제"/>
    <s v="모비온"/>
    <x v="1"/>
    <x v="11"/>
    <s v="25.11.16"/>
    <s v="25.11.16"/>
    <n v="53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기획이슈"/>
    <s v="모비온"/>
    <x v="1"/>
    <x v="9"/>
    <s v="25.10.07"/>
    <s v="25.10.07"/>
    <n v="53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기획이슈"/>
    <s v="모비온"/>
    <x v="1"/>
    <x v="11"/>
    <s v="25.11.17"/>
    <s v="25.11.23"/>
    <n v="372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연예스포츠"/>
    <s v="모비온"/>
    <x v="1"/>
    <x v="8"/>
    <s v="25.12.23"/>
    <s v="25.12.26"/>
    <n v="212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정치"/>
    <s v="모비온"/>
    <x v="1"/>
    <x v="11"/>
    <s v="25.11.30"/>
    <s v="25.11.30"/>
    <n v="53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정치"/>
    <s v="모비온"/>
    <x v="1"/>
    <x v="8"/>
    <s v="25.12.13"/>
    <s v="25.12.13"/>
    <n v="53"/>
  </r>
  <r>
    <x v="0"/>
    <x v="7"/>
    <s v="리서치애드"/>
    <x v="2"/>
    <s v="글라스락"/>
    <s v="가정용품"/>
    <s v="주방용품"/>
    <s v="유리 및 자기그릇"/>
    <s v="asiae.co.kr"/>
    <s v="신문/잡지(대)경제신문(중)"/>
    <s v="IT/산업"/>
    <s v="모비온"/>
    <x v="1"/>
    <x v="5"/>
    <s v="25.09.21"/>
    <s v="25.09.21"/>
    <n v="65"/>
  </r>
  <r>
    <x v="0"/>
    <x v="7"/>
    <s v="리서치애드"/>
    <x v="2"/>
    <s v="글라스락"/>
    <s v="가정용품"/>
    <s v="주방용품"/>
    <s v="유리 및 자기그릇"/>
    <s v="ruliweb.com"/>
    <s v="커뮤니티(대)게시판(중)"/>
    <s v="메인"/>
    <s v="모비온"/>
    <x v="1"/>
    <x v="5"/>
    <s v="25.09.23"/>
    <s v="25.09.23"/>
    <n v="150"/>
  </r>
  <r>
    <x v="0"/>
    <x v="7"/>
    <s v="리서치애드"/>
    <x v="2"/>
    <s v="글라스락"/>
    <s v="가정용품"/>
    <s v="주방용품"/>
    <s v="유리 및 자기그릇"/>
    <s v="ruliweb.com"/>
    <s v="커뮤니티(대)게시판(중)"/>
    <s v="메인"/>
    <s v="모비온"/>
    <x v="1"/>
    <x v="8"/>
    <s v="25.12.31"/>
    <s v="25.12.31"/>
    <n v="124"/>
  </r>
  <r>
    <x v="0"/>
    <x v="7"/>
    <s v="리서치애드"/>
    <x v="2"/>
    <s v="글라스락"/>
    <s v="가정용품"/>
    <s v="주방용품"/>
    <s v="유리 및 자기그릇"/>
    <s v="ruliweb.com"/>
    <s v="커뮤니티(대)게시판(중)"/>
    <s v="커뮤니티"/>
    <s v="모비온"/>
    <x v="1"/>
    <x v="9"/>
    <s v="25.10.08"/>
    <s v="25.10.08"/>
    <n v="124"/>
  </r>
  <r>
    <x v="0"/>
    <x v="7"/>
    <s v="리서치애드"/>
    <x v="2"/>
    <s v="글라스락"/>
    <s v="가정용품"/>
    <s v="주방용품"/>
    <s v="유리 및 자기그릇"/>
    <s v="hungryapp.co.kr"/>
    <s v="엔터테인먼트(대)게임(중)"/>
    <s v="공략팬사이트"/>
    <s v="모비온"/>
    <x v="1"/>
    <x v="11"/>
    <s v="25.11.17"/>
    <s v="25.11.19"/>
    <n v="371"/>
  </r>
  <r>
    <x v="0"/>
    <x v="7"/>
    <s v="리서치애드"/>
    <x v="2"/>
    <s v="글라스락"/>
    <s v="가정용품"/>
    <s v="주방용품"/>
    <s v="유리 및 자기그릇"/>
    <s v="hungryapp.co.kr"/>
    <s v="엔터테인먼트(대)게임(중)"/>
    <s v="공략팬사이트"/>
    <s v="모비온"/>
    <x v="1"/>
    <x v="8"/>
    <s v="25.12.07"/>
    <s v="25.12.07"/>
    <n v="124"/>
  </r>
  <r>
    <x v="0"/>
    <x v="7"/>
    <s v="리서치애드"/>
    <x v="2"/>
    <s v="글라스락"/>
    <s v="가정용품"/>
    <s v="주방용품"/>
    <s v="유리 및 자기그릇"/>
    <s v="hungryapp.co.kr"/>
    <s v="엔터테인먼트(대)게임(중)"/>
    <s v="메인"/>
    <s v="모비온"/>
    <x v="1"/>
    <x v="5"/>
    <s v="25.09.17"/>
    <s v="25.09.17"/>
    <n v="150"/>
  </r>
  <r>
    <x v="0"/>
    <x v="7"/>
    <s v="리서치애드"/>
    <x v="2"/>
    <s v="글라스락"/>
    <s v="가정용품"/>
    <s v="주방용품"/>
    <s v="유리 및 자기그릇"/>
    <s v="etoday.co.kr"/>
    <s v="신문/잡지(대)온라인뉴스(중)"/>
    <s v="뉴스발전소"/>
    <s v="모비온"/>
    <x v="1"/>
    <x v="8"/>
    <s v="25.12.17"/>
    <s v="25.12.17"/>
    <n v="124"/>
  </r>
  <r>
    <x v="0"/>
    <x v="7"/>
    <s v="리서치애드"/>
    <x v="2"/>
    <s v="글라스락"/>
    <s v="가정용품"/>
    <s v="주방용품"/>
    <s v="유리 및 자기그릇"/>
    <s v="etoday.co.kr"/>
    <s v="신문/잡지(대)온라인뉴스(중)"/>
    <s v="부동산"/>
    <s v="모비온"/>
    <x v="1"/>
    <x v="8"/>
    <s v="25.12.10"/>
    <s v="25.12.10"/>
    <n v="124"/>
  </r>
  <r>
    <x v="0"/>
    <x v="7"/>
    <s v="리서치애드"/>
    <x v="2"/>
    <s v="글라스락"/>
    <s v="가정용품"/>
    <s v="주방용품"/>
    <s v="유리 및 자기그릇"/>
    <s v="etoday.co.kr"/>
    <s v="신문/잡지(대)온라인뉴스(중)"/>
    <s v="사회"/>
    <s v="모비온"/>
    <x v="1"/>
    <x v="9"/>
    <s v="25.10.10"/>
    <s v="25.10.10"/>
    <n v="124"/>
  </r>
  <r>
    <x v="0"/>
    <x v="7"/>
    <s v="리서치애드"/>
    <x v="2"/>
    <s v="글라스락"/>
    <s v="가정용품"/>
    <s v="주방용품"/>
    <s v="유리 및 자기그릇"/>
    <s v="etoday.co.kr"/>
    <s v="신문/잡지(대)온라인뉴스(중)"/>
    <s v="사회"/>
    <s v="모비온"/>
    <x v="2"/>
    <x v="4"/>
    <s v="26.01.06"/>
    <s v="26.01.06"/>
    <n v="447"/>
  </r>
  <r>
    <x v="0"/>
    <x v="7"/>
    <s v="리서치애드"/>
    <x v="2"/>
    <s v="글라스락"/>
    <s v="가정용품"/>
    <s v="주방용품"/>
    <s v="유리 및 자기그릇"/>
    <s v="etoday.co.kr"/>
    <s v="신문/잡지(대)온라인뉴스(중)"/>
    <s v="자동차"/>
    <s v="모비온"/>
    <x v="1"/>
    <x v="9"/>
    <s v="25.10.24"/>
    <s v="25.10.24"/>
    <n v="124"/>
  </r>
  <r>
    <x v="0"/>
    <x v="7"/>
    <s v="리서치애드"/>
    <x v="2"/>
    <s v="글라스락"/>
    <s v="가정용품"/>
    <s v="주방용품"/>
    <s v="유리 및 자기그릇"/>
    <s v="etoday.co.kr"/>
    <s v="신문/잡지(대)온라인뉴스(중)"/>
    <s v="정치"/>
    <s v="모비온"/>
    <x v="1"/>
    <x v="11"/>
    <s v="25.11.17"/>
    <s v="25.11.17"/>
    <n v="124"/>
  </r>
  <r>
    <x v="0"/>
    <x v="7"/>
    <s v="리서치애드"/>
    <x v="2"/>
    <s v="글라스락"/>
    <s v="가정용품"/>
    <s v="주방용품"/>
    <s v="유리 및 자기그릇"/>
    <s v="joongang.co.kr"/>
    <s v="신문/잡지(대)종합일간지(중)"/>
    <s v="라이프"/>
    <s v="모비온"/>
    <x v="1"/>
    <x v="11"/>
    <s v="25.11.09"/>
    <s v="25.11.09"/>
    <n v="124"/>
  </r>
  <r>
    <x v="0"/>
    <x v="7"/>
    <s v="리서치애드"/>
    <x v="2"/>
    <s v="글라스락"/>
    <s v="가정용품"/>
    <s v="주방용품"/>
    <s v="유리 및 자기그릇"/>
    <s v="joongang.co.kr"/>
    <s v="신문/잡지(대)종합일간지(중)"/>
    <s v="중앙선데이"/>
    <s v="모비온"/>
    <x v="1"/>
    <x v="8"/>
    <s v="25.12.03"/>
    <s v="25.12.03"/>
    <n v="124"/>
  </r>
  <r>
    <x v="0"/>
    <x v="7"/>
    <s v="리서치애드"/>
    <x v="2"/>
    <s v="글라스락"/>
    <s v="가정용품"/>
    <s v="주방용품"/>
    <s v="유리 및 자기그릇"/>
    <s v="joongang.co.kr"/>
    <s v="신문/잡지(대)종합일간지(중)"/>
    <s v="중앙선데이"/>
    <s v="모비온"/>
    <x v="1"/>
    <x v="8"/>
    <s v="25.12.31"/>
    <s v="25.12.31"/>
    <n v="124"/>
  </r>
  <r>
    <x v="0"/>
    <x v="7"/>
    <s v="리서치애드"/>
    <x v="2"/>
    <s v="글라스락"/>
    <s v="가정용품"/>
    <s v="주방용품"/>
    <s v="유리 및 자기그릇"/>
    <s v="joongang.co.kr"/>
    <s v="신문/잡지(대)종합일간지(중)"/>
    <s v="피플"/>
    <s v="모비온"/>
    <x v="1"/>
    <x v="5"/>
    <s v="25.09.13"/>
    <s v="25.09.13"/>
    <n v="150"/>
  </r>
  <r>
    <x v="0"/>
    <x v="0"/>
    <s v="리서치애드"/>
    <x v="2"/>
    <s v="글라스락"/>
    <s v="가정용품"/>
    <s v="주방용품"/>
    <s v="유리 및 자기그릇"/>
    <s v="jtbc.co.kr"/>
    <s v="방송(대)방송기타(중)"/>
    <s v="예능"/>
    <s v="Taboola"/>
    <x v="1"/>
    <x v="11"/>
    <s v="25.11.30"/>
    <s v="25.11.30"/>
    <n v="93"/>
  </r>
  <r>
    <x v="0"/>
    <x v="7"/>
    <s v="리서치애드"/>
    <x v="2"/>
    <s v="보에나"/>
    <s v="가정용품"/>
    <s v="주방용품"/>
    <s v="유리 및 자기그릇"/>
    <s v="yna.co.kr"/>
    <s v="신문/잡지(대)온라인뉴스(중)"/>
    <s v="전국"/>
    <s v="모비온"/>
    <x v="1"/>
    <x v="8"/>
    <s v="25.12.04"/>
    <s v="25.12.04"/>
    <n v="124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01"/>
    <s v="25.07.03"/>
    <n v="18392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07"/>
    <s v="25.07.07"/>
    <n v="3065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07"/>
    <s v="25.07.13"/>
    <n v="21458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08"/>
    <s v="25.07.13"/>
    <n v="18393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09"/>
    <s v="25.07.10"/>
    <n v="6131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14"/>
    <s v="25.07.17"/>
    <n v="24524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18"/>
    <s v="25.07.20"/>
    <n v="18392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21"/>
    <s v="25.07.27"/>
    <n v="42916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6"/>
    <s v="25.07.28"/>
    <s v="25.07.31"/>
    <n v="24524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1"/>
    <s v="25.08.02"/>
    <n v="6555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1"/>
    <s v="25.08.03"/>
    <n v="9833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3"/>
    <s v="25.08.03"/>
    <n v="3278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4"/>
    <s v="25.08.05"/>
    <n v="6555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4"/>
    <s v="25.08.09"/>
    <n v="19666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4"/>
    <s v="25.08.10"/>
    <n v="22943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06"/>
    <s v="25.08.08"/>
    <n v="9833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7"/>
    <s v="25.08.10"/>
    <s v="25.08.10"/>
    <n v="3278"/>
  </r>
  <r>
    <x v="0"/>
    <x v="8"/>
    <s v="리서치애드"/>
    <x v="0"/>
    <s v="락앤락"/>
    <s v="가정용품"/>
    <s v="주방용품"/>
    <s v="바이오 용기"/>
    <s v="MBC mini"/>
    <s v="방송(대)방송기타(중)"/>
    <s v="m.app"/>
    <s v="카카오광고"/>
    <x v="1"/>
    <x v="6"/>
    <s v="25.07.04"/>
    <s v="25.07.04"/>
    <n v="16"/>
  </r>
  <r>
    <x v="0"/>
    <x v="6"/>
    <s v="리서치애드"/>
    <x v="0"/>
    <s v="락앤락"/>
    <s v="가정용품"/>
    <s v="주방용품"/>
    <s v="바이오 용기"/>
    <s v="11st.co.kr"/>
    <s v="생활정보(대)쇼핑/가격정보(중)"/>
    <s v="m.web"/>
    <s v="-"/>
    <x v="1"/>
    <x v="11"/>
    <s v="25.11.17"/>
    <s v="25.11.17"/>
    <n v="66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5"/>
    <s v="25.09.28"/>
    <s v="25.09.28"/>
    <n v="680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5"/>
    <s v="25.09.29"/>
    <s v="25.09.30"/>
    <n v="1359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9"/>
    <s v="25.10.01"/>
    <s v="25.10.05"/>
    <n v="3398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9"/>
    <s v="25.10.06"/>
    <s v="25.10.12"/>
    <n v="4757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9"/>
    <s v="25.10.13"/>
    <s v="25.10.19"/>
    <n v="4757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9"/>
    <s v="25.10.21"/>
    <s v="25.10.26"/>
    <n v="4077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9"/>
    <s v="25.10.27"/>
    <s v="25.10.27"/>
    <n v="680"/>
  </r>
  <r>
    <x v="0"/>
    <x v="9"/>
    <s v="리서치애드"/>
    <x v="0"/>
    <s v="락앤락"/>
    <s v="가정용품"/>
    <s v="주방용품"/>
    <s v="바이오 용기"/>
    <s v="버즈빌"/>
    <s v="모바일(대)모바일기타(중)"/>
    <s v="m.app"/>
    <s v="버즈빌"/>
    <x v="1"/>
    <x v="11"/>
    <s v="25.11.08"/>
    <s v="25.11.09"/>
    <n v="1359"/>
  </r>
  <r>
    <x v="0"/>
    <x v="10"/>
    <s v="리서치애드"/>
    <x v="0"/>
    <s v="락앤락"/>
    <s v="가정용품"/>
    <s v="주방용품"/>
    <s v="바이오 용기"/>
    <s v="디지털캠프"/>
    <s v="모바일(대)모바일기타(중)"/>
    <s v="m.app"/>
    <s v="디지털캠프"/>
    <x v="1"/>
    <x v="5"/>
    <s v="25.09.15"/>
    <s v="25.09.15"/>
    <n v="601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5"/>
    <s v="25.09.08"/>
    <s v="25.09.14"/>
    <n v="5448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5"/>
    <s v="25.09.15"/>
    <s v="25.09.21"/>
    <n v="5448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5"/>
    <s v="25.09.22"/>
    <s v="25.09.28"/>
    <n v="5448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5"/>
    <s v="25.09.29"/>
    <s v="25.09.30"/>
    <n v="4671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9"/>
    <s v="25.10.01"/>
    <s v="25.10.05"/>
    <n v="7782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9"/>
    <s v="25.10.06"/>
    <s v="25.10.12"/>
    <n v="10896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9"/>
    <s v="25.10.13"/>
    <s v="25.10.19"/>
    <n v="10896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9"/>
    <s v="25.10.20"/>
    <s v="25.10.26"/>
    <n v="10896"/>
  </r>
  <r>
    <x v="0"/>
    <x v="11"/>
    <s v="리서치애드"/>
    <x v="0"/>
    <s v="락앤락"/>
    <s v="가정용품"/>
    <s v="주방용품"/>
    <s v="바이오 용기"/>
    <s v="MANPLUS"/>
    <s v="모바일(대)모바일기타(중)"/>
    <s v="m.app"/>
    <s v="TARGETPICK"/>
    <x v="1"/>
    <x v="9"/>
    <s v="25.10.27"/>
    <s v="25.10.27"/>
    <n v="1556"/>
  </r>
  <r>
    <x v="0"/>
    <x v="8"/>
    <s v="리서치애드"/>
    <x v="0"/>
    <s v="락앤락텀블러"/>
    <s v="가정용품"/>
    <s v="주방용품"/>
    <s v="보온 도시락 및 물통"/>
    <s v="카카오톡"/>
    <s v="커뮤니케이션(대)채팅/메신저(중)"/>
    <s v="m.app"/>
    <s v="카카오광고"/>
    <x v="1"/>
    <x v="5"/>
    <s v="25.09.20"/>
    <s v="25.09.20"/>
    <n v="8807"/>
  </r>
  <r>
    <x v="0"/>
    <x v="6"/>
    <s v="리서치애드"/>
    <x v="0"/>
    <s v="락앤락텀블러"/>
    <s v="가정용품"/>
    <s v="주방용품"/>
    <s v="보온 도시락 및 물통"/>
    <s v="11st.co.kr"/>
    <s v="생활정보(대)쇼핑/가격정보(중)"/>
    <s v="m.web"/>
    <s v="-"/>
    <x v="1"/>
    <x v="6"/>
    <s v="25.07.02"/>
    <s v="25.07.02"/>
    <n v="66"/>
  </r>
  <r>
    <x v="0"/>
    <x v="6"/>
    <s v="리서치애드"/>
    <x v="0"/>
    <s v="락앤락텀블러"/>
    <s v="가정용품"/>
    <s v="주방용품"/>
    <s v="보온 도시락 및 물통"/>
    <s v="11st.co.kr"/>
    <s v="생활정보(대)쇼핑/가격정보(중)"/>
    <s v="m.web"/>
    <s v="-"/>
    <x v="1"/>
    <x v="6"/>
    <s v="25.07.09"/>
    <s v="25.07.09"/>
    <n v="66"/>
  </r>
  <r>
    <x v="0"/>
    <x v="6"/>
    <s v="리서치애드"/>
    <x v="0"/>
    <s v="락앤락텀블러"/>
    <s v="가정용품"/>
    <s v="주방용품"/>
    <s v="보온 도시락 및 물통"/>
    <s v="11st.co.kr"/>
    <s v="생활정보(대)쇼핑/가격정보(중)"/>
    <s v="m.web"/>
    <s v="-"/>
    <x v="1"/>
    <x v="6"/>
    <s v="25.07.15"/>
    <s v="25.07.15"/>
    <n v="66"/>
  </r>
  <r>
    <x v="2"/>
    <x v="3"/>
    <s v="리서치애드"/>
    <x v="1"/>
    <s v="코렐"/>
    <s v="가정용품"/>
    <s v="주방용품"/>
    <s v="유리 및 자기그릇"/>
    <s v="naver.com"/>
    <s v="포털(대)포털(중)"/>
    <s v="m.web"/>
    <s v="-"/>
    <x v="2"/>
    <x v="4"/>
    <s v="26.01.22"/>
    <s v="26.01.22"/>
    <n v="3278"/>
  </r>
  <r>
    <x v="2"/>
    <x v="3"/>
    <s v="리서치애드"/>
    <x v="1"/>
    <s v="코렐"/>
    <s v="가정용품"/>
    <s v="주방용품"/>
    <s v="유리 및 자기그릇"/>
    <s v="naver.com"/>
    <s v="포털(대)포털(중)"/>
    <s v="m.web"/>
    <s v="-"/>
    <x v="2"/>
    <x v="4"/>
    <s v="26.01.26"/>
    <s v="26.01.28"/>
    <n v="9833"/>
  </r>
  <r>
    <x v="0"/>
    <x v="6"/>
    <s v="리서치애드"/>
    <x v="1"/>
    <s v="코렐"/>
    <s v="가정용품"/>
    <s v="주방용품"/>
    <s v="유리 및 자기그릇"/>
    <s v="11st.co.kr"/>
    <s v="생활정보(대)쇼핑/가격정보(중)"/>
    <s v="m.web"/>
    <s v="-"/>
    <x v="1"/>
    <x v="8"/>
    <s v="25.12.03"/>
    <s v="25.12.03"/>
    <n v="66"/>
  </r>
  <r>
    <x v="0"/>
    <x v="6"/>
    <s v="리서치애드"/>
    <x v="1"/>
    <s v="코렐"/>
    <s v="가정용품"/>
    <s v="주방용품"/>
    <s v="유리 및 자기그릇"/>
    <s v="11st.co.kr"/>
    <s v="생활정보(대)쇼핑/가격정보(중)"/>
    <s v="m.web"/>
    <s v="-"/>
    <x v="1"/>
    <x v="8"/>
    <s v="25.12.11"/>
    <s v="25.12.11"/>
    <n v="66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11"/>
    <s v="25.11.25"/>
    <s v="25.11.28"/>
    <n v="7661"/>
  </r>
  <r>
    <x v="2"/>
    <x v="3"/>
    <s v="리서치애드"/>
    <x v="2"/>
    <s v="글라스락"/>
    <s v="가정용품"/>
    <s v="주방용품"/>
    <s v="유리 및 자기그릇"/>
    <s v="naver.com"/>
    <s v="포털(대)포털(중)"/>
    <s v="m.web"/>
    <s v="-"/>
    <x v="2"/>
    <x v="4"/>
    <s v="26.01.30"/>
    <s v="26.01.30"/>
    <n v="3278"/>
  </r>
  <r>
    <x v="2"/>
    <x v="3"/>
    <s v="리서치애드"/>
    <x v="2"/>
    <s v="글라스락"/>
    <s v="가정용품"/>
    <s v="주방용품"/>
    <s v="유리 및 자기그릇"/>
    <s v="naver.com"/>
    <s v="포털(대)포털(중)"/>
    <s v="m.web"/>
    <s v="-"/>
    <x v="2"/>
    <x v="4"/>
    <s v="26.01.31"/>
    <s v="26.01.31"/>
    <n v="3278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6"/>
    <s v="25.07.16"/>
    <s v="25.07.18"/>
    <n v="1682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6"/>
    <s v="25.07.19"/>
    <s v="25.07.20"/>
    <n v="1121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6"/>
    <s v="25.07.21"/>
    <s v="25.07.25"/>
    <n v="280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9"/>
    <s v="25.10.01"/>
    <s v="25.10.05"/>
    <n v="1638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9"/>
    <s v="25.10.06"/>
    <s v="25.10.12"/>
    <n v="2294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9"/>
    <s v="25.10.13"/>
    <s v="25.10.19"/>
    <n v="2294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9"/>
    <s v="25.10.20"/>
    <s v="25.10.26"/>
    <n v="2294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9"/>
    <s v="25.10.23"/>
    <s v="25.10.23"/>
    <n v="327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9"/>
    <s v="25.10.27"/>
    <s v="25.10.31"/>
    <n v="1638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01"/>
    <s v="25.11.02"/>
    <n v="6555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03"/>
    <s v="25.11.03"/>
    <n v="327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04"/>
    <s v="25.11.09"/>
    <n v="19666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10"/>
    <s v="25.11.16"/>
    <n v="2294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17"/>
    <s v="25.11.18"/>
    <n v="6555"/>
  </r>
  <r>
    <x v="0"/>
    <x v="12"/>
    <s v="리서치애드"/>
    <x v="3"/>
    <s v="이케아"/>
    <s v="가정용품"/>
    <s v="가구류"/>
    <s v="가구류 제품종합"/>
    <s v="pressian.com"/>
    <s v="신문/잡지(대)온라인뉴스(중)"/>
    <s v="m.web"/>
    <s v="애드몹"/>
    <x v="1"/>
    <x v="7"/>
    <s v="25.08.13"/>
    <s v="25.08.13"/>
    <n v="354"/>
  </r>
  <r>
    <x v="0"/>
    <x v="12"/>
    <s v="리서치애드"/>
    <x v="3"/>
    <s v="이케아"/>
    <s v="가정용품"/>
    <s v="가구류"/>
    <s v="가구류 제품종합"/>
    <s v="hungryapp.co.kr"/>
    <s v="엔터테인먼트(대)게임(중)"/>
    <s v="m.web"/>
    <s v="애드몹"/>
    <x v="1"/>
    <x v="7"/>
    <s v="25.08.07"/>
    <s v="25.08.07"/>
    <n v="1576"/>
  </r>
  <r>
    <x v="0"/>
    <x v="12"/>
    <s v="리서치애드"/>
    <x v="3"/>
    <s v="이케아"/>
    <s v="가정용품"/>
    <s v="가구류"/>
    <s v="가구류 제품종합"/>
    <s v="바운스볼"/>
    <s v="엔터테인먼트(대)게임(중)"/>
    <s v="m.app"/>
    <s v="애드몹"/>
    <x v="1"/>
    <x v="7"/>
    <s v="25.08.05"/>
    <s v="25.08.05"/>
    <n v="207"/>
  </r>
  <r>
    <x v="0"/>
    <x v="12"/>
    <s v="리서치애드"/>
    <x v="3"/>
    <s v="이케아"/>
    <s v="가정용품"/>
    <s v="가구류"/>
    <s v="가구류 제품종합"/>
    <s v="벨소리 메이커"/>
    <s v="모바일(대)엔터테인먼트(중)"/>
    <s v="m.app"/>
    <s v="애드몹"/>
    <x v="1"/>
    <x v="6"/>
    <s v="25.07.30"/>
    <s v="25.07.30"/>
    <n v="178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5"/>
    <s v="25.09.03"/>
    <s v="25.09.06"/>
    <n v="3522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5"/>
    <s v="25.09.08"/>
    <s v="25.09.13"/>
    <n v="52839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11"/>
    <s v="25.11.28"/>
    <s v="25.11.28"/>
    <n v="8807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8"/>
    <s v="25.12.01"/>
    <s v="25.12.03"/>
    <n v="14342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8"/>
    <s v="25.12.04"/>
    <s v="25.12.04"/>
    <n v="4781"/>
  </r>
  <r>
    <x v="0"/>
    <x v="12"/>
    <s v="리서치애드"/>
    <x v="3"/>
    <s v="이케아"/>
    <s v="가정용품"/>
    <s v="가구류"/>
    <s v="가구류 제품종합"/>
    <s v="kbench.com"/>
    <s v="생활정보(대)쇼핑/가격정보(중)"/>
    <s v="m.web"/>
    <s v="애드몹"/>
    <x v="1"/>
    <x v="5"/>
    <s v="25.09.11"/>
    <s v="25.09.11"/>
    <n v="182"/>
  </r>
  <r>
    <x v="0"/>
    <x v="12"/>
    <s v="리서치애드"/>
    <x v="3"/>
    <s v="이케아"/>
    <s v="가정용품"/>
    <s v="가구류"/>
    <s v="가구류 제품종합"/>
    <s v="Tap Titans 2"/>
    <s v="엔터테인먼트(대)게임(중)"/>
    <s v="m.app"/>
    <s v="애드몹"/>
    <x v="1"/>
    <x v="6"/>
    <s v="25.07.28"/>
    <s v="25.07.28"/>
    <n v="178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1"/>
    <x v="5"/>
    <s v="25.09.09"/>
    <s v="25.09.10"/>
    <n v="1359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1"/>
    <x v="5"/>
    <s v="25.09.11"/>
    <s v="25.09.11"/>
    <n v="680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1"/>
    <x v="9"/>
    <s v="25.10.09"/>
    <s v="25.10.10"/>
    <n v="1359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2"/>
    <x v="4"/>
    <s v="26.01.07"/>
    <s v="26.01.08"/>
    <n v="1573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1"/>
    <x v="5"/>
    <s v="25.09.03"/>
    <s v="25.09.05"/>
    <n v="2564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1"/>
    <x v="8"/>
    <s v="25.12.03"/>
    <s v="25.12.04"/>
    <n v="3831"/>
  </r>
  <r>
    <x v="0"/>
    <x v="12"/>
    <s v="리서치애드"/>
    <x v="3"/>
    <s v="이케아"/>
    <s v="가정용품"/>
    <s v="가구류"/>
    <s v="가구류 제품종합"/>
    <s v="마이토킹톰 프렌즈"/>
    <s v="엔터테인먼트(대)게임(중)"/>
    <s v="m.app"/>
    <s v="애드몹"/>
    <x v="1"/>
    <x v="6"/>
    <s v="25.07.27"/>
    <s v="25.07.27"/>
    <n v="178"/>
  </r>
  <r>
    <x v="0"/>
    <x v="12"/>
    <s v="리서치애드"/>
    <x v="3"/>
    <s v="이케아"/>
    <s v="가정용품"/>
    <s v="가구류"/>
    <s v="가구류 제품종합"/>
    <s v="Spiral Roll"/>
    <s v="엔터테인먼트(대)게임(중)"/>
    <s v="m.app"/>
    <s v="애드몹"/>
    <x v="1"/>
    <x v="7"/>
    <s v="25.08.14"/>
    <s v="25.08.14"/>
    <n v="207"/>
  </r>
  <r>
    <x v="0"/>
    <x v="12"/>
    <s v="리서치애드"/>
    <x v="3"/>
    <s v="이케아"/>
    <s v="가정용품"/>
    <s v="가구류"/>
    <s v="가구류 제품종합"/>
    <s v="joongang.co.kr"/>
    <s v="신문/잡지(대)종합일간지(중)"/>
    <s v="m.web"/>
    <s v="애드몹"/>
    <x v="1"/>
    <x v="6"/>
    <s v="25.07.29"/>
    <s v="25.07.29"/>
    <n v="290"/>
  </r>
  <r>
    <x v="0"/>
    <x v="12"/>
    <s v="리서치애드"/>
    <x v="3"/>
    <s v="이케아"/>
    <s v="가정용품"/>
    <s v="가구류"/>
    <s v="가구류 제품종합"/>
    <s v="joongang.co.kr"/>
    <s v="신문/잡지(대)종합일간지(중)"/>
    <s v="m.web"/>
    <s v="애드몹"/>
    <x v="1"/>
    <x v="7"/>
    <s v="25.08.12"/>
    <s v="25.08.12"/>
    <n v="337"/>
  </r>
  <r>
    <x v="0"/>
    <x v="13"/>
    <s v="리서치애드"/>
    <x v="3"/>
    <s v="이케아"/>
    <s v="가정용품"/>
    <s v="가구류"/>
    <s v="가구류 제품종합"/>
    <s v="NAPDSP"/>
    <s v="모바일(대)모바일기타(중)"/>
    <s v="m.app"/>
    <s v="NAPDSP"/>
    <x v="1"/>
    <x v="6"/>
    <s v="25.07.14"/>
    <s v="25.07.20"/>
    <n v="26812"/>
  </r>
  <r>
    <x v="0"/>
    <x v="13"/>
    <s v="리서치애드"/>
    <x v="3"/>
    <s v="이케아"/>
    <s v="가정용품"/>
    <s v="가구류"/>
    <s v="가구류 제품종합"/>
    <s v="NAPDSP"/>
    <s v="모바일(대)모바일기타(중)"/>
    <s v="m.app"/>
    <s v="NAPDSP"/>
    <x v="1"/>
    <x v="6"/>
    <s v="25.07.21"/>
    <s v="25.07.21"/>
    <n v="3832"/>
  </r>
  <r>
    <x v="0"/>
    <x v="13"/>
    <s v="리서치애드"/>
    <x v="3"/>
    <s v="이케아"/>
    <s v="가정용품"/>
    <s v="가구류"/>
    <s v="가구류 제품종합"/>
    <s v="NAPDSP"/>
    <s v="모바일(대)모바일기타(중)"/>
    <s v="m.app"/>
    <s v="NAPDSP"/>
    <x v="1"/>
    <x v="7"/>
    <s v="25.08.04"/>
    <s v="25.08.10"/>
    <n v="26812"/>
  </r>
  <r>
    <x v="0"/>
    <x v="13"/>
    <s v="리서치애드"/>
    <x v="3"/>
    <s v="이케아"/>
    <s v="가정용품"/>
    <s v="가구류"/>
    <s v="가구류 제품종합"/>
    <s v="NAPDSP"/>
    <s v="모바일(대)모바일기타(중)"/>
    <s v="m.app"/>
    <s v="NAPDSP"/>
    <x v="1"/>
    <x v="7"/>
    <s v="25.08.11"/>
    <s v="25.08.13"/>
    <n v="11492"/>
  </r>
  <r>
    <x v="0"/>
    <x v="12"/>
    <s v="리서치애드"/>
    <x v="3"/>
    <s v="이케아"/>
    <s v="가정용품"/>
    <s v="가구류"/>
    <s v="가구류 제품종합"/>
    <s v="Phone File Recovery"/>
    <s v="모바일(대)도구/유틸리티(중)"/>
    <s v="m.app"/>
    <s v="애드몹"/>
    <x v="1"/>
    <x v="6"/>
    <s v="25.07.27"/>
    <s v="25.07.27"/>
    <n v="17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03"/>
    <s v="25.11.04"/>
    <n v="6555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05"/>
    <s v="25.11.05"/>
    <n v="327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06"/>
    <s v="25.11.09"/>
    <n v="13110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10"/>
    <s v="25.11.16"/>
    <n v="2294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1"/>
    <s v="25.11.17"/>
    <s v="25.11.18"/>
    <n v="6555"/>
  </r>
  <r>
    <x v="0"/>
    <x v="12"/>
    <s v="리서치애드"/>
    <x v="3"/>
    <s v="이케아"/>
    <s v="가정용품"/>
    <s v="가구류"/>
    <s v="가구류 제품종합"/>
    <s v="바운스볼"/>
    <s v="엔터테인먼트(대)게임(중)"/>
    <s v="m.app"/>
    <s v="애드몹"/>
    <x v="1"/>
    <x v="7"/>
    <s v="25.08.05"/>
    <s v="25.08.05"/>
    <n v="207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7"/>
    <s v="25.08.08"/>
    <s v="25.08.10"/>
    <n v="26420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7"/>
    <s v="25.08.14"/>
    <s v="25.08.17"/>
    <n v="35226"/>
  </r>
  <r>
    <x v="0"/>
    <x v="12"/>
    <s v="리서치애드"/>
    <x v="3"/>
    <s v="이케아"/>
    <s v="가정용품"/>
    <s v="가구류"/>
    <s v="가구류 제품종합"/>
    <s v="알송"/>
    <s v="엔터테인먼트(대)음악(중)"/>
    <s v="m.app"/>
    <s v="애드몹"/>
    <x v="1"/>
    <x v="6"/>
    <s v="25.07.30"/>
    <s v="25.07.30"/>
    <n v="178"/>
  </r>
  <r>
    <x v="0"/>
    <x v="8"/>
    <s v="리서치애드"/>
    <x v="3"/>
    <s v="이케아"/>
    <s v="가정용품"/>
    <s v="가구류"/>
    <s v="가구류 제품종합"/>
    <s v="블루라이트 차단 스크린 필터"/>
    <s v="모바일(대)도구/유틸리티(중)"/>
    <s v="m.app"/>
    <s v="카카오광고"/>
    <x v="1"/>
    <x v="7"/>
    <s v="25.08.14"/>
    <s v="25.08.14"/>
    <n v="16"/>
  </r>
  <r>
    <x v="0"/>
    <x v="12"/>
    <s v="리서치애드"/>
    <x v="3"/>
    <s v="이케아"/>
    <s v="가정용품"/>
    <s v="가구류"/>
    <s v="가구류 제품종합"/>
    <s v="Block Puzzle Jewel"/>
    <s v="엔터테인먼트(대)게임(중)"/>
    <s v="m.app"/>
    <s v="애드몹"/>
    <x v="1"/>
    <x v="7"/>
    <s v="25.08.03"/>
    <s v="25.08.03"/>
    <n v="207"/>
  </r>
  <r>
    <x v="0"/>
    <x v="12"/>
    <s v="리서치애드"/>
    <x v="3"/>
    <s v="이케아"/>
    <s v="가정용품"/>
    <s v="가구류"/>
    <s v="가구류 제품종합"/>
    <s v="CookingMama"/>
    <s v="엔터테인먼트(대)게임(중)"/>
    <s v="m.app"/>
    <s v="애드몹"/>
    <x v="1"/>
    <x v="7"/>
    <s v="25.08.19"/>
    <s v="25.08.19"/>
    <n v="207"/>
  </r>
  <r>
    <x v="0"/>
    <x v="12"/>
    <s v="리서치애드"/>
    <x v="3"/>
    <s v="이케아"/>
    <s v="가정용품"/>
    <s v="가구류"/>
    <s v="가구류 제품종합"/>
    <s v="전화놀이"/>
    <s v="엔터테인먼트(대)엔터테인먼트 기타(중)"/>
    <s v="m.app"/>
    <s v="애드몹"/>
    <x v="1"/>
    <x v="6"/>
    <s v="25.07.27"/>
    <s v="25.07.27"/>
    <n v="178"/>
  </r>
  <r>
    <x v="0"/>
    <x v="12"/>
    <s v="리서치애드"/>
    <x v="3"/>
    <s v="이케아"/>
    <s v="가정용품"/>
    <s v="가구류"/>
    <s v="가구류 제품종합"/>
    <s v="Brain Test"/>
    <s v="엔터테인먼트(대)게임(중)"/>
    <s v="m.app"/>
    <s v="애드몹"/>
    <x v="1"/>
    <x v="6"/>
    <s v="25.07.29"/>
    <s v="25.07.29"/>
    <n v="178"/>
  </r>
  <r>
    <x v="0"/>
    <x v="12"/>
    <s v="리서치애드"/>
    <x v="3"/>
    <s v="이케아"/>
    <s v="가정용품"/>
    <s v="가구류"/>
    <s v="가구류 제품종합"/>
    <s v="WoodTurning"/>
    <s v="엔터테인먼트(대)게임(중)"/>
    <s v="m.app"/>
    <s v="애드몹"/>
    <x v="1"/>
    <x v="7"/>
    <s v="25.08.15"/>
    <s v="25.08.15"/>
    <n v="207"/>
  </r>
  <r>
    <x v="0"/>
    <x v="12"/>
    <s v="리서치애드"/>
    <x v="3"/>
    <s v="이케아"/>
    <s v="가정용품"/>
    <s v="가구류"/>
    <s v="가구류 제품종합"/>
    <s v="Dream Piano"/>
    <s v="엔터테인먼트(대)게임(중)"/>
    <s v="m.app"/>
    <s v="애드몹"/>
    <x v="1"/>
    <x v="7"/>
    <s v="25.08.15"/>
    <s v="25.08.15"/>
    <n v="207"/>
  </r>
  <r>
    <x v="0"/>
    <x v="12"/>
    <s v="리서치애드"/>
    <x v="3"/>
    <s v="이케아"/>
    <s v="가정용품"/>
    <s v="가구류"/>
    <s v="가구류 제품종합"/>
    <s v="무승부등산가 - Draw Climber"/>
    <s v="엔터테인먼트(대)게임(중)"/>
    <s v="m.app"/>
    <s v="애드몹"/>
    <x v="1"/>
    <x v="7"/>
    <s v="25.08.17"/>
    <s v="25.08.17"/>
    <n v="207"/>
  </r>
  <r>
    <x v="0"/>
    <x v="12"/>
    <s v="리서치애드"/>
    <x v="3"/>
    <s v="이케아"/>
    <s v="가정용품"/>
    <s v="가구류"/>
    <s v="가구류 제품종합"/>
    <s v="마이토킹톰 프렌즈"/>
    <s v="엔터테인먼트(대)게임(중)"/>
    <s v="m.app"/>
    <s v="애드몹"/>
    <x v="1"/>
    <x v="7"/>
    <s v="25.08.04"/>
    <s v="25.08.04"/>
    <n v="207"/>
  </r>
  <r>
    <x v="0"/>
    <x v="12"/>
    <s v="리서치애드"/>
    <x v="3"/>
    <s v="이케아"/>
    <s v="가정용품"/>
    <s v="가구류"/>
    <s v="가구류 제품종합"/>
    <s v="사진속 귀신찾기"/>
    <s v="엔터테인먼트(대)게임(중)"/>
    <s v="m.app"/>
    <s v="애드몹"/>
    <x v="1"/>
    <x v="6"/>
    <s v="25.07.31"/>
    <s v="25.07.31"/>
    <n v="178"/>
  </r>
  <r>
    <x v="0"/>
    <x v="12"/>
    <s v="리서치애드"/>
    <x v="3"/>
    <s v="이케아"/>
    <s v="가정용품"/>
    <s v="가구류"/>
    <s v="가구류 제품종합"/>
    <s v="아리 키우기: 포로 농장"/>
    <s v="엔터테인먼트(대)게임(중)"/>
    <s v="m.app"/>
    <s v="애드몹"/>
    <x v="1"/>
    <x v="7"/>
    <s v="25.08.17"/>
    <s v="25.08.17"/>
    <n v="207"/>
  </r>
  <r>
    <x v="0"/>
    <x v="12"/>
    <s v="리서치애드"/>
    <x v="3"/>
    <s v="이케아"/>
    <s v="가정용품"/>
    <s v="가구류"/>
    <s v="가구류 제품종합"/>
    <s v="Yes or No?!"/>
    <s v="엔터테인먼트(대)게임(중)"/>
    <s v="m.app"/>
    <s v="애드몹"/>
    <x v="1"/>
    <x v="7"/>
    <s v="25.08.16"/>
    <s v="25.08.16"/>
    <n v="207"/>
  </r>
  <r>
    <x v="0"/>
    <x v="12"/>
    <s v="리서치애드"/>
    <x v="3"/>
    <s v="이케아"/>
    <s v="가정용품"/>
    <s v="가구류"/>
    <s v="가구류 제품종합"/>
    <s v="포켓빵을 숨겼다"/>
    <s v="엔터테인먼트(대)게임(중)"/>
    <s v="m.app"/>
    <s v="애드몹"/>
    <x v="1"/>
    <x v="7"/>
    <s v="25.08.15"/>
    <s v="25.08.15"/>
    <n v="207"/>
  </r>
  <r>
    <x v="0"/>
    <x v="12"/>
    <s v="리서치애드"/>
    <x v="3"/>
    <s v="이케아"/>
    <s v="가정용품"/>
    <s v="가구류"/>
    <s v="가구류 제품종합"/>
    <s v="joongang.co.kr"/>
    <s v="신문/잡지(대)종합일간지(중)"/>
    <s v="m.web"/>
    <s v="애드몹"/>
    <x v="1"/>
    <x v="6"/>
    <s v="25.07.25"/>
    <s v="25.07.25"/>
    <n v="290"/>
  </r>
  <r>
    <x v="0"/>
    <x v="12"/>
    <s v="리서치애드"/>
    <x v="3"/>
    <s v="이케아"/>
    <s v="가정용품"/>
    <s v="가구류"/>
    <s v="가구류 제품종합"/>
    <s v="부부의장난"/>
    <s v="엔터테인먼트(대)게임(중)"/>
    <s v="m.app"/>
    <s v="애드몹"/>
    <x v="1"/>
    <x v="6"/>
    <s v="25.07.29"/>
    <s v="25.07.29"/>
    <n v="178"/>
  </r>
  <r>
    <x v="0"/>
    <x v="12"/>
    <s v="리서치애드"/>
    <x v="3"/>
    <s v="이케아"/>
    <s v="가정용품"/>
    <s v="가구류"/>
    <s v="가구류 제품종합"/>
    <s v="Assistive Touch"/>
    <s v="모바일(대)도구/유틸리티(중)"/>
    <s v="m.app"/>
    <s v="애드몹"/>
    <x v="1"/>
    <x v="6"/>
    <s v="25.07.28"/>
    <s v="25.07.28"/>
    <n v="178"/>
  </r>
  <r>
    <x v="0"/>
    <x v="8"/>
    <s v="리서치애드"/>
    <x v="0"/>
    <s v="락앤락"/>
    <s v="가정용품"/>
    <s v="주방용품"/>
    <s v="바이오 용기"/>
    <s v="daum.net"/>
    <s v="포털(대)포털(중)"/>
    <s v="m.web"/>
    <s v="카카오광고"/>
    <x v="1"/>
    <x v="2"/>
    <s v="25.05.23"/>
    <s v="25.05.23"/>
    <n v="881"/>
  </r>
  <r>
    <x v="0"/>
    <x v="8"/>
    <s v="리서치애드"/>
    <x v="0"/>
    <s v="락앤락"/>
    <s v="가정용품"/>
    <s v="주방용품"/>
    <s v="바이오 용기"/>
    <s v="daum.net"/>
    <s v="포털(대)포털(중)"/>
    <s v="m.web"/>
    <s v="카카오광고"/>
    <x v="1"/>
    <x v="10"/>
    <s v="25.06.23"/>
    <s v="25.06.23"/>
    <n v="881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2"/>
    <s v="25.05.09"/>
    <s v="25.05.10"/>
    <n v="6131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2"/>
    <s v="25.05.12"/>
    <s v="25.05.15"/>
    <n v="12262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2"/>
    <s v="25.05.13"/>
    <s v="25.05.14"/>
    <n v="6131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2"/>
    <s v="25.05.19"/>
    <s v="25.05.20"/>
    <n v="6131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10"/>
    <s v="25.06.18"/>
    <s v="25.06.22"/>
    <n v="30654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10"/>
    <s v="25.06.23"/>
    <s v="25.06.28"/>
    <n v="36786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1"/>
    <x v="10"/>
    <s v="25.06.30"/>
    <s v="25.06.30"/>
    <n v="6130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1"/>
    <x v="0"/>
    <s v="25.02.17"/>
    <s v="25.02.17"/>
    <n v="5895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1"/>
    <x v="0"/>
    <s v="25.02.18"/>
    <s v="25.02.18"/>
    <n v="5895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1"/>
    <x v="0"/>
    <s v="25.02.21"/>
    <s v="25.02.23"/>
    <n v="17684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1"/>
    <x v="0"/>
    <s v="25.02.24"/>
    <s v="25.02.28"/>
    <n v="29474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1"/>
    <x v="1"/>
    <s v="25.03.01"/>
    <s v="25.03.02"/>
    <n v="13866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1"/>
    <x v="10"/>
    <s v="25.06.02"/>
    <s v="25.06.02"/>
    <n v="11244"/>
  </r>
  <r>
    <x v="0"/>
    <x v="8"/>
    <s v="리서치애드"/>
    <x v="0"/>
    <s v="락앤락"/>
    <s v="가정용품"/>
    <s v="주방용품"/>
    <s v="바이오 용기"/>
    <s v="MBC mini"/>
    <s v="방송(대)방송기타(중)"/>
    <s v="m.app"/>
    <s v="카카오광고"/>
    <x v="1"/>
    <x v="10"/>
    <s v="25.06.30"/>
    <s v="25.06.30"/>
    <n v="16"/>
  </r>
  <r>
    <x v="0"/>
    <x v="6"/>
    <s v="리서치애드"/>
    <x v="0"/>
    <s v="락앤락"/>
    <s v="가정용품"/>
    <s v="주방용품"/>
    <s v="바이오 용기"/>
    <s v="11st.co.kr"/>
    <s v="생활정보(대)쇼핑/가격정보(중)"/>
    <s v="m.web"/>
    <s v="-"/>
    <x v="1"/>
    <x v="2"/>
    <s v="25.05.15"/>
    <s v="25.05.15"/>
    <n v="66"/>
  </r>
  <r>
    <x v="1"/>
    <x v="1"/>
    <s v="리서치애드"/>
    <x v="0"/>
    <s v="락앤락"/>
    <s v="가정용품"/>
    <s v="주방용품"/>
    <s v="바이오 용기"/>
    <s v="Instagram"/>
    <s v="커뮤니티(대)홈페이지(중)"/>
    <s v="m.app"/>
    <s v="-"/>
    <x v="1"/>
    <x v="0"/>
    <s v="25.02.08"/>
    <s v="25.02.09"/>
    <n v="1637"/>
  </r>
  <r>
    <x v="1"/>
    <x v="1"/>
    <s v="리서치애드"/>
    <x v="0"/>
    <s v="락앤락"/>
    <s v="가정용품"/>
    <s v="주방용품"/>
    <s v="바이오 용기"/>
    <s v="Instagram"/>
    <s v="커뮤니티(대)홈페이지(중)"/>
    <s v="m.app"/>
    <s v="-"/>
    <x v="1"/>
    <x v="0"/>
    <s v="25.02.10"/>
    <s v="25.02.10"/>
    <n v="819"/>
  </r>
  <r>
    <x v="0"/>
    <x v="14"/>
    <s v="리서치애드"/>
    <x v="0"/>
    <s v="락앤락"/>
    <s v="가정용품"/>
    <s v="주방용품"/>
    <s v="바이오 용기"/>
    <s v="adpacker"/>
    <s v="모바일(대)모바일기타(중)"/>
    <s v="m.app"/>
    <s v="ADPACKER"/>
    <x v="1"/>
    <x v="1"/>
    <s v="25.03.12"/>
    <s v="25.03.12"/>
    <n v="1654"/>
  </r>
  <r>
    <x v="0"/>
    <x v="14"/>
    <s v="리서치애드"/>
    <x v="0"/>
    <s v="락앤락"/>
    <s v="가정용품"/>
    <s v="주방용품"/>
    <s v="바이오 용기"/>
    <s v="adpacker"/>
    <s v="모바일(대)모바일기타(중)"/>
    <s v="m.app"/>
    <s v="ADPACKER"/>
    <x v="1"/>
    <x v="1"/>
    <s v="25.03.12"/>
    <s v="25.03.16"/>
    <n v="4133"/>
  </r>
  <r>
    <x v="0"/>
    <x v="14"/>
    <s v="리서치애드"/>
    <x v="0"/>
    <s v="락앤락"/>
    <s v="가정용품"/>
    <s v="주방용품"/>
    <s v="바이오 용기"/>
    <s v="adpacker"/>
    <s v="모바일(대)모바일기타(중)"/>
    <s v="m.app"/>
    <s v="ADPACKER"/>
    <x v="1"/>
    <x v="1"/>
    <s v="25.03.13"/>
    <s v="25.03.16"/>
    <n v="3306"/>
  </r>
  <r>
    <x v="0"/>
    <x v="14"/>
    <s v="리서치애드"/>
    <x v="0"/>
    <s v="락앤락"/>
    <s v="가정용품"/>
    <s v="주방용품"/>
    <s v="바이오 용기"/>
    <s v="adpacker"/>
    <s v="모바일(대)모바일기타(중)"/>
    <s v="m.app"/>
    <s v="ADPACKER"/>
    <x v="1"/>
    <x v="1"/>
    <s v="25.03.17"/>
    <s v="25.03.20"/>
    <n v="6612"/>
  </r>
  <r>
    <x v="1"/>
    <x v="1"/>
    <s v="리서치애드"/>
    <x v="1"/>
    <s v="코렐"/>
    <s v="가정용품"/>
    <s v="주방용품"/>
    <s v="유리 및 자기그릇"/>
    <s v="Instagram"/>
    <s v="커뮤니티(대)홈페이지(중)"/>
    <s v="m.app"/>
    <s v="-"/>
    <x v="1"/>
    <x v="4"/>
    <s v="25.01.26"/>
    <s v="25.01.26"/>
    <n v="819"/>
  </r>
  <r>
    <x v="1"/>
    <x v="1"/>
    <s v="리서치애드"/>
    <x v="1"/>
    <s v="코렐"/>
    <s v="가정용품"/>
    <s v="주방용품"/>
    <s v="유리 및 자기그릇"/>
    <s v="Instagram"/>
    <s v="커뮤니티(대)홈페이지(중)"/>
    <s v="m.app"/>
    <s v="-"/>
    <x v="1"/>
    <x v="4"/>
    <s v="25.01.27"/>
    <s v="25.01.28"/>
    <n v="1637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0"/>
    <s v="25.02.26"/>
    <s v="25.02.28"/>
    <n v="2456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1"/>
    <s v="25.03.01"/>
    <s v="25.03.02"/>
    <n v="1637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1"/>
    <s v="25.03.03"/>
    <s v="25.03.04"/>
    <n v="1637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3"/>
    <s v="25.04.15"/>
    <s v="25.04.18"/>
    <n v="1613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3"/>
    <s v="25.04.21"/>
    <s v="25.04.27"/>
    <n v="2823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1"/>
    <x v="3"/>
    <s v="25.04.28"/>
    <s v="25.04.29"/>
    <n v="807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0"/>
    <s v="25.02.27"/>
    <s v="25.02.28"/>
    <n v="1637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10"/>
    <s v="25.06.06"/>
    <s v="25.06.08"/>
    <n v="1682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10"/>
    <s v="25.06.09"/>
    <s v="25.06.13"/>
    <n v="2803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1"/>
    <x v="10"/>
    <s v="25.06.18"/>
    <s v="25.06.20"/>
    <n v="1682"/>
  </r>
  <r>
    <x v="0"/>
    <x v="12"/>
    <s v="리서치애드"/>
    <x v="2"/>
    <s v="글라스락"/>
    <s v="가정용품"/>
    <s v="주방용품"/>
    <s v="유리 및 자기그릇"/>
    <s v="전라남도 등산로"/>
    <s v="엔터테인먼트(대)스포츠/레포츠(중)"/>
    <s v="m.app"/>
    <s v="애드몹"/>
    <x v="1"/>
    <x v="10"/>
    <s v="25.06.29"/>
    <s v="25.06.29"/>
    <n v="160"/>
  </r>
  <r>
    <x v="1"/>
    <x v="1"/>
    <s v="리서치애드"/>
    <x v="2"/>
    <s v="보에나"/>
    <s v="가정용품"/>
    <s v="주방용품"/>
    <s v="유리 및 자기그릇"/>
    <s v="Instagram"/>
    <s v="커뮤니티(대)홈페이지(중)"/>
    <s v="m.app"/>
    <s v="-"/>
    <x v="1"/>
    <x v="10"/>
    <s v="25.06.02"/>
    <s v="25.06.05"/>
    <n v="2242"/>
  </r>
  <r>
    <x v="1"/>
    <x v="1"/>
    <s v="리서치애드"/>
    <x v="2"/>
    <s v="보에나"/>
    <s v="가정용품"/>
    <s v="주방용품"/>
    <s v="유리 및 자기그릇"/>
    <s v="Instagram"/>
    <s v="커뮤니티(대)홈페이지(중)"/>
    <s v="m.app"/>
    <s v="-"/>
    <x v="1"/>
    <x v="10"/>
    <s v="25.06.24"/>
    <s v="25.06.27"/>
    <n v="2242"/>
  </r>
  <r>
    <x v="0"/>
    <x v="8"/>
    <s v="리서치애드"/>
    <x v="3"/>
    <s v="이케아"/>
    <s v="가정용품"/>
    <s v="가구류"/>
    <s v="가구류 제품종합"/>
    <s v="daum.net"/>
    <s v="포털(대)포털(중)"/>
    <s v="m.web"/>
    <s v="카카오광고"/>
    <x v="1"/>
    <x v="0"/>
    <s v="25.02.10"/>
    <s v="25.02.14"/>
    <n v="3726"/>
  </r>
  <r>
    <x v="0"/>
    <x v="8"/>
    <s v="리서치애드"/>
    <x v="3"/>
    <s v="이케아"/>
    <s v="가정용품"/>
    <s v="가구류"/>
    <s v="가구류 제품종합"/>
    <s v="daum.net"/>
    <s v="포털(대)포털(중)"/>
    <s v="m.web"/>
    <s v="카카오광고"/>
    <x v="1"/>
    <x v="0"/>
    <s v="25.02.10"/>
    <s v="25.02.16"/>
    <n v="5217"/>
  </r>
  <r>
    <x v="0"/>
    <x v="8"/>
    <s v="리서치애드"/>
    <x v="3"/>
    <s v="이케아"/>
    <s v="가정용품"/>
    <s v="가구류"/>
    <s v="가구류 제품종합"/>
    <s v="daum.net"/>
    <s v="포털(대)포털(중)"/>
    <s v="m.web"/>
    <s v="카카오광고"/>
    <x v="1"/>
    <x v="0"/>
    <s v="25.02.17"/>
    <s v="25.02.22"/>
    <n v="8944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0"/>
    <s v="25.02.14"/>
    <s v="25.02.14"/>
    <n v="2547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3"/>
    <s v="25.04.18"/>
    <s v="25.04.18"/>
    <n v="5094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1"/>
    <x v="10"/>
    <s v="25.06.26"/>
    <s v="25.06.26"/>
    <n v="3065"/>
  </r>
  <r>
    <x v="0"/>
    <x v="12"/>
    <s v="리서치애드"/>
    <x v="3"/>
    <s v="이케아"/>
    <s v="가정용품"/>
    <s v="가구류"/>
    <s v="가구류 제품종합"/>
    <s v="donga.com"/>
    <s v="신문/잡지(대)종합일간지(중)"/>
    <s v="m.web"/>
    <s v="애드몹"/>
    <x v="1"/>
    <x v="4"/>
    <s v="25.01.19"/>
    <s v="25.01.19"/>
    <n v="159"/>
  </r>
  <r>
    <x v="0"/>
    <x v="12"/>
    <s v="리서치애드"/>
    <x v="3"/>
    <s v="이케아"/>
    <s v="가정용품"/>
    <s v="가구류"/>
    <s v="가구류 제품종합"/>
    <s v="donga.com"/>
    <s v="신문/잡지(대)종합일간지(중)"/>
    <s v="m.web"/>
    <s v="애드몹"/>
    <x v="1"/>
    <x v="4"/>
    <s v="25.01.23"/>
    <s v="25.01.23"/>
    <n v="159"/>
  </r>
  <r>
    <x v="0"/>
    <x v="12"/>
    <s v="리서치애드"/>
    <x v="3"/>
    <s v="이케아"/>
    <s v="가정용품"/>
    <s v="가구류"/>
    <s v="가구류 제품종합"/>
    <s v="donga.com"/>
    <s v="신문/잡지(대)종합일간지(중)"/>
    <s v="m.web"/>
    <s v="애드몹"/>
    <x v="1"/>
    <x v="0"/>
    <s v="25.02.09"/>
    <s v="25.02.09"/>
    <n v="220"/>
  </r>
  <r>
    <x v="0"/>
    <x v="12"/>
    <s v="리서치애드"/>
    <x v="3"/>
    <s v="이케아"/>
    <s v="가정용품"/>
    <s v="가구류"/>
    <s v="가구류 제품종합"/>
    <s v="pressian.com"/>
    <s v="신문/잡지(대)온라인뉴스(중)"/>
    <s v="m.web"/>
    <s v="애드몹"/>
    <x v="1"/>
    <x v="0"/>
    <s v="25.02.06"/>
    <s v="25.02.06"/>
    <n v="220"/>
  </r>
  <r>
    <x v="0"/>
    <x v="12"/>
    <s v="리서치애드"/>
    <x v="3"/>
    <s v="이케아"/>
    <s v="가정용품"/>
    <s v="가구류"/>
    <s v="가구류 제품종합"/>
    <s v="kbs.co.kr"/>
    <s v="방송(대)방송국(중)"/>
    <s v="m.web"/>
    <s v="애드몹"/>
    <x v="1"/>
    <x v="3"/>
    <s v="25.04.09"/>
    <s v="25.04.09"/>
    <n v="452"/>
  </r>
  <r>
    <x v="0"/>
    <x v="12"/>
    <s v="리서치애드"/>
    <x v="3"/>
    <s v="이케아"/>
    <s v="가정용품"/>
    <s v="가구류"/>
    <s v="가구류 제품종합"/>
    <s v="ddaily.co.kr"/>
    <s v="신문/잡지(대)IT관련 뉴스(중)"/>
    <s v="m.web"/>
    <s v="애드몹"/>
    <x v="1"/>
    <x v="0"/>
    <s v="25.02.25"/>
    <s v="25.02.25"/>
    <n v="436"/>
  </r>
  <r>
    <x v="0"/>
    <x v="12"/>
    <s v="리서치애드"/>
    <x v="3"/>
    <s v="이케아"/>
    <s v="가정용품"/>
    <s v="가구류"/>
    <s v="가구류 제품종합"/>
    <s v="joseilbo.com"/>
    <s v="신문/잡지(대)온라인뉴스(중)"/>
    <s v="m.web"/>
    <s v="애드몹"/>
    <x v="1"/>
    <x v="0"/>
    <s v="25.02.10"/>
    <s v="25.02.10"/>
    <n v="220"/>
  </r>
  <r>
    <x v="0"/>
    <x v="12"/>
    <s v="리서치애드"/>
    <x v="3"/>
    <s v="이케아"/>
    <s v="가정용품"/>
    <s v="가구류"/>
    <s v="가구류 제품종합"/>
    <s v="말하는 안젤라"/>
    <s v="엔터테인먼트(대)엔터테인먼트 기타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미로찾기의 왕"/>
    <s v="엔터테인먼트(대)게임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바운스볼"/>
    <s v="엔터테인먼트(대)게임(중)"/>
    <s v="m.app"/>
    <s v="애드몹"/>
    <x v="1"/>
    <x v="4"/>
    <s v="25.01.18"/>
    <s v="25.01.18"/>
    <n v="93"/>
  </r>
  <r>
    <x v="0"/>
    <x v="12"/>
    <s v="리서치애드"/>
    <x v="3"/>
    <s v="이케아"/>
    <s v="가정용품"/>
    <s v="가구류"/>
    <s v="가구류 제품종합"/>
    <s v="바운스볼"/>
    <s v="엔터테인먼트(대)게임(중)"/>
    <s v="m.app"/>
    <s v="애드몹"/>
    <x v="1"/>
    <x v="0"/>
    <s v="25.02.03"/>
    <s v="25.02.03"/>
    <n v="128"/>
  </r>
  <r>
    <x v="0"/>
    <x v="12"/>
    <s v="리서치애드"/>
    <x v="3"/>
    <s v="이케아"/>
    <s v="가정용품"/>
    <s v="가구류"/>
    <s v="가구류 제품종합"/>
    <s v="벨소리 메이커"/>
    <s v="모바일(대)엔터테인먼트(중)"/>
    <s v="m.app"/>
    <s v="애드몹"/>
    <x v="1"/>
    <x v="3"/>
    <s v="25.04.11"/>
    <s v="25.04.11"/>
    <n v="133"/>
  </r>
  <r>
    <x v="0"/>
    <x v="12"/>
    <s v="리서치애드"/>
    <x v="3"/>
    <s v="이케아"/>
    <s v="가정용품"/>
    <s v="가구류"/>
    <s v="가구류 제품종합"/>
    <s v="성형견적 테스트"/>
    <s v="엔터테인먼트(대)엔터테인먼트 기타(중)"/>
    <s v="m.app"/>
    <s v="애드몹"/>
    <x v="1"/>
    <x v="4"/>
    <s v="25.01.17"/>
    <s v="25.01.17"/>
    <n v="93"/>
  </r>
  <r>
    <x v="0"/>
    <x v="12"/>
    <s v="리서치애드"/>
    <x v="3"/>
    <s v="이케아"/>
    <s v="가정용품"/>
    <s v="가구류"/>
    <s v="가구류 제품종합"/>
    <s v="싸이메라"/>
    <s v="모바일(대)엔터테인먼트(중)"/>
    <s v="m.app"/>
    <s v="애드몹"/>
    <x v="1"/>
    <x v="3"/>
    <s v="25.04.12"/>
    <s v="25.04.12"/>
    <n v="133"/>
  </r>
  <r>
    <x v="0"/>
    <x v="12"/>
    <s v="리서치애드"/>
    <x v="3"/>
    <s v="이케아"/>
    <s v="가정용품"/>
    <s v="가구류"/>
    <s v="가구류 제품종합"/>
    <s v="싸이메라"/>
    <s v="모바일(대)엔터테인먼트(중)"/>
    <s v="m.app"/>
    <s v="애드몹"/>
    <x v="1"/>
    <x v="3"/>
    <s v="25.04.13"/>
    <s v="25.04.13"/>
    <n v="133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0"/>
    <s v="25.02.12"/>
    <s v="25.02.12"/>
    <n v="5895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0"/>
    <s v="25.02.20"/>
    <s v="25.02.20"/>
    <n v="5895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1"/>
    <x v="2"/>
    <s v="25.05.14"/>
    <s v="25.05.14"/>
    <n v="8193"/>
  </r>
  <r>
    <x v="0"/>
    <x v="12"/>
    <s v="리서치애드"/>
    <x v="3"/>
    <s v="이케아"/>
    <s v="가정용품"/>
    <s v="가구류"/>
    <s v="가구류 제품종합"/>
    <s v="Daddy Was A Thief"/>
    <s v="엔터테인먼트(대)엔터테인먼트 기타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주차의 달인 4"/>
    <s v="엔터테인먼트(대)게임(중)"/>
    <s v="m.app"/>
    <s v="애드몹"/>
    <x v="1"/>
    <x v="4"/>
    <s v="25.01.17"/>
    <s v="25.01.17"/>
    <n v="93"/>
  </r>
  <r>
    <x v="0"/>
    <x v="12"/>
    <s v="리서치애드"/>
    <x v="3"/>
    <s v="이케아"/>
    <s v="가정용품"/>
    <s v="가구류"/>
    <s v="가구류 제품종합"/>
    <s v="마루"/>
    <s v="모바일(대)도구/유틸리티(중)"/>
    <s v="m.app"/>
    <s v="애드몹"/>
    <x v="1"/>
    <x v="3"/>
    <s v="25.04.14"/>
    <s v="25.04.14"/>
    <n v="133"/>
  </r>
  <r>
    <x v="0"/>
    <x v="12"/>
    <s v="리서치애드"/>
    <x v="3"/>
    <s v="이케아"/>
    <s v="가정용품"/>
    <s v="가구류"/>
    <s v="가구류 제품종합"/>
    <s v="한국사"/>
    <s v="신문/잡지(대)신문/잡지 기타(중)"/>
    <s v="m.app"/>
    <s v="애드몹"/>
    <x v="1"/>
    <x v="0"/>
    <s v="25.02.17"/>
    <s v="25.02.17"/>
    <n v="128"/>
  </r>
  <r>
    <x v="0"/>
    <x v="12"/>
    <s v="리서치애드"/>
    <x v="3"/>
    <s v="이케아"/>
    <s v="가정용품"/>
    <s v="가구류"/>
    <s v="가구류 제품종합"/>
    <s v="gamemeca.com"/>
    <s v="신문/잡지(대)온라인뉴스(중)"/>
    <s v="m.web"/>
    <s v="애드몹"/>
    <x v="1"/>
    <x v="4"/>
    <s v="25.01.17"/>
    <s v="25.01.17"/>
    <n v="277"/>
  </r>
  <r>
    <x v="0"/>
    <x v="12"/>
    <s v="리서치애드"/>
    <x v="3"/>
    <s v="이케아"/>
    <s v="가정용품"/>
    <s v="가구류"/>
    <s v="가구류 제품종합"/>
    <s v="gamemeca.com"/>
    <s v="신문/잡지(대)온라인뉴스(중)"/>
    <s v="m.web"/>
    <s v="애드몹"/>
    <x v="1"/>
    <x v="4"/>
    <s v="25.01.21"/>
    <s v="25.01.21"/>
    <n v="277"/>
  </r>
  <r>
    <x v="0"/>
    <x v="12"/>
    <s v="리서치애드"/>
    <x v="3"/>
    <s v="이케아"/>
    <s v="가정용품"/>
    <s v="가구류"/>
    <s v="가구류 제품종합"/>
    <s v="gamemeca.com"/>
    <s v="신문/잡지(대)온라인뉴스(중)"/>
    <s v="m.web"/>
    <s v="애드몹"/>
    <x v="1"/>
    <x v="4"/>
    <s v="25.01.26"/>
    <s v="25.01.26"/>
    <n v="277"/>
  </r>
  <r>
    <x v="0"/>
    <x v="12"/>
    <s v="리서치애드"/>
    <x v="3"/>
    <s v="이케아"/>
    <s v="가정용품"/>
    <s v="가구류"/>
    <s v="가구류 제품종합"/>
    <s v="gamemeca.com"/>
    <s v="신문/잡지(대)온라인뉴스(중)"/>
    <s v="m.web"/>
    <s v="애드몹"/>
    <x v="1"/>
    <x v="0"/>
    <s v="25.02.07"/>
    <s v="25.02.07"/>
    <n v="384"/>
  </r>
  <r>
    <x v="0"/>
    <x v="12"/>
    <s v="리서치애드"/>
    <x v="3"/>
    <s v="이케아"/>
    <s v="가정용품"/>
    <s v="가구류"/>
    <s v="가구류 제품종합"/>
    <s v="gamemeca.com"/>
    <s v="신문/잡지(대)온라인뉴스(중)"/>
    <s v="m.web"/>
    <s v="애드몹"/>
    <x v="1"/>
    <x v="0"/>
    <s v="25.02.28"/>
    <s v="25.02.28"/>
    <n v="384"/>
  </r>
  <r>
    <x v="0"/>
    <x v="12"/>
    <s v="리서치애드"/>
    <x v="3"/>
    <s v="이케아"/>
    <s v="가정용품"/>
    <s v="가구류"/>
    <s v="가구류 제품종합"/>
    <s v="Geometry Dash Lite"/>
    <s v="엔터테인먼트(대)게임(중)"/>
    <s v="m.app"/>
    <s v="애드몹"/>
    <x v="1"/>
    <x v="0"/>
    <s v="25.02.10"/>
    <s v="25.02.10"/>
    <n v="128"/>
  </r>
  <r>
    <x v="0"/>
    <x v="12"/>
    <s v="리서치애드"/>
    <x v="3"/>
    <s v="이케아"/>
    <s v="가정용품"/>
    <s v="가구류"/>
    <s v="가구류 제품종합"/>
    <s v="KBO STATS"/>
    <s v="엔터테인먼트(대)스포츠/레포츠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대기오염정보"/>
    <s v="생활정보(대)교통/날씨(중)"/>
    <s v="m.app"/>
    <s v="애드몹"/>
    <x v="1"/>
    <x v="0"/>
    <s v="25.02.01"/>
    <s v="25.02.01"/>
    <n v="128"/>
  </r>
  <r>
    <x v="0"/>
    <x v="12"/>
    <s v="리서치애드"/>
    <x v="3"/>
    <s v="이케아"/>
    <s v="가정용품"/>
    <s v="가구류"/>
    <s v="가구류 제품종합"/>
    <s v="오즈의타로"/>
    <s v="엔터테인먼트(대)엔터테인먼트 기타(중)"/>
    <s v="m.app"/>
    <s v="애드몹"/>
    <x v="1"/>
    <x v="4"/>
    <s v="25.01.22"/>
    <s v="25.01.22"/>
    <n v="93"/>
  </r>
  <r>
    <x v="0"/>
    <x v="12"/>
    <s v="리서치애드"/>
    <x v="3"/>
    <s v="이케아"/>
    <s v="가정용품"/>
    <s v="가구류"/>
    <s v="가구류 제품종합"/>
    <s v="오즈의타로"/>
    <s v="엔터테인먼트(대)엔터테인먼트 기타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오즈의타로"/>
    <s v="엔터테인먼트(대)엔터테인먼트 기타(중)"/>
    <s v="m.app"/>
    <s v="애드몹"/>
    <x v="1"/>
    <x v="0"/>
    <s v="25.02.13"/>
    <s v="25.02.13"/>
    <n v="128"/>
  </r>
  <r>
    <x v="0"/>
    <x v="12"/>
    <s v="리서치애드"/>
    <x v="3"/>
    <s v="이케아"/>
    <s v="가정용품"/>
    <s v="가구류"/>
    <s v="가구류 제품종합"/>
    <s v="백점"/>
    <s v="엔터테인먼트(대)엔터테인먼트 기타(중)"/>
    <s v="m.app"/>
    <s v="애드몹"/>
    <x v="1"/>
    <x v="4"/>
    <s v="25.01.17"/>
    <s v="25.01.17"/>
    <n v="93"/>
  </r>
  <r>
    <x v="0"/>
    <x v="12"/>
    <s v="리서치애드"/>
    <x v="3"/>
    <s v="이케아"/>
    <s v="가정용품"/>
    <s v="가구류"/>
    <s v="가구류 제품종합"/>
    <s v="알집"/>
    <s v="모바일(대)도구/유틸리티(중)"/>
    <s v="m.app"/>
    <s v="애드몹"/>
    <x v="1"/>
    <x v="4"/>
    <s v="25.01.28"/>
    <s v="25.01.28"/>
    <n v="93"/>
  </r>
  <r>
    <x v="0"/>
    <x v="12"/>
    <s v="리서치애드"/>
    <x v="3"/>
    <s v="이케아"/>
    <s v="가정용품"/>
    <s v="가구류"/>
    <s v="가구류 제품종합"/>
    <s v="알집"/>
    <s v="모바일(대)도구/유틸리티(중)"/>
    <s v="m.app"/>
    <s v="애드몹"/>
    <x v="1"/>
    <x v="3"/>
    <s v="25.04.13"/>
    <s v="25.04.13"/>
    <n v="266"/>
  </r>
  <r>
    <x v="0"/>
    <x v="12"/>
    <s v="리서치애드"/>
    <x v="3"/>
    <s v="이케아"/>
    <s v="가정용품"/>
    <s v="가구류"/>
    <s v="가구류 제품종합"/>
    <s v="알집"/>
    <s v="모바일(대)도구/유틸리티(중)"/>
    <s v="m.app"/>
    <s v="애드몹"/>
    <x v="1"/>
    <x v="3"/>
    <s v="25.04.14"/>
    <s v="25.04.16"/>
    <n v="399"/>
  </r>
  <r>
    <x v="0"/>
    <x v="12"/>
    <s v="리서치애드"/>
    <x v="3"/>
    <s v="이케아"/>
    <s v="가정용품"/>
    <s v="가구류"/>
    <s v="가구류 제품종합"/>
    <s v="인천버스"/>
    <s v="생활정보(대)교통/날씨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게임을 숨겼다2"/>
    <s v="엔터테인먼트(대)게임(중)"/>
    <s v="m.app"/>
    <s v="애드몹"/>
    <x v="1"/>
    <x v="0"/>
    <s v="25.02.22"/>
    <s v="25.02.22"/>
    <n v="128"/>
  </r>
  <r>
    <x v="0"/>
    <x v="12"/>
    <s v="리서치애드"/>
    <x v="3"/>
    <s v="이케아"/>
    <s v="가정용품"/>
    <s v="가구류"/>
    <s v="가구류 제품종합"/>
    <s v="전광판 LED"/>
    <s v="모바일(대)도구/유틸리티(중)"/>
    <s v="m.app"/>
    <s v="애드몹"/>
    <x v="1"/>
    <x v="3"/>
    <s v="25.04.11"/>
    <s v="25.04.13"/>
    <n v="399"/>
  </r>
  <r>
    <x v="0"/>
    <x v="12"/>
    <s v="리서치애드"/>
    <x v="3"/>
    <s v="이케아"/>
    <s v="가정용품"/>
    <s v="가구류"/>
    <s v="가구류 제품종합"/>
    <s v="깨진 화면"/>
    <s v="엔터테인먼트(대)엔터테인먼트 기타(중)"/>
    <s v="m.app"/>
    <s v="애드몹"/>
    <x v="1"/>
    <x v="4"/>
    <s v="25.01.28"/>
    <s v="25.01.28"/>
    <n v="93"/>
  </r>
  <r>
    <x v="0"/>
    <x v="12"/>
    <s v="리서치애드"/>
    <x v="3"/>
    <s v="이케아"/>
    <s v="가정용품"/>
    <s v="가구류"/>
    <s v="가구류 제품종합"/>
    <s v="깨진 화면"/>
    <s v="엔터테인먼트(대)엔터테인먼트 기타(중)"/>
    <s v="m.app"/>
    <s v="애드몹"/>
    <x v="1"/>
    <x v="0"/>
    <s v="25.02.11"/>
    <s v="25.02.11"/>
    <n v="128"/>
  </r>
  <r>
    <x v="0"/>
    <x v="12"/>
    <s v="리서치애드"/>
    <x v="3"/>
    <s v="이케아"/>
    <s v="가정용품"/>
    <s v="가구류"/>
    <s v="가구류 제품종합"/>
    <s v="깨진 화면"/>
    <s v="엔터테인먼트(대)엔터테인먼트 기타(중)"/>
    <s v="m.app"/>
    <s v="애드몹"/>
    <x v="1"/>
    <x v="3"/>
    <s v="25.04.04"/>
    <s v="25.04.06"/>
    <n v="399"/>
  </r>
  <r>
    <x v="0"/>
    <x v="12"/>
    <s v="리서치애드"/>
    <x v="3"/>
    <s v="이케아"/>
    <s v="가정용품"/>
    <s v="가구류"/>
    <s v="가구류 제품종합"/>
    <s v="깨진 화면"/>
    <s v="엔터테인먼트(대)엔터테인먼트 기타(중)"/>
    <s v="m.app"/>
    <s v="애드몹"/>
    <x v="1"/>
    <x v="3"/>
    <s v="25.04.07"/>
    <s v="25.04.07"/>
    <n v="133"/>
  </r>
  <r>
    <x v="0"/>
    <x v="12"/>
    <s v="리서치애드"/>
    <x v="3"/>
    <s v="이케아"/>
    <s v="가정용품"/>
    <s v="가구류"/>
    <s v="가구류 제품종합"/>
    <s v="7분 운동"/>
    <s v="모바일(대)라이프스타일(중)"/>
    <s v="m.app"/>
    <s v="애드몹"/>
    <x v="1"/>
    <x v="4"/>
    <s v="25.01.29"/>
    <s v="25.01.29"/>
    <n v="93"/>
  </r>
  <r>
    <x v="0"/>
    <x v="12"/>
    <s v="리서치애드"/>
    <x v="3"/>
    <s v="이케아"/>
    <s v="가정용품"/>
    <s v="가구류"/>
    <s v="가구류 제품종합"/>
    <s v="7분 운동"/>
    <s v="모바일(대)라이프스타일(중)"/>
    <s v="m.app"/>
    <s v="애드몹"/>
    <x v="1"/>
    <x v="0"/>
    <s v="25.02.19"/>
    <s v="25.02.19"/>
    <n v="128"/>
  </r>
  <r>
    <x v="0"/>
    <x v="12"/>
    <s v="리서치애드"/>
    <x v="3"/>
    <s v="이케아"/>
    <s v="가정용품"/>
    <s v="가구류"/>
    <s v="가구류 제품종합"/>
    <s v="Fidget Spinner"/>
    <s v="엔터테인먼트(대)엔터테인먼트 기타(중)"/>
    <s v="m.app"/>
    <s v="애드몹"/>
    <x v="1"/>
    <x v="0"/>
    <s v="25.02.10"/>
    <s v="25.02.10"/>
    <n v="128"/>
  </r>
  <r>
    <x v="0"/>
    <x v="12"/>
    <s v="리서치애드"/>
    <x v="3"/>
    <s v="이케아"/>
    <s v="가정용품"/>
    <s v="가구류"/>
    <s v="가구류 제품종합"/>
    <s v="No.Draw"/>
    <s v="엔터테인먼트(대)게임(중)"/>
    <s v="m.app"/>
    <s v="애드몹"/>
    <x v="1"/>
    <x v="3"/>
    <s v="25.04.02"/>
    <s v="25.04.02"/>
    <n v="133"/>
  </r>
  <r>
    <x v="0"/>
    <x v="12"/>
    <s v="리서치애드"/>
    <x v="3"/>
    <s v="이케아"/>
    <s v="가정용품"/>
    <s v="가구류"/>
    <s v="가구류 제품종합"/>
    <s v="새총의 왕"/>
    <s v="엔터테인먼트(대)게임(중)"/>
    <s v="m.app"/>
    <s v="애드몹"/>
    <x v="1"/>
    <x v="4"/>
    <s v="25.01.21"/>
    <s v="25.01.21"/>
    <n v="93"/>
  </r>
  <r>
    <x v="0"/>
    <x v="12"/>
    <s v="리서치애드"/>
    <x v="3"/>
    <s v="이케아"/>
    <s v="가정용품"/>
    <s v="가구류"/>
    <s v="가구류 제품종합"/>
    <s v="푸딩이 없어졌다"/>
    <s v="엔터테인먼트(대)게임(중)"/>
    <s v="m.app"/>
    <s v="애드몹"/>
    <x v="1"/>
    <x v="0"/>
    <s v="25.02.19"/>
    <s v="25.02.19"/>
    <n v="128"/>
  </r>
  <r>
    <x v="0"/>
    <x v="12"/>
    <s v="리서치애드"/>
    <x v="3"/>
    <s v="이케아"/>
    <s v="가정용품"/>
    <s v="가구류"/>
    <s v="가구류 제품종합"/>
    <s v="천자문 1000자"/>
    <s v="모바일(대)모바일기타(중)"/>
    <s v="m.app"/>
    <s v="애드몹"/>
    <x v="1"/>
    <x v="4"/>
    <s v="25.01.21"/>
    <s v="25.01.21"/>
    <n v="93"/>
  </r>
  <r>
    <x v="0"/>
    <x v="12"/>
    <s v="리서치애드"/>
    <x v="3"/>
    <s v="이케아"/>
    <s v="가정용품"/>
    <s v="가구류"/>
    <s v="가구류 제품종합"/>
    <s v="천자문 1000자"/>
    <s v="모바일(대)모바일기타(중)"/>
    <s v="m.app"/>
    <s v="애드몹"/>
    <x v="1"/>
    <x v="4"/>
    <s v="25.01.27"/>
    <s v="25.01.27"/>
    <n v="93"/>
  </r>
  <r>
    <x v="0"/>
    <x v="12"/>
    <s v="리서치애드"/>
    <x v="3"/>
    <s v="이케아"/>
    <s v="가정용품"/>
    <s v="가구류"/>
    <s v="가구류 제품종합"/>
    <s v="초성퀴즈"/>
    <s v="엔터테인먼트(대)게임(중)"/>
    <s v="m.app"/>
    <s v="애드몹"/>
    <x v="1"/>
    <x v="4"/>
    <s v="25.01.21"/>
    <s v="25.01.21"/>
    <n v="93"/>
  </r>
  <r>
    <x v="0"/>
    <x v="12"/>
    <s v="리서치애드"/>
    <x v="3"/>
    <s v="이케아"/>
    <s v="가정용품"/>
    <s v="가구류"/>
    <s v="가구류 제품종합"/>
    <s v="초성퀴즈"/>
    <s v="엔터테인먼트(대)게임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소리 퀴즈"/>
    <s v="엔터테인먼트(대)게임(중)"/>
    <s v="m.app"/>
    <s v="애드몹"/>
    <x v="1"/>
    <x v="0"/>
    <s v="25.02.23"/>
    <s v="25.02.23"/>
    <n v="128"/>
  </r>
  <r>
    <x v="0"/>
    <x v="12"/>
    <s v="리서치애드"/>
    <x v="3"/>
    <s v="이케아"/>
    <s v="가정용품"/>
    <s v="가구류"/>
    <s v="가구류 제품종합"/>
    <s v="막장 학교 퀴즈"/>
    <s v="엔터테인먼트(대)게임(중)"/>
    <s v="m.app"/>
    <s v="애드몹"/>
    <x v="1"/>
    <x v="0"/>
    <s v="25.02.02"/>
    <s v="25.02.02"/>
    <n v="128"/>
  </r>
  <r>
    <x v="0"/>
    <x v="12"/>
    <s v="리서치애드"/>
    <x v="3"/>
    <s v="이케아"/>
    <s v="가정용품"/>
    <s v="가구류"/>
    <s v="가구류 제품종합"/>
    <s v="하루동안 연예인"/>
    <s v="엔터테인먼트(대)게임(중)"/>
    <s v="m.app"/>
    <s v="애드몹"/>
    <x v="1"/>
    <x v="0"/>
    <s v="25.02.22"/>
    <s v="25.02.22"/>
    <n v="128"/>
  </r>
  <r>
    <x v="0"/>
    <x v="12"/>
    <s v="리서치애드"/>
    <x v="3"/>
    <s v="이케아"/>
    <s v="가정용품"/>
    <s v="가구류"/>
    <s v="가구류 제품종합"/>
    <s v="체조 선수"/>
    <s v="엔터테인먼트(대)게임(중)"/>
    <s v="m.app"/>
    <s v="애드몹"/>
    <x v="1"/>
    <x v="0"/>
    <s v="25.02.24"/>
    <s v="25.02.24"/>
    <n v="128"/>
  </r>
  <r>
    <x v="0"/>
    <x v="12"/>
    <s v="리서치애드"/>
    <x v="3"/>
    <s v="이케아"/>
    <s v="가정용품"/>
    <s v="가구류"/>
    <s v="가구류 제품종합"/>
    <s v="Word Search"/>
    <s v="엔터테인먼트(대)게임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Word Search"/>
    <s v="엔터테인먼트(대)게임(중)"/>
    <s v="m.app"/>
    <s v="애드몹"/>
    <x v="1"/>
    <x v="0"/>
    <s v="25.02.18"/>
    <s v="25.02.18"/>
    <n v="128"/>
  </r>
  <r>
    <x v="0"/>
    <x v="12"/>
    <s v="리서치애드"/>
    <x v="3"/>
    <s v="이케아"/>
    <s v="가정용품"/>
    <s v="가구류"/>
    <s v="가구류 제품종합"/>
    <s v="교통수단"/>
    <s v="엔터테인먼트(대)게임(중)"/>
    <s v="m.app"/>
    <s v="애드몹"/>
    <x v="1"/>
    <x v="0"/>
    <s v="25.02.14"/>
    <s v="25.02.14"/>
    <n v="128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1"/>
    <x v="0"/>
    <s v="25.02.17"/>
    <s v="25.02.18"/>
    <n v="1637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1"/>
    <x v="0"/>
    <s v="25.02.26"/>
    <s v="25.02.26"/>
    <n v="819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1"/>
    <x v="3"/>
    <s v="25.04.23"/>
    <s v="25.04.27"/>
    <n v="2016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1"/>
    <x v="3"/>
    <s v="25.04.28"/>
    <s v="25.04.29"/>
    <n v="807"/>
  </r>
  <r>
    <x v="0"/>
    <x v="12"/>
    <s v="리서치애드"/>
    <x v="3"/>
    <s v="이케아"/>
    <s v="가정용품"/>
    <s v="가구류"/>
    <s v="가구류 제품종합"/>
    <s v="ibisPaint X"/>
    <s v="엔터테인먼트(대)엔터테인먼트 기타(중)"/>
    <s v="m.app"/>
    <s v="애드몹"/>
    <x v="1"/>
    <x v="0"/>
    <s v="25.02.17"/>
    <s v="25.02.17"/>
    <n v="128"/>
  </r>
  <r>
    <x v="0"/>
    <x v="12"/>
    <s v="리서치애드"/>
    <x v="3"/>
    <s v="이케아"/>
    <s v="가정용품"/>
    <s v="가구류"/>
    <s v="가구류 제품종합"/>
    <s v="My Heart"/>
    <s v="생활정보(대)병원/건강정보(중)"/>
    <s v="m.app"/>
    <s v="애드몹"/>
    <x v="1"/>
    <x v="0"/>
    <s v="25.02.18"/>
    <s v="25.02.18"/>
    <n v="128"/>
  </r>
  <r>
    <x v="0"/>
    <x v="12"/>
    <s v="리서치애드"/>
    <x v="3"/>
    <s v="이케아"/>
    <s v="가정용품"/>
    <s v="가구류"/>
    <s v="가구류 제품종합"/>
    <s v="Wood Block - Music Box"/>
    <s v="엔터테인먼트(대)게임(중)"/>
    <s v="m.app"/>
    <s v="애드몹"/>
    <x v="1"/>
    <x v="0"/>
    <s v="25.02.03"/>
    <s v="25.02.03"/>
    <n v="128"/>
  </r>
  <r>
    <x v="0"/>
    <x v="12"/>
    <s v="리서치애드"/>
    <x v="3"/>
    <s v="이케아"/>
    <s v="가정용품"/>
    <s v="가구류"/>
    <s v="가구류 제품종합"/>
    <s v="Wood Block - Music Box"/>
    <s v="엔터테인먼트(대)게임(중)"/>
    <s v="m.app"/>
    <s v="애드몹"/>
    <x v="1"/>
    <x v="0"/>
    <s v="25.02.10"/>
    <s v="25.02.10"/>
    <n v="128"/>
  </r>
  <r>
    <x v="0"/>
    <x v="12"/>
    <s v="리서치애드"/>
    <x v="3"/>
    <s v="이케아"/>
    <s v="가정용품"/>
    <s v="가구류"/>
    <s v="가구류 제품종합"/>
    <s v="Wood Block - Music Box"/>
    <s v="엔터테인먼트(대)게임(중)"/>
    <s v="m.app"/>
    <s v="애드몹"/>
    <x v="1"/>
    <x v="0"/>
    <s v="25.02.17"/>
    <s v="25.02.17"/>
    <n v="128"/>
  </r>
  <r>
    <x v="0"/>
    <x v="12"/>
    <s v="리서치애드"/>
    <x v="3"/>
    <s v="이케아"/>
    <s v="가정용품"/>
    <s v="가구류"/>
    <s v="가구류 제품종합"/>
    <s v="내 캘린더"/>
    <s v="생활정보(대)여성/육아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그림 그리기"/>
    <s v="모바일(대)도구/유틸리티(중)"/>
    <s v="m.app"/>
    <s v="애드몹"/>
    <x v="1"/>
    <x v="4"/>
    <s v="25.01.31"/>
    <s v="25.01.31"/>
    <n v="93"/>
  </r>
  <r>
    <x v="0"/>
    <x v="12"/>
    <s v="리서치애드"/>
    <x v="3"/>
    <s v="이케아"/>
    <s v="가정용품"/>
    <s v="가구류"/>
    <s v="가구류 제품종합"/>
    <s v="Dancing Road"/>
    <s v="엔터테인먼트(대)게임(중)"/>
    <s v="m.app"/>
    <s v="애드몹"/>
    <x v="1"/>
    <x v="4"/>
    <s v="25.01.16"/>
    <s v="25.01.16"/>
    <n v="93"/>
  </r>
  <r>
    <x v="0"/>
    <x v="12"/>
    <s v="리서치애드"/>
    <x v="3"/>
    <s v="이케아"/>
    <s v="가정용품"/>
    <s v="가구류"/>
    <s v="가구류 제품종합"/>
    <s v="Unblock Ball - Block Puzzle"/>
    <s v="엔터테인먼트(대)게임(중)"/>
    <s v="m.app"/>
    <s v="애드몹"/>
    <x v="1"/>
    <x v="4"/>
    <s v="25.01.30"/>
    <s v="25.01.30"/>
    <n v="93"/>
  </r>
  <r>
    <x v="0"/>
    <x v="12"/>
    <s v="리서치애드"/>
    <x v="3"/>
    <s v="이케아"/>
    <s v="가정용품"/>
    <s v="가구류"/>
    <s v="가구류 제품종합"/>
    <s v="Unblock Ball - Block Puzzle"/>
    <s v="엔터테인먼트(대)게임(중)"/>
    <s v="m.app"/>
    <s v="애드몹"/>
    <x v="1"/>
    <x v="0"/>
    <s v="25.02.11"/>
    <s v="25.02.11"/>
    <n v="128"/>
  </r>
  <r>
    <x v="0"/>
    <x v="12"/>
    <s v="리서치애드"/>
    <x v="3"/>
    <s v="이케아"/>
    <s v="가정용품"/>
    <s v="가구류"/>
    <s v="가구류 제품종합"/>
    <s v="Wood Block Puzzle"/>
    <s v="엔터테인먼트(대)게임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Brain Test"/>
    <s v="엔터테인먼트(대)게임(중)"/>
    <s v="m.app"/>
    <s v="애드몹"/>
    <x v="1"/>
    <x v="0"/>
    <s v="25.02.02"/>
    <s v="25.02.02"/>
    <n v="128"/>
  </r>
  <r>
    <x v="0"/>
    <x v="12"/>
    <s v="리서치애드"/>
    <x v="3"/>
    <s v="이케아"/>
    <s v="가정용품"/>
    <s v="가구류"/>
    <s v="가구류 제품종합"/>
    <s v="Smash DIY SLIME - Fidget Slimy"/>
    <s v="엔터테인먼트(대)게임(중)"/>
    <s v="m.app"/>
    <s v="애드몹"/>
    <x v="1"/>
    <x v="4"/>
    <s v="25.01.25"/>
    <s v="25.01.25"/>
    <n v="93"/>
  </r>
  <r>
    <x v="0"/>
    <x v="12"/>
    <s v="리서치애드"/>
    <x v="3"/>
    <s v="이케아"/>
    <s v="가정용품"/>
    <s v="가구류"/>
    <s v="가구류 제품종합"/>
    <s v="Smash DIY SLIME - Fidget Slimy"/>
    <s v="엔터테인먼트(대)게임(중)"/>
    <s v="m.app"/>
    <s v="애드몹"/>
    <x v="1"/>
    <x v="4"/>
    <s v="25.01.27"/>
    <s v="25.01.27"/>
    <n v="93"/>
  </r>
  <r>
    <x v="0"/>
    <x v="12"/>
    <s v="리서치애드"/>
    <x v="3"/>
    <s v="이케아"/>
    <s v="가정용품"/>
    <s v="가구류"/>
    <s v="가구류 제품종합"/>
    <s v="온도계"/>
    <s v="생활정보(대)교통/날씨(중)"/>
    <s v="m.app"/>
    <s v="애드몹"/>
    <x v="1"/>
    <x v="0"/>
    <s v="25.02.20"/>
    <s v="25.02.20"/>
    <n v="128"/>
  </r>
  <r>
    <x v="0"/>
    <x v="12"/>
    <s v="리서치애드"/>
    <x v="3"/>
    <s v="이케아"/>
    <s v="가정용품"/>
    <s v="가구류"/>
    <s v="가구류 제품종합"/>
    <s v="아기 재우기"/>
    <s v="모바일(대)엔터테인먼트(중)"/>
    <s v="m.app"/>
    <s v="애드몹"/>
    <x v="1"/>
    <x v="3"/>
    <s v="25.04.12"/>
    <s v="25.04.12"/>
    <n v="133"/>
  </r>
  <r>
    <x v="0"/>
    <x v="12"/>
    <s v="리서치애드"/>
    <x v="3"/>
    <s v="이케아"/>
    <s v="가정용품"/>
    <s v="가구류"/>
    <s v="가구류 제품종합"/>
    <s v="연필 스케치"/>
    <s v="모바일(대)도구/유틸리티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무승부등산가 - Draw Climber"/>
    <s v="엔터테인먼트(대)게임(중)"/>
    <s v="m.app"/>
    <s v="애드몹"/>
    <x v="1"/>
    <x v="3"/>
    <s v="25.04.12"/>
    <s v="25.04.12"/>
    <n v="133"/>
  </r>
  <r>
    <x v="0"/>
    <x v="12"/>
    <s v="리서치애드"/>
    <x v="3"/>
    <s v="이케아"/>
    <s v="가정용품"/>
    <s v="가구류"/>
    <s v="가구류 제품종합"/>
    <s v="Surprise Eggs Games And Kid Toys"/>
    <s v="엔터테인먼트(대)게임(중)"/>
    <s v="m.app"/>
    <s v="애드몹"/>
    <x v="1"/>
    <x v="4"/>
    <s v="25.01.19"/>
    <s v="25.01.19"/>
    <n v="93"/>
  </r>
  <r>
    <x v="0"/>
    <x v="12"/>
    <s v="리서치애드"/>
    <x v="3"/>
    <s v="이케아"/>
    <s v="가정용품"/>
    <s v="가구류"/>
    <s v="가구류 제품종합"/>
    <s v="maguro"/>
    <s v="엔터테인먼트(대)게임(중)"/>
    <s v="m.app"/>
    <s v="애드몹"/>
    <x v="1"/>
    <x v="4"/>
    <s v="25.01.26"/>
    <s v="25.01.26"/>
    <n v="93"/>
  </r>
  <r>
    <x v="0"/>
    <x v="12"/>
    <s v="리서치애드"/>
    <x v="3"/>
    <s v="이케아"/>
    <s v="가정용품"/>
    <s v="가구류"/>
    <s v="가구류 제품종합"/>
    <s v="Prom Queen"/>
    <s v="엔터테인먼트(대)게임(중)"/>
    <s v="m.app"/>
    <s v="애드몹"/>
    <x v="1"/>
    <x v="0"/>
    <s v="25.02.25"/>
    <s v="25.02.25"/>
    <n v="128"/>
  </r>
  <r>
    <x v="0"/>
    <x v="12"/>
    <s v="리서치애드"/>
    <x v="3"/>
    <s v="이케아"/>
    <s v="가정용품"/>
    <s v="가구류"/>
    <s v="가구류 제품종합"/>
    <s v="귀신 탐지기"/>
    <s v="모바일(대)엔터테인먼트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커플 테스트"/>
    <s v="모바일(대)엔터테인먼트(중)"/>
    <s v="m.app"/>
    <s v="애드몹"/>
    <x v="1"/>
    <x v="0"/>
    <s v="25.02.04"/>
    <s v="25.02.04"/>
    <n v="128"/>
  </r>
  <r>
    <x v="0"/>
    <x v="12"/>
    <s v="리서치애드"/>
    <x v="3"/>
    <s v="이케아"/>
    <s v="가정용품"/>
    <s v="가구류"/>
    <s v="가구류 제품종합"/>
    <s v="나를 맞춰봐"/>
    <s v="모바일(대)엔터테인먼트(중)"/>
    <s v="m.app"/>
    <s v="애드몹"/>
    <x v="1"/>
    <x v="4"/>
    <s v="25.01.17"/>
    <s v="25.01.17"/>
    <n v="93"/>
  </r>
  <r>
    <x v="0"/>
    <x v="12"/>
    <s v="리서치애드"/>
    <x v="3"/>
    <s v="이케아"/>
    <s v="가정용품"/>
    <s v="가구류"/>
    <s v="가구류 제품종합"/>
    <s v="나를 맞춰봐"/>
    <s v="모바일(대)엔터테인먼트(중)"/>
    <s v="m.app"/>
    <s v="애드몹"/>
    <x v="1"/>
    <x v="0"/>
    <s v="25.02.17"/>
    <s v="25.02.20"/>
    <n v="513"/>
  </r>
  <r>
    <x v="0"/>
    <x v="12"/>
    <s v="리서치애드"/>
    <x v="3"/>
    <s v="이케아"/>
    <s v="가정용품"/>
    <s v="가구류"/>
    <s v="가구류 제품종합"/>
    <s v="사진속 귀신찾기"/>
    <s v="엔터테인먼트(대)게임(중)"/>
    <s v="m.app"/>
    <s v="애드몹"/>
    <x v="1"/>
    <x v="4"/>
    <s v="25.01.21"/>
    <s v="25.01.21"/>
    <n v="93"/>
  </r>
  <r>
    <x v="0"/>
    <x v="12"/>
    <s v="리서치애드"/>
    <x v="3"/>
    <s v="이케아"/>
    <s v="가정용품"/>
    <s v="가구류"/>
    <s v="가구류 제품종합"/>
    <s v="공주의 색"/>
    <s v="엔터테인먼트(대)게임(중)"/>
    <s v="m.app"/>
    <s v="애드몹"/>
    <x v="1"/>
    <x v="0"/>
    <s v="25.02.07"/>
    <s v="25.02.07"/>
    <n v="128"/>
  </r>
  <r>
    <x v="0"/>
    <x v="12"/>
    <s v="리서치애드"/>
    <x v="3"/>
    <s v="이케아"/>
    <s v="가정용품"/>
    <s v="가구류"/>
    <s v="가구류 제품종합"/>
    <s v="TRUE대구"/>
    <s v="생활정보(대)생활정보 기타(중)"/>
    <s v="m.app"/>
    <s v="애드몹"/>
    <x v="1"/>
    <x v="0"/>
    <s v="25.02.01"/>
    <s v="25.02.01"/>
    <n v="128"/>
  </r>
  <r>
    <x v="0"/>
    <x v="12"/>
    <s v="리서치애드"/>
    <x v="3"/>
    <s v="이케아"/>
    <s v="가정용품"/>
    <s v="가구류"/>
    <s v="가구류 제품종합"/>
    <s v="대구 등산로"/>
    <s v="모바일(대)라이프스타일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대구 등산로"/>
    <s v="모바일(대)라이프스타일(중)"/>
    <s v="m.app"/>
    <s v="애드몹"/>
    <x v="1"/>
    <x v="3"/>
    <s v="25.04.02"/>
    <s v="25.04.02"/>
    <n v="133"/>
  </r>
  <r>
    <x v="0"/>
    <x v="12"/>
    <s v="리서치애드"/>
    <x v="3"/>
    <s v="이케아"/>
    <s v="가정용품"/>
    <s v="가구류"/>
    <s v="가구류 제품종합"/>
    <s v="TRUE전주"/>
    <s v="생활정보(대)생활정보 기타(중)"/>
    <s v="m.app"/>
    <s v="애드몹"/>
    <x v="1"/>
    <x v="4"/>
    <s v="25.01.29"/>
    <s v="25.01.29"/>
    <n v="93"/>
  </r>
  <r>
    <x v="0"/>
    <x v="12"/>
    <s v="리서치애드"/>
    <x v="3"/>
    <s v="이케아"/>
    <s v="가정용품"/>
    <s v="가구류"/>
    <s v="가구류 제품종합"/>
    <s v="TRUE전주"/>
    <s v="생활정보(대)생활정보 기타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TRUE전주"/>
    <s v="생활정보(대)생활정보 기타(중)"/>
    <s v="m.app"/>
    <s v="애드몹"/>
    <x v="1"/>
    <x v="0"/>
    <s v="25.02.10"/>
    <s v="25.02.10"/>
    <n v="128"/>
  </r>
  <r>
    <x v="0"/>
    <x v="12"/>
    <s v="리서치애드"/>
    <x v="3"/>
    <s v="이케아"/>
    <s v="가정용품"/>
    <s v="가구류"/>
    <s v="가구류 제품종합"/>
    <s v="TRUE포항"/>
    <s v="생활정보(대)생활정보 기타(중)"/>
    <s v="m.app"/>
    <s v="애드몹"/>
    <x v="1"/>
    <x v="0"/>
    <s v="25.02.01"/>
    <s v="25.02.01"/>
    <n v="128"/>
  </r>
  <r>
    <x v="0"/>
    <x v="12"/>
    <s v="리서치애드"/>
    <x v="3"/>
    <s v="이케아"/>
    <s v="가정용품"/>
    <s v="가구류"/>
    <s v="가구류 제품종합"/>
    <s v="TRUE강릉"/>
    <s v="생활정보(대)생활정보 기타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충청남도 등산로"/>
    <s v="모바일(대)라이프스타일(중)"/>
    <s v="m.app"/>
    <s v="애드몹"/>
    <x v="1"/>
    <x v="0"/>
    <s v="25.02.22"/>
    <s v="25.02.23"/>
    <n v="257"/>
  </r>
  <r>
    <x v="0"/>
    <x v="12"/>
    <s v="리서치애드"/>
    <x v="3"/>
    <s v="이케아"/>
    <s v="가정용품"/>
    <s v="가구류"/>
    <s v="가구류 제품종합"/>
    <s v="TRUE천안"/>
    <s v="생활정보(대)생활정보 기타(중)"/>
    <s v="m.app"/>
    <s v="애드몹"/>
    <x v="1"/>
    <x v="4"/>
    <s v="25.01.29"/>
    <s v="25.01.29"/>
    <n v="93"/>
  </r>
  <r>
    <x v="0"/>
    <x v="12"/>
    <s v="리서치애드"/>
    <x v="3"/>
    <s v="이케아"/>
    <s v="가정용품"/>
    <s v="가구류"/>
    <s v="가구류 제품종합"/>
    <s v="TRUE천안"/>
    <s v="생활정보(대)생활정보 기타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거제에가면"/>
    <s v="생활정보(대)생활정보 기타(중)"/>
    <s v="m.app"/>
    <s v="애드몹"/>
    <x v="1"/>
    <x v="4"/>
    <s v="25.01.30"/>
    <s v="25.01.30"/>
    <n v="93"/>
  </r>
  <r>
    <x v="0"/>
    <x v="12"/>
    <s v="리서치애드"/>
    <x v="3"/>
    <s v="이케아"/>
    <s v="가정용품"/>
    <s v="가구류"/>
    <s v="가구류 제품종합"/>
    <s v="거제에가면"/>
    <s v="생활정보(대)생활정보 기타(중)"/>
    <s v="m.app"/>
    <s v="애드몹"/>
    <x v="1"/>
    <x v="0"/>
    <s v="25.02.04"/>
    <s v="25.02.04"/>
    <n v="128"/>
  </r>
  <r>
    <x v="0"/>
    <x v="12"/>
    <s v="리서치애드"/>
    <x v="3"/>
    <s v="이케아"/>
    <s v="가정용품"/>
    <s v="가구류"/>
    <s v="가구류 제품종합"/>
    <s v="Lightning QR"/>
    <s v="모바일(대)도구/유틸리티(중)"/>
    <s v="m.app"/>
    <s v="애드몹"/>
    <x v="1"/>
    <x v="0"/>
    <s v="25.02.20"/>
    <s v="25.02.20"/>
    <n v="128"/>
  </r>
  <r>
    <x v="0"/>
    <x v="12"/>
    <s v="리서치애드"/>
    <x v="3"/>
    <s v="이케아"/>
    <s v="가정용품"/>
    <s v="가구류"/>
    <s v="가구류 제품종합"/>
    <s v="부산시 등산로"/>
    <s v="엔터테인먼트(대)스포츠/레포츠(중)"/>
    <s v="m.app"/>
    <s v="애드몹"/>
    <x v="1"/>
    <x v="3"/>
    <s v="25.04.12"/>
    <s v="25.04.12"/>
    <n v="133"/>
  </r>
  <r>
    <x v="0"/>
    <x v="12"/>
    <s v="리서치애드"/>
    <x v="3"/>
    <s v="이케아"/>
    <s v="가정용품"/>
    <s v="가구류"/>
    <s v="가구류 제품종합"/>
    <s v="광주 등산로"/>
    <s v="엔터테인먼트(대)스포츠/레포츠(중)"/>
    <s v="m.app"/>
    <s v="애드몹"/>
    <x v="1"/>
    <x v="3"/>
    <s v="25.04.15"/>
    <s v="25.04.16"/>
    <n v="266"/>
  </r>
  <r>
    <x v="0"/>
    <x v="12"/>
    <s v="리서치애드"/>
    <x v="3"/>
    <s v="이케아"/>
    <s v="가정용품"/>
    <s v="가구류"/>
    <s v="가구류 제품종합"/>
    <s v="인천 등산로"/>
    <s v="엔터테인먼트(대)스포츠/레포츠(중)"/>
    <s v="m.app"/>
    <s v="애드몹"/>
    <x v="1"/>
    <x v="0"/>
    <s v="25.02.28"/>
    <s v="25.02.28"/>
    <n v="128"/>
  </r>
  <r>
    <x v="0"/>
    <x v="12"/>
    <s v="리서치애드"/>
    <x v="3"/>
    <s v="이케아"/>
    <s v="가정용품"/>
    <s v="가구류"/>
    <s v="가구류 제품종합"/>
    <s v="인천 등산로"/>
    <s v="엔터테인먼트(대)스포츠/레포츠(중)"/>
    <s v="m.app"/>
    <s v="애드몹"/>
    <x v="1"/>
    <x v="1"/>
    <s v="25.03.01"/>
    <s v="25.03.02"/>
    <n v="266"/>
  </r>
  <r>
    <x v="0"/>
    <x v="12"/>
    <s v="리서치애드"/>
    <x v="3"/>
    <s v="이케아"/>
    <s v="가정용품"/>
    <s v="가구류"/>
    <s v="가구류 제품종합"/>
    <s v="인천 등산로"/>
    <s v="엔터테인먼트(대)스포츠/레포츠(중)"/>
    <s v="m.app"/>
    <s v="애드몹"/>
    <x v="1"/>
    <x v="1"/>
    <s v="25.03.03"/>
    <s v="25.03.07"/>
    <n v="665"/>
  </r>
  <r>
    <x v="0"/>
    <x v="12"/>
    <s v="리서치애드"/>
    <x v="3"/>
    <s v="이케아"/>
    <s v="가정용품"/>
    <s v="가구류"/>
    <s v="가구류 제품종합"/>
    <s v="폰케이스"/>
    <s v="엔터테인먼트(대)게임(중)"/>
    <s v="m.app"/>
    <s v="애드몹"/>
    <x v="1"/>
    <x v="0"/>
    <s v="25.02.07"/>
    <s v="25.02.09"/>
    <n v="385"/>
  </r>
  <r>
    <x v="0"/>
    <x v="12"/>
    <s v="리서치애드"/>
    <x v="3"/>
    <s v="이케아"/>
    <s v="가정용품"/>
    <s v="가구류"/>
    <s v="가구류 제품종합"/>
    <s v="폰케이스"/>
    <s v="엔터테인먼트(대)게임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Voice Recorder"/>
    <s v="모바일(대)도구/유틸리티(중)"/>
    <s v="m.app"/>
    <s v="애드몹"/>
    <x v="1"/>
    <x v="0"/>
    <s v="25.02.21"/>
    <s v="25.02.21"/>
    <n v="128"/>
  </r>
  <r>
    <x v="0"/>
    <x v="12"/>
    <s v="리서치애드"/>
    <x v="3"/>
    <s v="이케아"/>
    <s v="가정용품"/>
    <s v="가구류"/>
    <s v="가구류 제품종합"/>
    <s v="Art Blitz"/>
    <s v="엔터테인먼트(대)게임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Floor is Lava"/>
    <s v="엔터테인먼트(대)게임(중)"/>
    <s v="m.app"/>
    <s v="애드몹"/>
    <x v="1"/>
    <x v="3"/>
    <s v="25.04.15"/>
    <s v="25.04.15"/>
    <n v="133"/>
  </r>
  <r>
    <x v="0"/>
    <x v="12"/>
    <s v="리서치애드"/>
    <x v="3"/>
    <s v="이케아"/>
    <s v="가정용품"/>
    <s v="가구류"/>
    <s v="가구류 제품종합"/>
    <s v="FROMISE_9 2048"/>
    <s v="엔터테인먼트(대)게임(중)"/>
    <s v="m.app"/>
    <s v="애드몹"/>
    <x v="1"/>
    <x v="0"/>
    <s v="25.02.26"/>
    <s v="25.02.26"/>
    <n v="128"/>
  </r>
  <r>
    <x v="0"/>
    <x v="12"/>
    <s v="리서치애드"/>
    <x v="3"/>
    <s v="이케아"/>
    <s v="가정용품"/>
    <s v="가구류"/>
    <s v="가구류 제품종합"/>
    <s v="FROMISE_9 2048"/>
    <s v="엔터테인먼트(대)게임(중)"/>
    <s v="m.app"/>
    <s v="애드몹"/>
    <x v="1"/>
    <x v="1"/>
    <s v="25.03.01"/>
    <s v="25.03.01"/>
    <n v="133"/>
  </r>
  <r>
    <x v="0"/>
    <x v="12"/>
    <s v="리서치애드"/>
    <x v="3"/>
    <s v="이케아"/>
    <s v="가정용품"/>
    <s v="가구류"/>
    <s v="가구류 제품종합"/>
    <s v="포켓빵을 숨겼다"/>
    <s v="엔터테인먼트(대)게임(중)"/>
    <s v="m.app"/>
    <s v="애드몹"/>
    <x v="1"/>
    <x v="0"/>
    <s v="25.02.02"/>
    <s v="25.02.02"/>
    <n v="128"/>
  </r>
  <r>
    <x v="0"/>
    <x v="12"/>
    <s v="리서치애드"/>
    <x v="3"/>
    <s v="이케아"/>
    <s v="가정용품"/>
    <s v="가구류"/>
    <s v="가구류 제품종합"/>
    <s v="포켓빵을 숨겼다"/>
    <s v="엔터테인먼트(대)게임(중)"/>
    <s v="m.app"/>
    <s v="애드몹"/>
    <x v="1"/>
    <x v="0"/>
    <s v="25.02.04"/>
    <s v="25.02.04"/>
    <n v="128"/>
  </r>
  <r>
    <x v="0"/>
    <x v="12"/>
    <s v="리서치애드"/>
    <x v="3"/>
    <s v="이케아"/>
    <s v="가정용품"/>
    <s v="가구류"/>
    <s v="가구류 제품종합"/>
    <s v="포켓빵을 숨겼다"/>
    <s v="엔터테인먼트(대)게임(중)"/>
    <s v="m.app"/>
    <s v="애드몹"/>
    <x v="1"/>
    <x v="3"/>
    <s v="25.04.01"/>
    <s v="25.04.01"/>
    <n v="266"/>
  </r>
  <r>
    <x v="0"/>
    <x v="12"/>
    <s v="리서치애드"/>
    <x v="3"/>
    <s v="이케아"/>
    <s v="가정용품"/>
    <s v="가구류"/>
    <s v="가구류 제품종합"/>
    <s v="보조금24 신청가이드"/>
    <s v="금융/비즈니스(대)금융정보(중)"/>
    <s v="m.app"/>
    <s v="애드몹"/>
    <x v="1"/>
    <x v="0"/>
    <s v="25.02.01"/>
    <s v="25.02.01"/>
    <n v="128"/>
  </r>
  <r>
    <x v="0"/>
    <x v="12"/>
    <s v="리서치애드"/>
    <x v="3"/>
    <s v="이케아"/>
    <s v="가정용품"/>
    <s v="가구류"/>
    <s v="가구류 제품종합"/>
    <s v="joongang.co.kr"/>
    <s v="신문/잡지(대)종합일간지(중)"/>
    <s v="m.web"/>
    <s v="애드몹"/>
    <x v="1"/>
    <x v="3"/>
    <s v="25.04.16"/>
    <s v="25.04.16"/>
    <n v="217"/>
  </r>
  <r>
    <x v="0"/>
    <x v="12"/>
    <s v="리서치애드"/>
    <x v="3"/>
    <s v="이케아"/>
    <s v="가정용품"/>
    <s v="가구류"/>
    <s v="가구류 제품종합"/>
    <s v="Christmas Lights"/>
    <s v="모바일(대)도구/유틸리티(중)"/>
    <s v="m.app"/>
    <s v="애드몹"/>
    <x v="1"/>
    <x v="0"/>
    <s v="25.02.06"/>
    <s v="25.02.08"/>
    <n v="385"/>
  </r>
  <r>
    <x v="0"/>
    <x v="12"/>
    <s v="리서치애드"/>
    <x v="3"/>
    <s v="이케아"/>
    <s v="가정용품"/>
    <s v="가구류"/>
    <s v="가구류 제품종합"/>
    <s v="혈당"/>
    <s v="생활정보(대)병원/건강정보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혈당"/>
    <s v="생활정보(대)병원/건강정보(중)"/>
    <s v="m.app"/>
    <s v="애드몹"/>
    <x v="1"/>
    <x v="0"/>
    <s v="25.02.07"/>
    <s v="25.02.07"/>
    <n v="128"/>
  </r>
  <r>
    <x v="0"/>
    <x v="12"/>
    <s v="리서치애드"/>
    <x v="3"/>
    <s v="이케아"/>
    <s v="가정용품"/>
    <s v="가구류"/>
    <s v="가구류 제품종합"/>
    <s v="오늘의 옷차림"/>
    <s v="생활정보(대)교통/날씨(중)"/>
    <s v="m.app"/>
    <s v="애드몹"/>
    <x v="1"/>
    <x v="4"/>
    <s v="25.01.29"/>
    <s v="25.01.29"/>
    <n v="93"/>
  </r>
  <r>
    <x v="0"/>
    <x v="12"/>
    <s v="리서치애드"/>
    <x v="3"/>
    <s v="이케아"/>
    <s v="가정용품"/>
    <s v="가구류"/>
    <s v="가구류 제품종합"/>
    <s v="오늘의 옷차림"/>
    <s v="생활정보(대)교통/날씨(중)"/>
    <s v="m.app"/>
    <s v="애드몹"/>
    <x v="1"/>
    <x v="0"/>
    <s v="25.02.05"/>
    <s v="25.02.05"/>
    <n v="128"/>
  </r>
  <r>
    <x v="0"/>
    <x v="12"/>
    <s v="리서치애드"/>
    <x v="3"/>
    <s v="이케아"/>
    <s v="가정용품"/>
    <s v="가구류"/>
    <s v="가구류 제품종합"/>
    <s v="Beauty Makeup"/>
    <s v="생활정보(대)미용/패션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Beauty Makeup"/>
    <s v="생활정보(대)미용/패션(중)"/>
    <s v="m.app"/>
    <s v="애드몹"/>
    <x v="1"/>
    <x v="0"/>
    <s v="25.02.24"/>
    <s v="25.02.24"/>
    <n v="128"/>
  </r>
  <r>
    <x v="0"/>
    <x v="12"/>
    <s v="리서치애드"/>
    <x v="3"/>
    <s v="이케아"/>
    <s v="가정용품"/>
    <s v="가구류"/>
    <s v="가구류 제품종합"/>
    <s v="World Baseball App"/>
    <s v="엔터테인먼트(대)스포츠/레포츠(중)"/>
    <s v="m.app"/>
    <s v="애드몹"/>
    <x v="1"/>
    <x v="4"/>
    <s v="25.01.24"/>
    <s v="25.01.24"/>
    <n v="93"/>
  </r>
  <r>
    <x v="0"/>
    <x v="12"/>
    <s v="리서치애드"/>
    <x v="3"/>
    <s v="이케아"/>
    <s v="가정용품"/>
    <s v="가구류"/>
    <s v="가구류 제품종합"/>
    <s v="DSLR Camera HD Professional"/>
    <s v="모바일(대)도구/유틸리티(중)"/>
    <s v="m.app"/>
    <s v="애드몹"/>
    <x v="1"/>
    <x v="0"/>
    <s v="25.02.14"/>
    <s v="25.02.14"/>
    <n v="128"/>
  </r>
  <r>
    <x v="0"/>
    <x v="11"/>
    <s v="리서치애드"/>
    <x v="3"/>
    <s v="이케아"/>
    <s v="가정용품"/>
    <s v="가구류"/>
    <s v="가구류 제품종합"/>
    <s v="MANPLUS"/>
    <s v="모바일(대)모바일기타(중)"/>
    <s v="m.app"/>
    <s v="TARGETPICK"/>
    <x v="1"/>
    <x v="1"/>
    <s v="25.03.01"/>
    <s v="25.03.02"/>
    <n v="5940"/>
  </r>
  <r>
    <x v="0"/>
    <x v="11"/>
    <s v="리서치애드"/>
    <x v="3"/>
    <s v="이케아"/>
    <s v="가정용품"/>
    <s v="가구류"/>
    <s v="가구류 제품종합"/>
    <s v="MANPLUS"/>
    <s v="모바일(대)모바일기타(중)"/>
    <s v="m.app"/>
    <s v="TARGETPICK"/>
    <x v="1"/>
    <x v="1"/>
    <s v="25.03.03"/>
    <s v="25.03.09"/>
    <n v="20784"/>
  </r>
  <r>
    <x v="0"/>
    <x v="11"/>
    <s v="리서치애드"/>
    <x v="3"/>
    <s v="이케아"/>
    <s v="가정용품"/>
    <s v="가구류"/>
    <s v="가구류 제품종합"/>
    <s v="MANPLUS"/>
    <s v="모바일(대)모바일기타(중)"/>
    <s v="m.app"/>
    <s v="TARGETPICK"/>
    <x v="1"/>
    <x v="1"/>
    <s v="25.03.10"/>
    <s v="25.03.15"/>
    <n v="17816"/>
  </r>
  <r>
    <x v="0"/>
    <x v="12"/>
    <s v="리서치애드"/>
    <x v="3"/>
    <s v="이케아"/>
    <s v="가정용품"/>
    <s v="가구류"/>
    <s v="가구류 제품종합"/>
    <s v="카카오버스"/>
    <s v="생활정보(대)교통/날씨(중)"/>
    <s v="m.app"/>
    <s v="애드몹"/>
    <x v="1"/>
    <x v="0"/>
    <s v="25.02.14"/>
    <s v="25.02.14"/>
    <n v="128"/>
  </r>
  <r>
    <x v="0"/>
    <x v="12"/>
    <s v="리서치애드"/>
    <x v="3"/>
    <s v="이케아"/>
    <s v="가정용품"/>
    <s v="가구류"/>
    <s v="가구류 제품종합"/>
    <s v="순산해요"/>
    <s v="생활정보(대)여성/육아(중)"/>
    <s v="m.app"/>
    <s v="애드몹"/>
    <x v="1"/>
    <x v="0"/>
    <s v="25.02.09"/>
    <s v="25.02.09"/>
    <n v="128"/>
  </r>
  <r>
    <x v="0"/>
    <x v="12"/>
    <s v="리서치애드"/>
    <x v="3"/>
    <s v="이케아"/>
    <s v="가정용품"/>
    <s v="가구류"/>
    <s v="가구류 제품종합"/>
    <s v="진통"/>
    <s v="생활정보(대)여성/육아(중)"/>
    <s v="m.app"/>
    <s v="애드몹"/>
    <x v="1"/>
    <x v="0"/>
    <s v="25.02.18"/>
    <s v="25.02.20"/>
    <n v="385"/>
  </r>
  <r>
    <x v="0"/>
    <x v="12"/>
    <s v="리서치애드"/>
    <x v="3"/>
    <s v="이케아"/>
    <s v="가정용품"/>
    <s v="가구류"/>
    <s v="가구류 제품종합"/>
    <s v="심박수"/>
    <s v="생활정보(대)병원/건강정보(중)"/>
    <s v="m.app"/>
    <s v="애드몹"/>
    <x v="1"/>
    <x v="0"/>
    <s v="25.02.10"/>
    <s v="25.02.10"/>
    <n v="128"/>
  </r>
  <r>
    <x v="0"/>
    <x v="12"/>
    <s v="리서치애드"/>
    <x v="3"/>
    <s v="이케아"/>
    <s v="가정용품"/>
    <s v="가구류"/>
    <s v="가구류 제품종합"/>
    <s v="심박수"/>
    <s v="생활정보(대)병원/건강정보(중)"/>
    <s v="m.app"/>
    <s v="애드몹"/>
    <x v="1"/>
    <x v="0"/>
    <s v="25.02.11"/>
    <s v="25.02.11"/>
    <n v="128"/>
  </r>
  <r>
    <x v="0"/>
    <x v="12"/>
    <s v="리서치애드"/>
    <x v="3"/>
    <s v="이케아"/>
    <s v="가정용품"/>
    <s v="가구류"/>
    <s v="가구류 제품종합"/>
    <s v="BeautyMirror"/>
    <s v="모바일(대)라이프스타일(중)"/>
    <s v="m.app"/>
    <s v="애드몹"/>
    <x v="1"/>
    <x v="4"/>
    <s v="25.01.29"/>
    <s v="25.01.29"/>
    <n v="93"/>
  </r>
  <r>
    <x v="0"/>
    <x v="12"/>
    <s v="리서치애드"/>
    <x v="3"/>
    <s v="이케아"/>
    <s v="가정용품"/>
    <s v="가구류"/>
    <s v="가구류 제품종합"/>
    <s v="BeautyMirror"/>
    <s v="모바일(대)라이프스타일(중)"/>
    <s v="m.app"/>
    <s v="애드몹"/>
    <x v="1"/>
    <x v="0"/>
    <s v="25.02.03"/>
    <s v="25.02.03"/>
    <n v="128"/>
  </r>
  <r>
    <x v="0"/>
    <x v="12"/>
    <s v="리서치애드"/>
    <x v="3"/>
    <s v="이케아"/>
    <s v="가정용품"/>
    <s v="가구류"/>
    <s v="가구류 제품종합"/>
    <s v="Couple Photo Frame"/>
    <s v="모바일(대)엔터테인먼트(중)"/>
    <s v="m.app"/>
    <s v="애드몹"/>
    <x v="1"/>
    <x v="0"/>
    <s v="25.02.06"/>
    <s v="25.02.06"/>
    <n v="256"/>
  </r>
  <r>
    <x v="0"/>
    <x v="12"/>
    <s v="리서치애드"/>
    <x v="3"/>
    <s v="이케아"/>
    <s v="가정용품"/>
    <s v="가구류"/>
    <s v="가구류 제품종합"/>
    <s v="일본어번역기"/>
    <s v="모바일(대)도구/유틸리티(중)"/>
    <s v="m.app"/>
    <s v="애드몹"/>
    <x v="1"/>
    <x v="0"/>
    <s v="25.02.22"/>
    <s v="25.02.22"/>
    <n v="128"/>
  </r>
  <r>
    <x v="0"/>
    <x v="12"/>
    <s v="리서치애드"/>
    <x v="3"/>
    <s v="이케아"/>
    <s v="가정용품"/>
    <s v="가구류"/>
    <s v="가구류 제품종합"/>
    <s v="일본어번역기"/>
    <s v="모바일(대)도구/유틸리티(중)"/>
    <s v="m.app"/>
    <s v="애드몹"/>
    <x v="1"/>
    <x v="1"/>
    <s v="25.03.01"/>
    <s v="25.03.02"/>
    <n v="266"/>
  </r>
  <r>
    <x v="0"/>
    <x v="12"/>
    <s v="리서치애드"/>
    <x v="3"/>
    <s v="이케아"/>
    <s v="가정용품"/>
    <s v="가구류"/>
    <s v="가구류 제품종합"/>
    <s v="일본어번역기"/>
    <s v="모바일(대)도구/유틸리티(중)"/>
    <s v="m.app"/>
    <s v="애드몹"/>
    <x v="1"/>
    <x v="1"/>
    <s v="25.03.03"/>
    <s v="25.03.03"/>
    <n v="133"/>
  </r>
  <r>
    <x v="0"/>
    <x v="12"/>
    <s v="리서치애드"/>
    <x v="3"/>
    <s v="이케아"/>
    <s v="가정용품"/>
    <s v="가구류"/>
    <s v="가구류 제품종합"/>
    <s v="말하는 앵무새 토킹피에르"/>
    <s v="모바일(대)엔터테인먼트(중)"/>
    <s v="m.app"/>
    <s v="애드몹"/>
    <x v="1"/>
    <x v="0"/>
    <s v="25.02.11"/>
    <s v="25.02.11"/>
    <n v="128"/>
  </r>
  <r>
    <x v="0"/>
    <x v="12"/>
    <s v="리서치애드"/>
    <x v="3"/>
    <s v="이케아"/>
    <s v="가정용품"/>
    <s v="가구류"/>
    <s v="가구류 제품종합"/>
    <s v="Super Jabber Jump"/>
    <s v="엔터테인먼트(대)게임(중)"/>
    <s v="m.app"/>
    <s v="애드몹"/>
    <x v="1"/>
    <x v="3"/>
    <s v="25.04.04"/>
    <s v="25.04.05"/>
    <n v="266"/>
  </r>
  <r>
    <x v="0"/>
    <x v="12"/>
    <s v="리서치애드"/>
    <x v="3"/>
    <s v="이케아"/>
    <s v="가정용품"/>
    <s v="가구류"/>
    <s v="가구류 제품종합"/>
    <s v="Pirate Attack"/>
    <s v="엔터테인먼트(대)게임(중)"/>
    <s v="m.app"/>
    <s v="애드몹"/>
    <x v="1"/>
    <x v="4"/>
    <s v="25.01.23"/>
    <s v="25.01.23"/>
    <n v="93"/>
  </r>
  <r>
    <x v="0"/>
    <x v="12"/>
    <s v="리서치애드"/>
    <x v="3"/>
    <s v="이케아"/>
    <s v="가정용품"/>
    <s v="가구류"/>
    <s v="가구류 제품종합"/>
    <s v="Pirate Attack"/>
    <s v="엔터테인먼트(대)게임(중)"/>
    <s v="m.app"/>
    <s v="애드몹"/>
    <x v="1"/>
    <x v="4"/>
    <s v="25.01.27"/>
    <s v="25.01.27"/>
    <n v="93"/>
  </r>
  <r>
    <x v="0"/>
    <x v="12"/>
    <s v="리서치애드"/>
    <x v="3"/>
    <s v="이케아"/>
    <s v="가정용품"/>
    <s v="가구류"/>
    <s v="가구류 제품종합"/>
    <s v="부부의 장난 2"/>
    <s v="엔터테인먼트(대)게임(중)"/>
    <s v="m.app"/>
    <s v="애드몹"/>
    <x v="1"/>
    <x v="4"/>
    <s v="25.01.20"/>
    <s v="25.01.20"/>
    <n v="93"/>
  </r>
  <r>
    <x v="0"/>
    <x v="12"/>
    <s v="리서치애드"/>
    <x v="3"/>
    <s v="이케아"/>
    <s v="가정용품"/>
    <s v="가구류"/>
    <s v="가구류 제품종합"/>
    <s v="경륜톡경정톡"/>
    <s v="엔터테인먼트(대)스포츠/레포츠(중)"/>
    <s v="m.app"/>
    <s v="애드몹"/>
    <x v="1"/>
    <x v="0"/>
    <s v="25.02.06"/>
    <s v="25.02.06"/>
    <n v="128"/>
  </r>
  <r>
    <x v="0"/>
    <x v="12"/>
    <s v="리서치애드"/>
    <x v="3"/>
    <s v="이케아"/>
    <s v="가정용품"/>
    <s v="가구류"/>
    <s v="가구류 제품종합"/>
    <s v="Doodle Drawing"/>
    <s v="엔터테인먼트(대)엔터테인먼트 기타(중)"/>
    <s v="m.app"/>
    <s v="애드몹"/>
    <x v="1"/>
    <x v="0"/>
    <s v="25.02.19"/>
    <s v="25.02.19"/>
    <n v="128"/>
  </r>
  <r>
    <x v="0"/>
    <x v="12"/>
    <s v="리서치애드"/>
    <x v="3"/>
    <s v="이케아"/>
    <s v="가정용품"/>
    <s v="가구류"/>
    <s v="가구류 제품종합"/>
    <s v="마네키네코 이모티콘"/>
    <s v="모바일(대)엔터테인먼트(중)"/>
    <s v="m.app"/>
    <s v="애드몹"/>
    <x v="1"/>
    <x v="0"/>
    <s v="25.02.03"/>
    <s v="25.02.03"/>
    <n v="128"/>
  </r>
  <r>
    <x v="0"/>
    <x v="12"/>
    <s v="리서치애드"/>
    <x v="3"/>
    <s v="이케아"/>
    <s v="가정용품"/>
    <s v="가구류"/>
    <s v="가구류 제품종합"/>
    <s v="마네키네코 이모티콘"/>
    <s v="모바일(대)엔터테인먼트(중)"/>
    <s v="m.app"/>
    <s v="애드몹"/>
    <x v="1"/>
    <x v="0"/>
    <s v="25.02.08"/>
    <s v="25.02.08"/>
    <n v="128"/>
  </r>
  <r>
    <x v="0"/>
    <x v="12"/>
    <s v="리서치애드"/>
    <x v="3"/>
    <s v="이케아"/>
    <s v="가정용품"/>
    <s v="가구류"/>
    <s v="가구류 제품종합"/>
    <s v="마네키네코 이모티콘"/>
    <s v="모바일(대)엔터테인먼트(중)"/>
    <s v="m.app"/>
    <s v="애드몹"/>
    <x v="1"/>
    <x v="0"/>
    <s v="25.02.10"/>
    <s v="25.02.10"/>
    <n v="128"/>
  </r>
  <r>
    <x v="0"/>
    <x v="12"/>
    <s v="리서치애드"/>
    <x v="3"/>
    <s v="이케아"/>
    <s v="가정용품"/>
    <s v="가구류"/>
    <s v="가구류 제품종합"/>
    <s v="공주 파티"/>
    <s v="엔터테인먼트(대)게임(중)"/>
    <s v="m.app"/>
    <s v="애드몹"/>
    <x v="1"/>
    <x v="3"/>
    <s v="25.04.06"/>
    <s v="25.04.06"/>
    <n v="133"/>
  </r>
  <r>
    <x v="0"/>
    <x v="12"/>
    <s v="리서치애드"/>
    <x v="3"/>
    <s v="이케아"/>
    <s v="가정용품"/>
    <s v="가구류"/>
    <s v="가구류 제품종합"/>
    <s v="공주 파티"/>
    <s v="엔터테인먼트(대)게임(중)"/>
    <s v="m.app"/>
    <s v="애드몹"/>
    <x v="1"/>
    <x v="3"/>
    <s v="25.04.16"/>
    <s v="25.04.16"/>
    <n v="133"/>
  </r>
  <r>
    <x v="0"/>
    <x v="12"/>
    <s v="리서치애드"/>
    <x v="0"/>
    <s v="락앤락"/>
    <s v="가정용품"/>
    <s v="주방용품"/>
    <s v="바이오 용기"/>
    <s v="nate.com"/>
    <s v="포털(대)포털(중)"/>
    <s v="m.web"/>
    <s v="애드몹"/>
    <x v="0"/>
    <x v="0"/>
    <s v="24.02.16"/>
    <s v="24.02.16"/>
    <n v="735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0"/>
    <x v="2"/>
    <s v="24.05.18"/>
    <s v="24.05.18"/>
    <n v="6516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0"/>
    <x v="2"/>
    <s v="24.05.26"/>
    <s v="24.05.26"/>
    <n v="6516"/>
  </r>
  <r>
    <x v="0"/>
    <x v="8"/>
    <s v="리서치애드"/>
    <x v="0"/>
    <s v="락앤락"/>
    <s v="가정용품"/>
    <s v="주방용품"/>
    <s v="바이오 용기"/>
    <s v="카카오톡"/>
    <s v="커뮤니케이션(대)채팅/메신저(중)"/>
    <s v="m.app"/>
    <s v="카카오광고"/>
    <x v="0"/>
    <x v="10"/>
    <s v="24.06.22"/>
    <s v="24.06.22"/>
    <n v="6516"/>
  </r>
  <r>
    <x v="0"/>
    <x v="2"/>
    <s v="리서치애드"/>
    <x v="0"/>
    <s v="락앤락"/>
    <s v="가정용품"/>
    <s v="주방용품"/>
    <s v="바이오 용기"/>
    <s v="gamemeca.com"/>
    <s v="신문/잡지(대)온라인뉴스(중)"/>
    <s v="m.web"/>
    <s v="크리테오"/>
    <x v="0"/>
    <x v="1"/>
    <s v="24.03.27"/>
    <s v="24.03.27"/>
    <n v="133"/>
  </r>
  <r>
    <x v="0"/>
    <x v="12"/>
    <s v="리서치애드"/>
    <x v="1"/>
    <s v="코렐"/>
    <s v="가정용품"/>
    <s v="주방용품"/>
    <s v="유리 및 자기그릇"/>
    <s v="감옥탈출"/>
    <s v="엔터테인먼트(대)게임(중)"/>
    <s v="m.app"/>
    <s v="애드몹"/>
    <x v="0"/>
    <x v="0"/>
    <s v="24.02.28"/>
    <s v="24.02.28"/>
    <n v="91"/>
  </r>
  <r>
    <x v="0"/>
    <x v="12"/>
    <s v="리서치애드"/>
    <x v="1"/>
    <s v="코렐"/>
    <s v="가정용품"/>
    <s v="주방용품"/>
    <s v="유리 및 자기그릇"/>
    <s v="감옥탈출"/>
    <s v="엔터테인먼트(대)게임(중)"/>
    <s v="m.app"/>
    <s v="애드몹"/>
    <x v="0"/>
    <x v="1"/>
    <s v="24.03.06"/>
    <s v="24.03.06"/>
    <n v="91"/>
  </r>
  <r>
    <x v="0"/>
    <x v="12"/>
    <s v="리서치애드"/>
    <x v="1"/>
    <s v="코렐"/>
    <s v="가정용품"/>
    <s v="주방용품"/>
    <s v="유리 및 자기그릇"/>
    <s v="감옥탈출"/>
    <s v="엔터테인먼트(대)게임(중)"/>
    <s v="m.app"/>
    <s v="애드몹"/>
    <x v="0"/>
    <x v="1"/>
    <s v="24.03.19"/>
    <s v="24.03.24"/>
    <n v="545"/>
  </r>
  <r>
    <x v="0"/>
    <x v="12"/>
    <s v="리서치애드"/>
    <x v="1"/>
    <s v="코렐"/>
    <s v="가정용품"/>
    <s v="주방용품"/>
    <s v="유리 및 자기그릇"/>
    <s v="말하는 진저"/>
    <s v="엔터테인먼트(대)엔터테인먼트 기타(중)"/>
    <s v="m.app"/>
    <s v="애드몹"/>
    <x v="0"/>
    <x v="0"/>
    <s v="24.02.19"/>
    <s v="24.02.19"/>
    <n v="91"/>
  </r>
  <r>
    <x v="0"/>
    <x v="12"/>
    <s v="리서치애드"/>
    <x v="1"/>
    <s v="코렐"/>
    <s v="가정용품"/>
    <s v="주방용품"/>
    <s v="유리 및 자기그릇"/>
    <s v="말하는 진저"/>
    <s v="엔터테인먼트(대)엔터테인먼트 기타(중)"/>
    <s v="m.app"/>
    <s v="애드몹"/>
    <x v="0"/>
    <x v="3"/>
    <s v="24.04.07"/>
    <s v="24.04.07"/>
    <n v="91"/>
  </r>
  <r>
    <x v="0"/>
    <x v="12"/>
    <s v="리서치애드"/>
    <x v="1"/>
    <s v="코렐"/>
    <s v="가정용품"/>
    <s v="주방용품"/>
    <s v="유리 및 자기그릇"/>
    <s v="말하는 진저"/>
    <s v="엔터테인먼트(대)엔터테인먼트 기타(중)"/>
    <s v="m.app"/>
    <s v="애드몹"/>
    <x v="0"/>
    <x v="3"/>
    <s v="24.04.21"/>
    <s v="24.04.21"/>
    <n v="91"/>
  </r>
  <r>
    <x v="0"/>
    <x v="12"/>
    <s v="리서치애드"/>
    <x v="1"/>
    <s v="코렐"/>
    <s v="가정용품"/>
    <s v="주방용품"/>
    <s v="유리 및 자기그릇"/>
    <s v="바운스볼"/>
    <s v="엔터테인먼트(대)게임(중)"/>
    <s v="m.app"/>
    <s v="애드몹"/>
    <x v="0"/>
    <x v="10"/>
    <s v="24.06.28"/>
    <s v="24.06.28"/>
    <n v="78"/>
  </r>
  <r>
    <x v="0"/>
    <x v="12"/>
    <s v="리서치애드"/>
    <x v="1"/>
    <s v="코렐"/>
    <s v="가정용품"/>
    <s v="주방용품"/>
    <s v="유리 및 자기그릇"/>
    <s v="배경화면 HD"/>
    <s v="모바일(대)엔터테인먼트(중)"/>
    <s v="m.app"/>
    <s v="애드몹"/>
    <x v="0"/>
    <x v="0"/>
    <s v="24.02.22"/>
    <s v="24.02.22"/>
    <n v="91"/>
  </r>
  <r>
    <x v="0"/>
    <x v="12"/>
    <s v="리서치애드"/>
    <x v="1"/>
    <s v="코렐"/>
    <s v="가정용품"/>
    <s v="주방용품"/>
    <s v="유리 및 자기그릇"/>
    <s v="토킹 벤"/>
    <s v="엔터테인먼트(대)엔터테인먼트 기타(중)"/>
    <s v="m.app"/>
    <s v="애드몹"/>
    <x v="0"/>
    <x v="1"/>
    <s v="24.03.07"/>
    <s v="24.03.07"/>
    <n v="91"/>
  </r>
  <r>
    <x v="0"/>
    <x v="12"/>
    <s v="리서치애드"/>
    <x v="1"/>
    <s v="코렐"/>
    <s v="가정용품"/>
    <s v="주방용품"/>
    <s v="유리 및 자기그릇"/>
    <s v="Daddy Was A Thief"/>
    <s v="엔터테인먼트(대)엔터테인먼트 기타(중)"/>
    <s v="m.app"/>
    <s v="애드몹"/>
    <x v="0"/>
    <x v="0"/>
    <s v="24.02.12"/>
    <s v="24.02.12"/>
    <n v="91"/>
  </r>
  <r>
    <x v="0"/>
    <x v="12"/>
    <s v="리서치애드"/>
    <x v="1"/>
    <s v="코렐"/>
    <s v="가정용품"/>
    <s v="주방용품"/>
    <s v="유리 및 자기그릇"/>
    <s v="감옥탈출2"/>
    <s v="엔터테인먼트(대)게임(중)"/>
    <s v="m.app"/>
    <s v="애드몹"/>
    <x v="0"/>
    <x v="3"/>
    <s v="24.04.06"/>
    <s v="24.04.06"/>
    <n v="91"/>
  </r>
  <r>
    <x v="0"/>
    <x v="12"/>
    <s v="리서치애드"/>
    <x v="1"/>
    <s v="코렐"/>
    <s v="가정용품"/>
    <s v="주방용품"/>
    <s v="유리 및 자기그릇"/>
    <s v="감옥탈출2"/>
    <s v="엔터테인먼트(대)게임(중)"/>
    <s v="m.app"/>
    <s v="애드몹"/>
    <x v="0"/>
    <x v="10"/>
    <s v="24.06.20"/>
    <s v="24.06.20"/>
    <n v="78"/>
  </r>
  <r>
    <x v="0"/>
    <x v="12"/>
    <s v="리서치애드"/>
    <x v="1"/>
    <s v="코렐"/>
    <s v="가정용품"/>
    <s v="주방용품"/>
    <s v="유리 및 자기그릇"/>
    <s v="짱웃긴만화24"/>
    <s v="엔터테인먼트(대)만화(중)"/>
    <s v="m.app"/>
    <s v="애드몹"/>
    <x v="0"/>
    <x v="1"/>
    <s v="24.03.31"/>
    <s v="24.03.31"/>
    <n v="91"/>
  </r>
  <r>
    <x v="0"/>
    <x v="12"/>
    <s v="리서치애드"/>
    <x v="1"/>
    <s v="코렐"/>
    <s v="가정용품"/>
    <s v="주방용품"/>
    <s v="유리 및 자기그릇"/>
    <s v="짱웃긴만화24"/>
    <s v="엔터테인먼트(대)만화(중)"/>
    <s v="m.app"/>
    <s v="애드몹"/>
    <x v="0"/>
    <x v="2"/>
    <s v="24.05.12"/>
    <s v="24.05.12"/>
    <n v="78"/>
  </r>
  <r>
    <x v="0"/>
    <x v="12"/>
    <s v="리서치애드"/>
    <x v="1"/>
    <s v="코렐"/>
    <s v="가정용품"/>
    <s v="주방용품"/>
    <s v="유리 및 자기그릇"/>
    <s v="짱웃긴만화26"/>
    <s v="엔터테인먼트(대)만화(중)"/>
    <s v="m.app"/>
    <s v="애드몹"/>
    <x v="0"/>
    <x v="4"/>
    <s v="24.01.10"/>
    <s v="24.01.10"/>
    <n v="91"/>
  </r>
  <r>
    <x v="0"/>
    <x v="12"/>
    <s v="리서치애드"/>
    <x v="1"/>
    <s v="코렐"/>
    <s v="가정용품"/>
    <s v="주방용품"/>
    <s v="유리 및 자기그릇"/>
    <s v="초성퀴즈"/>
    <s v="엔터테인먼트(대)게임(중)"/>
    <s v="m.app"/>
    <s v="애드몹"/>
    <x v="0"/>
    <x v="0"/>
    <s v="24.02.12"/>
    <s v="24.02.12"/>
    <n v="91"/>
  </r>
  <r>
    <x v="0"/>
    <x v="12"/>
    <s v="리서치애드"/>
    <x v="1"/>
    <s v="코렐"/>
    <s v="가정용품"/>
    <s v="주방용품"/>
    <s v="유리 및 자기그릇"/>
    <s v="초성퀴즈"/>
    <s v="엔터테인먼트(대)게임(중)"/>
    <s v="m.app"/>
    <s v="애드몹"/>
    <x v="0"/>
    <x v="1"/>
    <s v="24.03.18"/>
    <s v="24.03.18"/>
    <n v="91"/>
  </r>
  <r>
    <x v="0"/>
    <x v="12"/>
    <s v="리서치애드"/>
    <x v="1"/>
    <s v="코렐"/>
    <s v="가정용품"/>
    <s v="주방용품"/>
    <s v="유리 및 자기그릇"/>
    <s v="소리 퀴즈"/>
    <s v="엔터테인먼트(대)게임(중)"/>
    <s v="m.app"/>
    <s v="애드몹"/>
    <x v="0"/>
    <x v="0"/>
    <s v="24.02.10"/>
    <s v="24.02.10"/>
    <n v="91"/>
  </r>
  <r>
    <x v="0"/>
    <x v="12"/>
    <s v="리서치애드"/>
    <x v="1"/>
    <s v="코렐"/>
    <s v="가정용품"/>
    <s v="주방용품"/>
    <s v="유리 및 자기그릇"/>
    <s v="소리 퀴즈"/>
    <s v="엔터테인먼트(대)게임(중)"/>
    <s v="m.app"/>
    <s v="애드몹"/>
    <x v="0"/>
    <x v="1"/>
    <s v="24.03.15"/>
    <s v="24.03.15"/>
    <n v="91"/>
  </r>
  <r>
    <x v="0"/>
    <x v="12"/>
    <s v="리서치애드"/>
    <x v="1"/>
    <s v="코렐"/>
    <s v="가정용품"/>
    <s v="주방용품"/>
    <s v="유리 및 자기그릇"/>
    <s v="소리 퀴즈"/>
    <s v="엔터테인먼트(대)게임(중)"/>
    <s v="m.app"/>
    <s v="애드몹"/>
    <x v="0"/>
    <x v="1"/>
    <s v="24.03.26"/>
    <s v="24.03.28"/>
    <n v="272"/>
  </r>
  <r>
    <x v="0"/>
    <x v="12"/>
    <s v="리서치애드"/>
    <x v="1"/>
    <s v="코렐"/>
    <s v="가정용품"/>
    <s v="주방용품"/>
    <s v="유리 및 자기그릇"/>
    <s v="연상퀴즈"/>
    <s v="엔터테인먼트(대)게임(중)"/>
    <s v="m.app"/>
    <s v="애드몹"/>
    <x v="0"/>
    <x v="1"/>
    <s v="24.03.18"/>
    <s v="24.03.18"/>
    <n v="91"/>
  </r>
  <r>
    <x v="0"/>
    <x v="12"/>
    <s v="리서치애드"/>
    <x v="1"/>
    <s v="코렐"/>
    <s v="가정용품"/>
    <s v="주방용품"/>
    <s v="유리 및 자기그릇"/>
    <s v="스마트폰을 숨겼다"/>
    <s v="엔터테인먼트(대)게임(중)"/>
    <s v="m.app"/>
    <s v="애드몹"/>
    <x v="0"/>
    <x v="0"/>
    <s v="24.02.16"/>
    <s v="24.02.16"/>
    <n v="91"/>
  </r>
  <r>
    <x v="0"/>
    <x v="12"/>
    <s v="리서치애드"/>
    <x v="1"/>
    <s v="코렐"/>
    <s v="가정용품"/>
    <s v="주방용품"/>
    <s v="유리 및 자기그릇"/>
    <s v="스마트폰을 숨겼다"/>
    <s v="엔터테인먼트(대)게임(중)"/>
    <s v="m.app"/>
    <s v="애드몹"/>
    <x v="0"/>
    <x v="3"/>
    <s v="24.04.21"/>
    <s v="24.04.21"/>
    <n v="91"/>
  </r>
  <r>
    <x v="0"/>
    <x v="12"/>
    <s v="리서치애드"/>
    <x v="1"/>
    <s v="코렐"/>
    <s v="가정용품"/>
    <s v="주방용품"/>
    <s v="유리 및 자기그릇"/>
    <s v="스마트폰을 숨겼다"/>
    <s v="엔터테인먼트(대)게임(중)"/>
    <s v="m.app"/>
    <s v="애드몹"/>
    <x v="0"/>
    <x v="2"/>
    <s v="24.05.26"/>
    <s v="24.05.26"/>
    <n v="78"/>
  </r>
  <r>
    <x v="0"/>
    <x v="12"/>
    <s v="리서치애드"/>
    <x v="1"/>
    <s v="코렐"/>
    <s v="가정용품"/>
    <s v="주방용품"/>
    <s v="유리 및 자기그릇"/>
    <s v="No.Diamond"/>
    <s v="엔터테인먼트(대)엔터테인먼트 기타(중)"/>
    <s v="m.app"/>
    <s v="애드몹"/>
    <x v="0"/>
    <x v="10"/>
    <s v="24.06.24"/>
    <s v="24.06.24"/>
    <n v="78"/>
  </r>
  <r>
    <x v="0"/>
    <x v="12"/>
    <s v="리서치애드"/>
    <x v="1"/>
    <s v="코렐"/>
    <s v="가정용품"/>
    <s v="주방용품"/>
    <s v="유리 및 자기그릇"/>
    <s v="마크 스킨 제작소"/>
    <s v="모바일(대)도구/유틸리티(중)"/>
    <s v="m.app"/>
    <s v="애드몹"/>
    <x v="0"/>
    <x v="10"/>
    <s v="24.06.30"/>
    <s v="24.06.30"/>
    <n v="78"/>
  </r>
  <r>
    <x v="0"/>
    <x v="12"/>
    <s v="리서치애드"/>
    <x v="1"/>
    <s v="코렐"/>
    <s v="가정용품"/>
    <s v="주방용품"/>
    <s v="유리 및 자기그릇"/>
    <s v="Sandwich"/>
    <s v="엔터테인먼트(대)게임(중)"/>
    <s v="m.app"/>
    <s v="애드몹"/>
    <x v="0"/>
    <x v="3"/>
    <s v="24.04.10"/>
    <s v="24.04.10"/>
    <n v="91"/>
  </r>
  <r>
    <x v="0"/>
    <x v="12"/>
    <s v="리서치애드"/>
    <x v="1"/>
    <s v="코렐"/>
    <s v="가정용품"/>
    <s v="주방용품"/>
    <s v="유리 및 자기그릇"/>
    <s v="Brain Test"/>
    <s v="엔터테인먼트(대)게임(중)"/>
    <s v="m.app"/>
    <s v="애드몹"/>
    <x v="0"/>
    <x v="0"/>
    <s v="24.02.21"/>
    <s v="24.02.21"/>
    <n v="91"/>
  </r>
  <r>
    <x v="0"/>
    <x v="12"/>
    <s v="리서치애드"/>
    <x v="1"/>
    <s v="코렐"/>
    <s v="가정용품"/>
    <s v="주방용품"/>
    <s v="유리 및 자기그릇"/>
    <s v="Brain Test"/>
    <s v="엔터테인먼트(대)게임(중)"/>
    <s v="m.app"/>
    <s v="애드몹"/>
    <x v="0"/>
    <x v="2"/>
    <s v="24.05.24"/>
    <s v="24.05.24"/>
    <n v="78"/>
  </r>
  <r>
    <x v="0"/>
    <x v="12"/>
    <s v="리서치애드"/>
    <x v="1"/>
    <s v="코렐"/>
    <s v="가정용품"/>
    <s v="주방용품"/>
    <s v="유리 및 자기그릇"/>
    <s v="Smash DIY SLIME - Fidget Slimy"/>
    <s v="엔터테인먼트(대)게임(중)"/>
    <s v="m.app"/>
    <s v="애드몹"/>
    <x v="0"/>
    <x v="2"/>
    <s v="24.05.22"/>
    <s v="24.05.22"/>
    <n v="78"/>
  </r>
  <r>
    <x v="0"/>
    <x v="12"/>
    <s v="리서치애드"/>
    <x v="1"/>
    <s v="코렐"/>
    <s v="가정용품"/>
    <s v="주방용품"/>
    <s v="유리 및 자기그릇"/>
    <s v="rescue cut!"/>
    <s v="엔터테인먼트(대)게임(중)"/>
    <s v="m.app"/>
    <s v="애드몹"/>
    <x v="0"/>
    <x v="10"/>
    <s v="24.06.28"/>
    <s v="24.06.28"/>
    <n v="78"/>
  </r>
  <r>
    <x v="0"/>
    <x v="12"/>
    <s v="리서치애드"/>
    <x v="1"/>
    <s v="코렐"/>
    <s v="가정용품"/>
    <s v="주방용품"/>
    <s v="유리 및 자기그릇"/>
    <s v="공주의 색"/>
    <s v="엔터테인먼트(대)게임(중)"/>
    <s v="m.app"/>
    <s v="애드몹"/>
    <x v="0"/>
    <x v="1"/>
    <s v="24.03.11"/>
    <s v="24.03.11"/>
    <n v="91"/>
  </r>
  <r>
    <x v="0"/>
    <x v="12"/>
    <s v="리서치애드"/>
    <x v="1"/>
    <s v="코렐"/>
    <s v="가정용품"/>
    <s v="주방용품"/>
    <s v="유리 및 자기그릇"/>
    <s v="공주의 색"/>
    <s v="엔터테인먼트(대)게임(중)"/>
    <s v="m.app"/>
    <s v="애드몹"/>
    <x v="0"/>
    <x v="3"/>
    <s v="24.04.24"/>
    <s v="24.04.24"/>
    <n v="91"/>
  </r>
  <r>
    <x v="0"/>
    <x v="12"/>
    <s v="리서치애드"/>
    <x v="1"/>
    <s v="코렐"/>
    <s v="가정용품"/>
    <s v="주방용품"/>
    <s v="유리 및 자기그릇"/>
    <s v="공주의 색"/>
    <s v="엔터테인먼트(대)게임(중)"/>
    <s v="m.app"/>
    <s v="애드몹"/>
    <x v="0"/>
    <x v="2"/>
    <s v="24.05.08"/>
    <s v="24.05.08"/>
    <n v="78"/>
  </r>
  <r>
    <x v="0"/>
    <x v="12"/>
    <s v="리서치애드"/>
    <x v="1"/>
    <s v="코렐"/>
    <s v="가정용품"/>
    <s v="주방용품"/>
    <s v="유리 및 자기그릇"/>
    <s v="말하는 고양이 토킹진저 2"/>
    <s v="모바일(대)엔터테인먼트(중)"/>
    <s v="m.app"/>
    <s v="애드몹"/>
    <x v="0"/>
    <x v="3"/>
    <s v="24.04.17"/>
    <s v="24.04.17"/>
    <n v="91"/>
  </r>
  <r>
    <x v="0"/>
    <x v="12"/>
    <s v="리서치애드"/>
    <x v="1"/>
    <s v="코렐"/>
    <s v="가정용품"/>
    <s v="주방용품"/>
    <s v="유리 및 자기그릇"/>
    <s v="짱웃긴만화30"/>
    <s v="엔터테인먼트(대)만화(중)"/>
    <s v="m.app"/>
    <s v="애드몹"/>
    <x v="0"/>
    <x v="4"/>
    <s v="24.01.12"/>
    <s v="24.01.12"/>
    <n v="91"/>
  </r>
  <r>
    <x v="0"/>
    <x v="12"/>
    <s v="리서치애드"/>
    <x v="1"/>
    <s v="코렐"/>
    <s v="가정용품"/>
    <s v="주방용품"/>
    <s v="유리 및 자기그릇"/>
    <s v="무음 카메라"/>
    <s v="모바일(대)엔터테인먼트(중)"/>
    <s v="m.app"/>
    <s v="애드몹"/>
    <x v="0"/>
    <x v="1"/>
    <s v="24.03.06"/>
    <s v="24.03.06"/>
    <n v="91"/>
  </r>
  <r>
    <x v="0"/>
    <x v="12"/>
    <s v="리서치애드"/>
    <x v="1"/>
    <s v="코렐"/>
    <s v="가정용품"/>
    <s v="주방용품"/>
    <s v="유리 및 자기그릇"/>
    <s v="킹덤 퀴즈"/>
    <s v="엔터테인먼트(대)게임(중)"/>
    <s v="m.app"/>
    <s v="애드몹"/>
    <x v="0"/>
    <x v="0"/>
    <s v="24.02.11"/>
    <s v="24.02.11"/>
    <n v="91"/>
  </r>
  <r>
    <x v="0"/>
    <x v="12"/>
    <s v="리서치애드"/>
    <x v="1"/>
    <s v="코렐"/>
    <s v="가정용품"/>
    <s v="주방용품"/>
    <s v="유리 및 자기그릇"/>
    <s v="킹덤 퀴즈"/>
    <s v="엔터테인먼트(대)게임(중)"/>
    <s v="m.app"/>
    <s v="애드몹"/>
    <x v="0"/>
    <x v="1"/>
    <s v="24.03.07"/>
    <s v="24.03.07"/>
    <n v="91"/>
  </r>
  <r>
    <x v="0"/>
    <x v="12"/>
    <s v="리서치애드"/>
    <x v="1"/>
    <s v="코렐"/>
    <s v="가정용품"/>
    <s v="주방용품"/>
    <s v="유리 및 자기그릇"/>
    <s v="킹덤 퀴즈"/>
    <s v="엔터테인먼트(대)게임(중)"/>
    <s v="m.app"/>
    <s v="애드몹"/>
    <x v="0"/>
    <x v="3"/>
    <s v="24.04.01"/>
    <s v="24.04.01"/>
    <n v="91"/>
  </r>
  <r>
    <x v="0"/>
    <x v="12"/>
    <s v="리서치애드"/>
    <x v="1"/>
    <s v="코렐"/>
    <s v="가정용품"/>
    <s v="주방용품"/>
    <s v="유리 및 자기그릇"/>
    <s v="포켓빵을 숨겼다"/>
    <s v="엔터테인먼트(대)게임(중)"/>
    <s v="m.app"/>
    <s v="애드몹"/>
    <x v="0"/>
    <x v="0"/>
    <s v="24.02.23"/>
    <s v="24.02.23"/>
    <n v="91"/>
  </r>
  <r>
    <x v="0"/>
    <x v="12"/>
    <s v="리서치애드"/>
    <x v="1"/>
    <s v="코렐"/>
    <s v="가정용품"/>
    <s v="주방용품"/>
    <s v="유리 및 자기그릇"/>
    <s v="포켓빵을 숨겼다"/>
    <s v="엔터테인먼트(대)게임(중)"/>
    <s v="m.app"/>
    <s v="애드몹"/>
    <x v="0"/>
    <x v="1"/>
    <s v="24.03.15"/>
    <s v="24.03.15"/>
    <n v="91"/>
  </r>
  <r>
    <x v="0"/>
    <x v="12"/>
    <s v="리서치애드"/>
    <x v="1"/>
    <s v="코렐"/>
    <s v="가정용품"/>
    <s v="주방용품"/>
    <s v="유리 및 자기그릇"/>
    <s v="Archery Club"/>
    <s v="엔터테인먼트(대)게임(중)"/>
    <s v="m.app"/>
    <s v="애드몹"/>
    <x v="0"/>
    <x v="0"/>
    <s v="24.02.15"/>
    <s v="24.02.15"/>
    <n v="91"/>
  </r>
  <r>
    <x v="0"/>
    <x v="12"/>
    <s v="리서치애드"/>
    <x v="1"/>
    <s v="코렐"/>
    <s v="가정용품"/>
    <s v="주방용품"/>
    <s v="유리 및 자기그릇"/>
    <s v="부부의 장난 5"/>
    <s v="엔터테인먼트(대)게임(중)"/>
    <s v="m.app"/>
    <s v="애드몹"/>
    <x v="0"/>
    <x v="1"/>
    <s v="24.03.14"/>
    <s v="24.03.14"/>
    <n v="91"/>
  </r>
  <r>
    <x v="0"/>
    <x v="12"/>
    <s v="리서치애드"/>
    <x v="1"/>
    <s v="코렐"/>
    <s v="가정용품"/>
    <s v="주방용품"/>
    <s v="유리 및 자기그릇"/>
    <s v="부부의 장난 3"/>
    <s v="엔터테인먼트(대)게임(중)"/>
    <s v="m.app"/>
    <s v="애드몹"/>
    <x v="0"/>
    <x v="1"/>
    <s v="24.03.10"/>
    <s v="24.03.10"/>
    <n v="91"/>
  </r>
  <r>
    <x v="0"/>
    <x v="8"/>
    <s v="리서치애드"/>
    <x v="2"/>
    <s v="글라스락"/>
    <s v="가정용품"/>
    <s v="주방용품"/>
    <s v="유리 및 자기그릇"/>
    <s v="daum.net"/>
    <s v="포털(대)포털(중)"/>
    <s v="m.web"/>
    <s v="카카오광고"/>
    <x v="0"/>
    <x v="1"/>
    <s v="24.03.14"/>
    <s v="24.03.17"/>
    <n v="2712"/>
  </r>
  <r>
    <x v="0"/>
    <x v="8"/>
    <s v="리서치애드"/>
    <x v="2"/>
    <s v="글라스락"/>
    <s v="가정용품"/>
    <s v="주방용품"/>
    <s v="유리 및 자기그릇"/>
    <s v="daum.net"/>
    <s v="포털(대)포털(중)"/>
    <s v="m.web"/>
    <s v="카카오광고"/>
    <x v="0"/>
    <x v="1"/>
    <s v="24.03.18"/>
    <s v="24.03.18"/>
    <n v="678"/>
  </r>
  <r>
    <x v="0"/>
    <x v="8"/>
    <s v="리서치애드"/>
    <x v="2"/>
    <s v="글라스락"/>
    <s v="가정용품"/>
    <s v="주방용품"/>
    <s v="유리 및 자기그릇"/>
    <s v="daum.net"/>
    <s v="포털(대)포털(중)"/>
    <s v="m.web"/>
    <s v="카카오광고"/>
    <x v="0"/>
    <x v="1"/>
    <s v="24.03.19"/>
    <s v="24.03.19"/>
    <n v="678"/>
  </r>
  <r>
    <x v="0"/>
    <x v="12"/>
    <s v="리서치애드"/>
    <x v="2"/>
    <s v="글라스락"/>
    <s v="가정용품"/>
    <s v="주방용품"/>
    <s v="유리 및 자기그릇"/>
    <s v="donga.com"/>
    <s v="신문/잡지(대)종합일간지(중)"/>
    <s v="m.web"/>
    <s v="애드몹"/>
    <x v="0"/>
    <x v="10"/>
    <s v="24.06.27"/>
    <s v="24.06.27"/>
    <n v="133"/>
  </r>
  <r>
    <x v="0"/>
    <x v="12"/>
    <s v="리서치애드"/>
    <x v="2"/>
    <s v="글라스락"/>
    <s v="가정용품"/>
    <s v="주방용품"/>
    <s v="유리 및 자기그릇"/>
    <s v="ohmynews.com"/>
    <s v="신문/잡지(대)온라인뉴스(중)"/>
    <s v="m.web"/>
    <s v="애드몹"/>
    <x v="0"/>
    <x v="10"/>
    <s v="24.06.25"/>
    <s v="24.06.25"/>
    <n v="133"/>
  </r>
  <r>
    <x v="0"/>
    <x v="12"/>
    <s v="리서치애드"/>
    <x v="2"/>
    <s v="글라스락"/>
    <s v="가정용품"/>
    <s v="주방용품"/>
    <s v="유리 및 자기그릇"/>
    <s v="pressian.com"/>
    <s v="신문/잡지(대)온라인뉴스(중)"/>
    <s v="m.web"/>
    <s v="애드몹"/>
    <x v="0"/>
    <x v="10"/>
    <s v="24.06.25"/>
    <s v="24.06.25"/>
    <n v="133"/>
  </r>
  <r>
    <x v="0"/>
    <x v="12"/>
    <s v="리서치애드"/>
    <x v="2"/>
    <s v="글라스락"/>
    <s v="가정용품"/>
    <s v="주방용품"/>
    <s v="유리 및 자기그릇"/>
    <s v="kmib.co.kr"/>
    <s v="신문/잡지(대)종합일간지(중)"/>
    <s v="m.web"/>
    <s v="애드몹"/>
    <x v="0"/>
    <x v="10"/>
    <s v="24.06.28"/>
    <s v="24.06.28"/>
    <n v="127"/>
  </r>
  <r>
    <x v="0"/>
    <x v="12"/>
    <s v="리서치애드"/>
    <x v="2"/>
    <s v="글라스락"/>
    <s v="가정용품"/>
    <s v="주방용품"/>
    <s v="유리 및 자기그릇"/>
    <s v="ytn.co.kr"/>
    <s v="방송(대)케이블/위성방송(중)"/>
    <s v="m.web"/>
    <s v="애드몹"/>
    <x v="0"/>
    <x v="10"/>
    <s v="24.06.27"/>
    <s v="24.06.27"/>
    <n v="133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0"/>
    <x v="1"/>
    <s v="24.03.14"/>
    <s v="24.03.15"/>
    <n v="399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0"/>
    <x v="1"/>
    <s v="24.03.24"/>
    <s v="24.03.24"/>
    <n v="200"/>
  </r>
  <r>
    <x v="1"/>
    <x v="1"/>
    <s v="리서치애드"/>
    <x v="2"/>
    <s v="글라스락"/>
    <s v="가정용품"/>
    <s v="주방용품"/>
    <s v="유리 및 자기그릇"/>
    <s v="Instagram"/>
    <s v="커뮤니티(대)홈페이지(중)"/>
    <s v="m.app"/>
    <s v="-"/>
    <x v="0"/>
    <x v="1"/>
    <s v="24.03.25"/>
    <s v="24.03.27"/>
    <n v="59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1"/>
    <s v="24.03.30"/>
    <s v="24.03.30"/>
    <n v="219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3"/>
    <s v="24.04.09"/>
    <s v="24.04.09"/>
    <n v="219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01"/>
    <s v="24.05.05"/>
    <n v="9904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06"/>
    <s v="24.05.11"/>
    <n v="11885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13"/>
    <s v="24.05.19"/>
    <n v="13866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15"/>
    <s v="24.05.19"/>
    <n v="9904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20"/>
    <s v="24.05.22"/>
    <n v="5943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21"/>
    <s v="24.05.22"/>
    <n v="3962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2"/>
    <s v="24.05.23"/>
    <s v="24.05.23"/>
    <n v="1981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4"/>
    <s v="24.01.09"/>
    <s v="24.01.09"/>
    <n v="5843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0"/>
    <s v="24.02.12"/>
    <s v="24.02.12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06"/>
    <s v="24.05.11"/>
    <n v="3909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10"/>
    <s v="24.05.10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12"/>
    <s v="24.05.12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17"/>
    <s v="24.05.17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18"/>
    <s v="24.05.19"/>
    <n v="13032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20"/>
    <s v="24.05.25"/>
    <n v="3909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21"/>
    <s v="24.05.26"/>
    <n v="3909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27"/>
    <s v="24.05.27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29"/>
    <s v="24.05.29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30"/>
    <s v="24.05.30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2"/>
    <s v="24.05.31"/>
    <s v="24.05.31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10"/>
    <s v="24.06.04"/>
    <s v="24.06.04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10"/>
    <s v="24.06.16"/>
    <s v="24.06.16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10"/>
    <s v="24.06.28"/>
    <s v="24.06.28"/>
    <n v="6516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10"/>
    <s v="24.06.29"/>
    <s v="24.06.30"/>
    <n v="13032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4"/>
    <s v="24.01.01"/>
    <s v="24.01.07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4"/>
    <s v="24.01.08"/>
    <s v="24.01.10"/>
    <n v="2039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4"/>
    <s v="24.01.11"/>
    <s v="24.01.14"/>
    <n v="2718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4"/>
    <s v="24.01.15"/>
    <s v="24.01.21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4"/>
    <s v="24.01.22"/>
    <s v="24.01.28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4"/>
    <s v="24.01.29"/>
    <s v="24.01.31"/>
    <n v="2039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0"/>
    <s v="24.02.01"/>
    <s v="24.02.04"/>
    <n v="2718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0"/>
    <s v="24.02.05"/>
    <s v="24.02.11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0"/>
    <s v="24.02.12"/>
    <s v="24.02.18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0"/>
    <s v="24.02.19"/>
    <s v="24.02.25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0"/>
    <s v="24.02.26"/>
    <s v="24.02.29"/>
    <n v="2718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1"/>
    <s v="24.03.01"/>
    <s v="24.03.03"/>
    <n v="2039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1"/>
    <s v="24.03.04"/>
    <s v="24.03.10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1"/>
    <s v="24.03.11"/>
    <s v="24.03.17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1"/>
    <s v="24.03.18"/>
    <s v="24.03.24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1"/>
    <s v="24.03.25"/>
    <s v="24.03.31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3"/>
    <s v="24.04.01"/>
    <s v="24.04.03"/>
    <n v="2039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3"/>
    <s v="24.04.04"/>
    <s v="24.04.07"/>
    <n v="2718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3"/>
    <s v="24.04.08"/>
    <s v="24.04.14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3"/>
    <s v="24.04.15"/>
    <s v="24.04.21"/>
    <n v="475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3"/>
    <s v="24.04.22"/>
    <s v="24.04.27"/>
    <n v="4077"/>
  </r>
  <r>
    <x v="0"/>
    <x v="9"/>
    <s v="리서치애드"/>
    <x v="3"/>
    <s v="이케아"/>
    <s v="가정용품"/>
    <s v="가구류"/>
    <s v="가구류 제품종합"/>
    <s v="버즈빌"/>
    <s v="모바일(대)모바일기타(중)"/>
    <s v="m.app"/>
    <s v="버즈빌"/>
    <x v="0"/>
    <x v="3"/>
    <s v="24.04.29"/>
    <s v="24.04.30"/>
    <n v="1359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4"/>
    <s v="24.01.01"/>
    <s v="24.01.02"/>
    <n v="302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4"/>
    <s v="24.01.11"/>
    <s v="24.01.14"/>
    <n v="603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4"/>
    <s v="24.01.15"/>
    <s v="24.01.19"/>
    <n v="754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0"/>
    <s v="24.02.05"/>
    <s v="24.02.07"/>
    <n v="452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0"/>
    <s v="24.02.09"/>
    <s v="24.02.11"/>
    <n v="452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0"/>
    <s v="24.02.12"/>
    <s v="24.02.13"/>
    <n v="302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0"/>
    <s v="24.02.14"/>
    <s v="24.02.16"/>
    <n v="452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1"/>
    <s v="24.03.20"/>
    <s v="24.03.21"/>
    <n v="399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1"/>
    <s v="24.03.27"/>
    <s v="24.03.29"/>
    <n v="599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3"/>
    <s v="24.04.18"/>
    <s v="24.04.19"/>
    <n v="399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2"/>
    <s v="24.05.01"/>
    <s v="24.05.02"/>
    <n v="695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2"/>
    <s v="24.05.02"/>
    <s v="24.05.05"/>
    <n v="1389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2"/>
    <s v="24.05.06"/>
    <s v="24.05.10"/>
    <n v="1736"/>
  </r>
  <r>
    <x v="1"/>
    <x v="1"/>
    <s v="리서치애드"/>
    <x v="3"/>
    <s v="이케아"/>
    <s v="가정용품"/>
    <s v="가구류"/>
    <s v="가구류 제품종합"/>
    <s v="Instagram"/>
    <s v="커뮤니티(대)홈페이지(중)"/>
    <s v="m.app"/>
    <s v="-"/>
    <x v="0"/>
    <x v="2"/>
    <s v="24.05.08"/>
    <s v="24.05.09"/>
    <n v="695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0"/>
    <x v="7"/>
    <s v="24.08.19"/>
    <s v="24.08.23"/>
    <n v="10846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0"/>
    <x v="9"/>
    <s v="24.10.15"/>
    <s v="24.10.20"/>
    <n v="15422"/>
  </r>
  <r>
    <x v="2"/>
    <x v="3"/>
    <s v="리서치애드"/>
    <x v="0"/>
    <s v="락앤락"/>
    <s v="가정용품"/>
    <s v="주방용품"/>
    <s v="바이오 용기"/>
    <s v="naver.com"/>
    <s v="포털(대)포털(중)"/>
    <s v="m.web"/>
    <s v="-"/>
    <x v="0"/>
    <x v="9"/>
    <s v="24.10.21"/>
    <s v="24.10.23"/>
    <n v="7711"/>
  </r>
  <r>
    <x v="0"/>
    <x v="6"/>
    <s v="리서치애드"/>
    <x v="0"/>
    <s v="락앤락"/>
    <s v="가정용품"/>
    <s v="주방용품"/>
    <s v="바이오 용기"/>
    <s v="11st.co.kr"/>
    <s v="생활정보(대)쇼핑/가격정보(중)"/>
    <s v="m.web"/>
    <s v="-"/>
    <x v="0"/>
    <x v="11"/>
    <s v="24.11.08"/>
    <s v="24.11.08"/>
    <n v="66"/>
  </r>
  <r>
    <x v="0"/>
    <x v="12"/>
    <s v="리서치애드"/>
    <x v="1"/>
    <s v="코렐"/>
    <s v="가정용품"/>
    <s v="주방용품"/>
    <s v="유리 및 자기그릇"/>
    <s v="nate.com"/>
    <s v="포털(대)포털(중)"/>
    <s v="m.web"/>
    <s v="애드몹"/>
    <x v="0"/>
    <x v="6"/>
    <s v="24.07.21"/>
    <s v="24.07.21"/>
    <n v="631"/>
  </r>
  <r>
    <x v="0"/>
    <x v="12"/>
    <s v="리서치애드"/>
    <x v="1"/>
    <s v="코렐"/>
    <s v="가정용품"/>
    <s v="주방용품"/>
    <s v="유리 및 자기그릇"/>
    <s v="munhwa.com"/>
    <s v="신문/잡지(대)종합일간지(중)"/>
    <s v="m.web"/>
    <s v="애드몹"/>
    <x v="0"/>
    <x v="6"/>
    <s v="24.07.01"/>
    <s v="24.07.01"/>
    <n v="133"/>
  </r>
  <r>
    <x v="0"/>
    <x v="12"/>
    <s v="리서치애드"/>
    <x v="1"/>
    <s v="코렐"/>
    <s v="가정용품"/>
    <s v="주방용품"/>
    <s v="유리 및 자기그릇"/>
    <s v="munhwa.com"/>
    <s v="신문/잡지(대)종합일간지(중)"/>
    <s v="m.web"/>
    <s v="애드몹"/>
    <x v="0"/>
    <x v="7"/>
    <s v="24.08.12"/>
    <s v="24.08.12"/>
    <n v="133"/>
  </r>
  <r>
    <x v="0"/>
    <x v="12"/>
    <s v="리서치애드"/>
    <x v="1"/>
    <s v="코렐"/>
    <s v="가정용품"/>
    <s v="주방용품"/>
    <s v="유리 및 자기그릇"/>
    <s v="kmib.co.kr"/>
    <s v="신문/잡지(대)종합일간지(중)"/>
    <s v="m.web"/>
    <s v="애드몹"/>
    <x v="0"/>
    <x v="6"/>
    <s v="24.07.16"/>
    <s v="24.07.16"/>
    <n v="127"/>
  </r>
  <r>
    <x v="0"/>
    <x v="12"/>
    <s v="리서치애드"/>
    <x v="1"/>
    <s v="코렐"/>
    <s v="가정용품"/>
    <s v="주방용품"/>
    <s v="유리 및 자기그릇"/>
    <s v="kmib.co.kr"/>
    <s v="신문/잡지(대)종합일간지(중)"/>
    <s v="m.web"/>
    <s v="애드몹"/>
    <x v="0"/>
    <x v="7"/>
    <s v="24.08.01"/>
    <s v="24.08.01"/>
    <n v="127"/>
  </r>
  <r>
    <x v="0"/>
    <x v="12"/>
    <s v="리서치애드"/>
    <x v="1"/>
    <s v="코렐"/>
    <s v="가정용품"/>
    <s v="주방용품"/>
    <s v="유리 및 자기그릇"/>
    <s v="metroseoul.co.kr"/>
    <s v="신문/잡지(대)지역신문(중)"/>
    <s v="m.web"/>
    <s v="애드몹"/>
    <x v="0"/>
    <x v="5"/>
    <s v="24.09.08"/>
    <s v="24.09.08"/>
    <n v="279"/>
  </r>
  <r>
    <x v="0"/>
    <x v="12"/>
    <s v="리서치애드"/>
    <x v="1"/>
    <s v="코렐"/>
    <s v="가정용품"/>
    <s v="주방용품"/>
    <s v="유리 및 자기그릇"/>
    <s v="ddaily.co.kr"/>
    <s v="신문/잡지(대)IT관련 뉴스(중)"/>
    <s v="m.web"/>
    <s v="애드몹"/>
    <x v="0"/>
    <x v="7"/>
    <s v="24.08.22"/>
    <s v="24.08.22"/>
    <n v="265"/>
  </r>
  <r>
    <x v="0"/>
    <x v="6"/>
    <s v="리서치애드"/>
    <x v="1"/>
    <s v="코렐"/>
    <s v="가정용품"/>
    <s v="주방용품"/>
    <s v="유리 및 자기그릇"/>
    <s v="gmarket.co.kr"/>
    <s v="생활정보(대)쇼핑/가격정보(중)"/>
    <s v="m.web"/>
    <s v="-"/>
    <x v="0"/>
    <x v="9"/>
    <s v="24.10.28"/>
    <s v="24.10.28"/>
    <n v="165"/>
  </r>
  <r>
    <x v="0"/>
    <x v="6"/>
    <s v="리서치애드"/>
    <x v="1"/>
    <s v="코렐"/>
    <s v="가정용품"/>
    <s v="주방용품"/>
    <s v="유리 및 자기그릇"/>
    <s v="gmarket.co.kr"/>
    <s v="생활정보(대)쇼핑/가격정보(중)"/>
    <s v="m.web"/>
    <s v="-"/>
    <x v="0"/>
    <x v="9"/>
    <s v="24.10.29"/>
    <s v="24.10.29"/>
    <n v="165"/>
  </r>
  <r>
    <x v="0"/>
    <x v="6"/>
    <s v="리서치애드"/>
    <x v="1"/>
    <s v="코렐"/>
    <s v="가정용품"/>
    <s v="주방용품"/>
    <s v="유리 및 자기그릇"/>
    <s v="gmarket.co.kr"/>
    <s v="생활정보(대)쇼핑/가격정보(중)"/>
    <s v="m.web"/>
    <s v="-"/>
    <x v="0"/>
    <x v="9"/>
    <s v="24.10.31"/>
    <s v="24.10.31"/>
    <n v="165"/>
  </r>
  <r>
    <x v="0"/>
    <x v="12"/>
    <s v="리서치애드"/>
    <x v="1"/>
    <s v="코렐"/>
    <s v="가정용품"/>
    <s v="주방용품"/>
    <s v="유리 및 자기그릇"/>
    <s v="감옥탈출2"/>
    <s v="엔터테인먼트(대)게임(중)"/>
    <s v="m.app"/>
    <s v="애드몹"/>
    <x v="0"/>
    <x v="6"/>
    <s v="24.07.26"/>
    <s v="24.07.26"/>
    <n v="78"/>
  </r>
  <r>
    <x v="0"/>
    <x v="12"/>
    <s v="리서치애드"/>
    <x v="1"/>
    <s v="코렐"/>
    <s v="가정용품"/>
    <s v="주방용품"/>
    <s v="유리 및 자기그릇"/>
    <s v="은별바둑"/>
    <s v="엔터테인먼트(대)게임(중)"/>
    <s v="m.app"/>
    <s v="애드몹"/>
    <x v="0"/>
    <x v="6"/>
    <s v="24.07.11"/>
    <s v="24.07.14"/>
    <n v="311"/>
  </r>
  <r>
    <x v="0"/>
    <x v="12"/>
    <s v="리서치애드"/>
    <x v="1"/>
    <s v="코렐"/>
    <s v="가정용품"/>
    <s v="주방용품"/>
    <s v="유리 및 자기그릇"/>
    <s v="오즈의타로"/>
    <s v="엔터테인먼트(대)엔터테인먼트 기타(중)"/>
    <s v="m.app"/>
    <s v="애드몹"/>
    <x v="0"/>
    <x v="7"/>
    <s v="24.08.13"/>
    <s v="24.08.13"/>
    <n v="78"/>
  </r>
  <r>
    <x v="0"/>
    <x v="12"/>
    <s v="리서치애드"/>
    <x v="1"/>
    <s v="코렐"/>
    <s v="가정용품"/>
    <s v="주방용품"/>
    <s v="유리 및 자기그릇"/>
    <s v="짱웃긴만화24"/>
    <s v="엔터테인먼트(대)만화(중)"/>
    <s v="m.app"/>
    <s v="애드몹"/>
    <x v="0"/>
    <x v="6"/>
    <s v="24.07.28"/>
    <s v="24.07.28"/>
    <n v="78"/>
  </r>
  <r>
    <x v="0"/>
    <x v="12"/>
    <s v="리서치애드"/>
    <x v="1"/>
    <s v="코렐"/>
    <s v="가정용품"/>
    <s v="주방용품"/>
    <s v="유리 및 자기그릇"/>
    <s v="짱웃긴만화24"/>
    <s v="엔터테인먼트(대)만화(중)"/>
    <s v="m.app"/>
    <s v="애드몹"/>
    <x v="0"/>
    <x v="7"/>
    <s v="24.08.16"/>
    <s v="24.08.16"/>
    <n v="78"/>
  </r>
  <r>
    <x v="0"/>
    <x v="12"/>
    <s v="리서치애드"/>
    <x v="1"/>
    <s v="코렐"/>
    <s v="가정용품"/>
    <s v="주방용품"/>
    <s v="유리 및 자기그릇"/>
    <s v="밥대생"/>
    <s v="생활정보(대)생활정보 기타(중)"/>
    <s v="m.app"/>
    <s v="애드몹"/>
    <x v="0"/>
    <x v="7"/>
    <s v="24.08.14"/>
    <s v="24.08.14"/>
    <n v="78"/>
  </r>
  <r>
    <x v="0"/>
    <x v="12"/>
    <s v="리서치애드"/>
    <x v="1"/>
    <s v="코렐"/>
    <s v="가정용품"/>
    <s v="주방용품"/>
    <s v="유리 및 자기그릇"/>
    <s v="Pittanko"/>
    <s v="엔터테인먼트(대)게임(중)"/>
    <s v="m.app"/>
    <s v="애드몹"/>
    <x v="0"/>
    <x v="6"/>
    <s v="24.07.04"/>
    <s v="24.07.04"/>
    <n v="78"/>
  </r>
  <r>
    <x v="0"/>
    <x v="12"/>
    <s v="리서치애드"/>
    <x v="1"/>
    <s v="코렐"/>
    <s v="가정용품"/>
    <s v="주방용품"/>
    <s v="유리 및 자기그릇"/>
    <s v="Pittanko"/>
    <s v="엔터테인먼트(대)게임(중)"/>
    <s v="m.app"/>
    <s v="애드몹"/>
    <x v="0"/>
    <x v="7"/>
    <s v="24.08.19"/>
    <s v="24.08.19"/>
    <n v="78"/>
  </r>
  <r>
    <x v="0"/>
    <x v="12"/>
    <s v="리서치애드"/>
    <x v="1"/>
    <s v="코렐"/>
    <s v="가정용품"/>
    <s v="주방용품"/>
    <s v="유리 및 자기그릇"/>
    <s v="Star Walk 2"/>
    <s v="엔터테인먼트(대)엔터테인먼트 기타(중)"/>
    <s v="m.app"/>
    <s v="애드몹"/>
    <x v="0"/>
    <x v="7"/>
    <s v="24.08.01"/>
    <s v="24.08.01"/>
    <n v="78"/>
  </r>
  <r>
    <x v="0"/>
    <x v="12"/>
    <s v="리서치애드"/>
    <x v="1"/>
    <s v="코렐"/>
    <s v="가정용품"/>
    <s v="주방용품"/>
    <s v="유리 및 자기그릇"/>
    <s v="Star Walk 2"/>
    <s v="엔터테인먼트(대)엔터테인먼트 기타(중)"/>
    <s v="m.app"/>
    <s v="애드몹"/>
    <x v="0"/>
    <x v="7"/>
    <s v="24.08.07"/>
    <s v="24.08.07"/>
    <n v="78"/>
  </r>
  <r>
    <x v="0"/>
    <x v="12"/>
    <s v="리서치애드"/>
    <x v="1"/>
    <s v="코렐"/>
    <s v="가정용품"/>
    <s v="주방용품"/>
    <s v="유리 및 자기그릇"/>
    <s v="한자 필기인식 사전"/>
    <s v="모바일(대)모바일기타(중)"/>
    <s v="m.app"/>
    <s v="애드몹"/>
    <x v="0"/>
    <x v="7"/>
    <s v="24.08.01"/>
    <s v="24.08.01"/>
    <n v="78"/>
  </r>
  <r>
    <x v="0"/>
    <x v="12"/>
    <s v="리서치애드"/>
    <x v="1"/>
    <s v="코렐"/>
    <s v="가정용품"/>
    <s v="주방용품"/>
    <s v="유리 및 자기그릇"/>
    <s v="짱웃긴만화25"/>
    <s v="엔터테인먼트(대)만화(중)"/>
    <s v="m.app"/>
    <s v="애드몹"/>
    <x v="0"/>
    <x v="7"/>
    <s v="24.08.06"/>
    <s v="24.08.06"/>
    <n v="78"/>
  </r>
  <r>
    <x v="0"/>
    <x v="12"/>
    <s v="리서치애드"/>
    <x v="1"/>
    <s v="코렐"/>
    <s v="가정용품"/>
    <s v="주방용품"/>
    <s v="유리 및 자기그릇"/>
    <s v="Hidden my snacks by mom"/>
    <s v="엔터테인먼트(대)게임(중)"/>
    <s v="m.app"/>
    <s v="애드몹"/>
    <x v="0"/>
    <x v="7"/>
    <s v="24.08.09"/>
    <s v="24.08.09"/>
    <n v="78"/>
  </r>
  <r>
    <x v="0"/>
    <x v="12"/>
    <s v="리서치애드"/>
    <x v="1"/>
    <s v="코렐"/>
    <s v="가정용품"/>
    <s v="주방용품"/>
    <s v="유리 및 자기그릇"/>
    <s v="FlipTheGun"/>
    <s v="엔터테인먼트(대)게임(중)"/>
    <s v="m.app"/>
    <s v="애드몹"/>
    <x v="0"/>
    <x v="7"/>
    <s v="24.08.07"/>
    <s v="24.08.07"/>
    <n v="78"/>
  </r>
  <r>
    <x v="0"/>
    <x v="12"/>
    <s v="리서치애드"/>
    <x v="1"/>
    <s v="코렐"/>
    <s v="가정용품"/>
    <s v="주방용품"/>
    <s v="유리 및 자기그릇"/>
    <s v="Piano Kids - Music Songs"/>
    <s v="엔터테인먼트(대)게임(중)"/>
    <s v="m.app"/>
    <s v="애드몹"/>
    <x v="0"/>
    <x v="5"/>
    <s v="24.09.10"/>
    <s v="24.09.10"/>
    <n v="82"/>
  </r>
  <r>
    <x v="1"/>
    <x v="1"/>
    <s v="리서치애드"/>
    <x v="1"/>
    <s v="코렐"/>
    <s v="가정용품"/>
    <s v="주방용품"/>
    <s v="유리 및 자기그릇"/>
    <s v="Instagram"/>
    <s v="커뮤니티(대)홈페이지(중)"/>
    <s v="m.app"/>
    <s v="-"/>
    <x v="0"/>
    <x v="11"/>
    <s v="24.11.30"/>
    <s v="24.11.30"/>
    <n v="734"/>
  </r>
  <r>
    <x v="1"/>
    <x v="1"/>
    <s v="리서치애드"/>
    <x v="1"/>
    <s v="코렐"/>
    <s v="가정용품"/>
    <s v="주방용품"/>
    <s v="유리 및 자기그릇"/>
    <s v="Instagram"/>
    <s v="커뮤니티(대)홈페이지(중)"/>
    <s v="m.app"/>
    <s v="-"/>
    <x v="0"/>
    <x v="8"/>
    <s v="24.12.01"/>
    <s v="24.12.01"/>
    <n v="542"/>
  </r>
  <r>
    <x v="1"/>
    <x v="1"/>
    <s v="리서치애드"/>
    <x v="1"/>
    <s v="코렐"/>
    <s v="가정용품"/>
    <s v="주방용품"/>
    <s v="유리 및 자기그릇"/>
    <s v="Instagram"/>
    <s v="커뮤니티(대)홈페이지(중)"/>
    <s v="m.app"/>
    <s v="-"/>
    <x v="0"/>
    <x v="8"/>
    <s v="24.12.02"/>
    <s v="24.12.06"/>
    <n v="2708"/>
  </r>
  <r>
    <x v="0"/>
    <x v="12"/>
    <s v="리서치애드"/>
    <x v="1"/>
    <s v="코렐"/>
    <s v="가정용품"/>
    <s v="주방용품"/>
    <s v="유리 및 자기그릇"/>
    <s v="Wood Block - Music Box"/>
    <s v="엔터테인먼트(대)게임(중)"/>
    <s v="m.app"/>
    <s v="애드몹"/>
    <x v="0"/>
    <x v="6"/>
    <s v="24.07.31"/>
    <s v="24.07.31"/>
    <n v="78"/>
  </r>
  <r>
    <x v="0"/>
    <x v="12"/>
    <s v="리서치애드"/>
    <x v="1"/>
    <s v="코렐"/>
    <s v="가정용품"/>
    <s v="주방용품"/>
    <s v="유리 및 자기그릇"/>
    <s v="Smash DIY SLIME - Fidget Slimy"/>
    <s v="엔터테인먼트(대)게임(중)"/>
    <s v="m.app"/>
    <s v="애드몹"/>
    <x v="0"/>
    <x v="6"/>
    <s v="24.07.25"/>
    <s v="24.07.25"/>
    <n v="78"/>
  </r>
  <r>
    <x v="0"/>
    <x v="12"/>
    <s v="리서치애드"/>
    <x v="1"/>
    <s v="코렐"/>
    <s v="가정용품"/>
    <s v="주방용품"/>
    <s v="유리 및 자기그릇"/>
    <s v="Smash DIY SLIME - Fidget Slimy"/>
    <s v="엔터테인먼트(대)게임(중)"/>
    <s v="m.app"/>
    <s v="애드몹"/>
    <x v="0"/>
    <x v="7"/>
    <s v="24.08.12"/>
    <s v="24.08.12"/>
    <n v="78"/>
  </r>
  <r>
    <x v="0"/>
    <x v="12"/>
    <s v="리서치애드"/>
    <x v="1"/>
    <s v="코렐"/>
    <s v="가정용품"/>
    <s v="주방용품"/>
    <s v="유리 및 자기그릇"/>
    <s v="rescue cut!"/>
    <s v="엔터테인먼트(대)게임(중)"/>
    <s v="m.app"/>
    <s v="애드몹"/>
    <x v="0"/>
    <x v="6"/>
    <s v="24.07.19"/>
    <s v="24.07.19"/>
    <n v="78"/>
  </r>
  <r>
    <x v="0"/>
    <x v="12"/>
    <s v="리서치애드"/>
    <x v="1"/>
    <s v="코렐"/>
    <s v="가정용품"/>
    <s v="주방용품"/>
    <s v="유리 및 자기그릇"/>
    <s v="Cut It"/>
    <s v="엔터테인먼트(대)게임(중)"/>
    <s v="m.app"/>
    <s v="애드몹"/>
    <x v="0"/>
    <x v="6"/>
    <s v="24.07.05"/>
    <s v="24.07.05"/>
    <n v="78"/>
  </r>
  <r>
    <x v="0"/>
    <x v="12"/>
    <s v="리서치애드"/>
    <x v="1"/>
    <s v="코렐"/>
    <s v="가정용품"/>
    <s v="주방용품"/>
    <s v="유리 및 자기그릇"/>
    <s v="한국 정치 결투"/>
    <s v="엔터테인먼트(대)게임(중)"/>
    <s v="m.app"/>
    <s v="애드몹"/>
    <x v="0"/>
    <x v="5"/>
    <s v="24.09.01"/>
    <s v="24.09.01"/>
    <n v="82"/>
  </r>
  <r>
    <x v="0"/>
    <x v="12"/>
    <s v="리서치애드"/>
    <x v="1"/>
    <s v="코렐"/>
    <s v="가정용품"/>
    <s v="주방용품"/>
    <s v="유리 및 자기그릇"/>
    <s v="필리핀 여행지도"/>
    <s v="생활정보(대)생활정보 기타(중)"/>
    <s v="m.app"/>
    <s v="애드몹"/>
    <x v="0"/>
    <x v="6"/>
    <s v="24.07.05"/>
    <s v="24.07.05"/>
    <n v="78"/>
  </r>
  <r>
    <x v="0"/>
    <x v="12"/>
    <s v="리서치애드"/>
    <x v="1"/>
    <s v="코렐"/>
    <s v="가정용품"/>
    <s v="주방용품"/>
    <s v="유리 및 자기그릇"/>
    <s v="부부의 장난 4"/>
    <s v="엔터테인먼트(대)게임(중)"/>
    <s v="m.app"/>
    <s v="애드몹"/>
    <x v="0"/>
    <x v="6"/>
    <s v="24.07.16"/>
    <s v="24.07.16"/>
    <n v="78"/>
  </r>
  <r>
    <x v="0"/>
    <x v="12"/>
    <s v="리서치애드"/>
    <x v="1"/>
    <s v="코렐"/>
    <s v="가정용품"/>
    <s v="주방용품"/>
    <s v="유리 및 자기그릇"/>
    <s v="Assistive Touch"/>
    <s v="모바일(대)도구/유틸리티(중)"/>
    <s v="m.app"/>
    <s v="애드몹"/>
    <x v="0"/>
    <x v="5"/>
    <s v="24.09.03"/>
    <s v="24.09.03"/>
    <n v="82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0"/>
    <x v="7"/>
    <s v="24.08.01"/>
    <s v="24.08.03"/>
    <n v="1676"/>
  </r>
  <r>
    <x v="1"/>
    <x v="1"/>
    <s v="리서치애드"/>
    <x v="1"/>
    <s v="코렐듀라나노"/>
    <s v="가정용품"/>
    <s v="주방용품"/>
    <s v="조리용구"/>
    <s v="Instagram"/>
    <s v="커뮤니티(대)홈페이지(중)"/>
    <s v="m.app"/>
    <s v="-"/>
    <x v="0"/>
    <x v="7"/>
    <s v="24.08.05"/>
    <s v="24.08.05"/>
    <n v="55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6"/>
    <s v="24.07.30"/>
    <s v="24.07.30"/>
    <n v="216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6"/>
    <s v="24.07.31"/>
    <s v="24.07.31"/>
    <n v="216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01"/>
    <s v="24.08.02"/>
    <n v="4338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05"/>
    <s v="24.08.08"/>
    <n v="8677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06"/>
    <s v="24.08.10"/>
    <n v="10846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07"/>
    <s v="24.08.07"/>
    <n v="216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11"/>
    <s v="24.08.11"/>
    <n v="216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12"/>
    <s v="24.08.18"/>
    <n v="15184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13"/>
    <s v="24.08.17"/>
    <n v="10846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15"/>
    <s v="24.08.15"/>
    <n v="2169"/>
  </r>
  <r>
    <x v="2"/>
    <x v="3"/>
    <s v="리서치애드"/>
    <x v="3"/>
    <s v="이케아"/>
    <s v="가정용품"/>
    <s v="가구류"/>
    <s v="가구류 제품종합"/>
    <s v="naver.com"/>
    <s v="포털(대)포털(중)"/>
    <s v="m.web"/>
    <s v="-"/>
    <x v="0"/>
    <x v="7"/>
    <s v="24.08.19"/>
    <s v="24.08.19"/>
    <n v="2169"/>
  </r>
  <r>
    <x v="0"/>
    <x v="4"/>
    <s v="리서치애드"/>
    <x v="3"/>
    <s v="이케아"/>
    <s v="가정용품"/>
    <s v="가구류"/>
    <s v="가구류 제품종합"/>
    <s v="jobkorea.co.kr"/>
    <s v="생활정보(대)구인/구직(중)"/>
    <s v="m.web"/>
    <s v="네트워크"/>
    <x v="0"/>
    <x v="9"/>
    <s v="24.10.15"/>
    <s v="24.10.20"/>
    <n v="1114"/>
  </r>
  <r>
    <x v="0"/>
    <x v="4"/>
    <s v="리서치애드"/>
    <x v="3"/>
    <s v="이케아"/>
    <s v="가정용품"/>
    <s v="가구류"/>
    <s v="가구류 제품종합"/>
    <s v="jobkorea.co.kr"/>
    <s v="생활정보(대)구인/구직(중)"/>
    <s v="m.web"/>
    <s v="네트워크"/>
    <x v="0"/>
    <x v="9"/>
    <s v="24.10.17"/>
    <s v="24.10.20"/>
    <n v="495"/>
  </r>
  <r>
    <x v="0"/>
    <x v="4"/>
    <s v="리서치애드"/>
    <x v="3"/>
    <s v="이케아"/>
    <s v="가정용품"/>
    <s v="가구류"/>
    <s v="가구류 제품종합"/>
    <s v="jobkorea.co.kr"/>
    <s v="생활정보(대)구인/구직(중)"/>
    <s v="m.web"/>
    <s v="네트워크"/>
    <x v="0"/>
    <x v="9"/>
    <s v="24.10.21"/>
    <s v="24.10.24"/>
    <n v="1238"/>
  </r>
  <r>
    <x v="0"/>
    <x v="8"/>
    <s v="리서치애드"/>
    <x v="3"/>
    <s v="이케아"/>
    <s v="가정용품"/>
    <s v="가구류"/>
    <s v="가구류 제품종합"/>
    <s v="카카오톡"/>
    <s v="커뮤니케이션(대)채팅/메신저(중)"/>
    <s v="m.app"/>
    <s v="카카오광고"/>
    <x v="0"/>
    <x v="6"/>
    <s v="24.07.01"/>
    <s v="24.07.04"/>
    <n v="26064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0"/>
    <x v="8"/>
    <s v="24.12"/>
    <s v="24.12"/>
    <n v="8765"/>
  </r>
  <r>
    <x v="3"/>
    <x v="16"/>
    <s v="ADEX"/>
    <x v="2"/>
    <s v="SGC솔루션글라스락햇밥용기"/>
    <s v="가정용품"/>
    <s v="주방용품"/>
    <s v="주방용기"/>
    <s v="디지털"/>
    <s v="디지털동영상"/>
    <s v="다음"/>
    <s v="다음"/>
    <x v="0"/>
    <x v="11"/>
    <s v="24.11"/>
    <s v="24.11"/>
    <n v="1884"/>
  </r>
  <r>
    <x v="3"/>
    <x v="17"/>
    <s v="ADEX"/>
    <x v="2"/>
    <s v="SGC솔루션글라스락햇밥용기"/>
    <s v="가정용품"/>
    <s v="주방용품"/>
    <s v="주방용기"/>
    <s v="디지털"/>
    <s v="디지털동영상"/>
    <s v="GOMTV"/>
    <s v="GOMTV"/>
    <x v="0"/>
    <x v="11"/>
    <s v="24.11"/>
    <s v="24.11"/>
    <n v="158"/>
  </r>
  <r>
    <x v="3"/>
    <x v="15"/>
    <s v="ADEX"/>
    <x v="2"/>
    <s v="SGC솔루션글라스락햇밥용기"/>
    <s v="가정용품"/>
    <s v="주방용품"/>
    <s v="주방용기"/>
    <s v="디지털"/>
    <s v="디지털동영상"/>
    <s v="YouTube"/>
    <s v="YouTube"/>
    <x v="0"/>
    <x v="11"/>
    <s v="24.11"/>
    <s v="24.11"/>
    <n v="47352"/>
  </r>
  <r>
    <x v="3"/>
    <x v="18"/>
    <s v="ADEX"/>
    <x v="2"/>
    <s v="SGC솔루션글라스락햇밥용기"/>
    <s v="가정용품"/>
    <s v="주방용품"/>
    <s v="주방용기"/>
    <s v="디지털"/>
    <s v="디지털동영상"/>
    <s v="Tving"/>
    <s v="Tving"/>
    <x v="0"/>
    <x v="11"/>
    <s v="24.11"/>
    <s v="24.11"/>
    <n v="1737"/>
  </r>
  <r>
    <x v="3"/>
    <x v="5"/>
    <s v="ADEX"/>
    <x v="2"/>
    <s v="SGC솔루션글라스락햇밥용기"/>
    <s v="가정용품"/>
    <s v="주방용품"/>
    <s v="주방용기"/>
    <s v="디지털"/>
    <s v="디지털동영상"/>
    <s v="네이버"/>
    <s v="네이버"/>
    <x v="0"/>
    <x v="11"/>
    <s v="24.11"/>
    <s v="24.11"/>
    <n v="979"/>
  </r>
  <r>
    <x v="3"/>
    <x v="15"/>
    <s v="ADEX"/>
    <x v="2"/>
    <s v="SGC솔루션글라스락햇밥용기"/>
    <s v="가정용품"/>
    <s v="주방용품"/>
    <s v="주방용기"/>
    <s v="디지털"/>
    <s v="디지털동영상"/>
    <s v="YouTube"/>
    <s v="YouTube"/>
    <x v="0"/>
    <x v="9"/>
    <s v="24.10"/>
    <s v="24.10"/>
    <n v="102913"/>
  </r>
  <r>
    <x v="3"/>
    <x v="18"/>
    <s v="ADEX"/>
    <x v="2"/>
    <s v="SGC솔루션글라스락햇밥용기"/>
    <s v="가정용품"/>
    <s v="주방용품"/>
    <s v="주방용기"/>
    <s v="디지털"/>
    <s v="디지털동영상"/>
    <s v="Tving"/>
    <s v="Tving"/>
    <x v="0"/>
    <x v="9"/>
    <s v="24.10"/>
    <s v="24.10"/>
    <n v="1535"/>
  </r>
  <r>
    <x v="3"/>
    <x v="5"/>
    <s v="ADEX"/>
    <x v="2"/>
    <s v="SGC솔루션글라스락햇밥용기"/>
    <s v="가정용품"/>
    <s v="주방용품"/>
    <s v="주방용기"/>
    <s v="디지털"/>
    <s v="디지털동영상"/>
    <s v="네이버"/>
    <s v="네이버"/>
    <x v="0"/>
    <x v="9"/>
    <s v="24.10"/>
    <s v="24.10"/>
    <n v="7"/>
  </r>
  <r>
    <x v="3"/>
    <x v="17"/>
    <s v="ADEX"/>
    <x v="2"/>
    <s v="SGC솔루션글라스락햇밥용기"/>
    <s v="가정용품"/>
    <s v="주방용품"/>
    <s v="주방용기"/>
    <s v="디지털"/>
    <s v="디지털동영상"/>
    <s v="GOMTV"/>
    <s v="GOMTV"/>
    <x v="0"/>
    <x v="9"/>
    <s v="24.10"/>
    <s v="24.10"/>
    <n v="820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0"/>
    <x v="9"/>
    <s v="24.10"/>
    <s v="24.10"/>
    <n v="2725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0"/>
    <x v="5"/>
    <s v="24.09"/>
    <s v="24.09"/>
    <n v="12018"/>
  </r>
  <r>
    <x v="3"/>
    <x v="5"/>
    <s v="ADEX"/>
    <x v="2"/>
    <s v="SGC솔루션글라스락햇밥용기"/>
    <s v="가정용품"/>
    <s v="주방용품"/>
    <s v="주방용기"/>
    <s v="디지털"/>
    <s v="디지털동영상"/>
    <s v="네이버"/>
    <s v="네이버"/>
    <x v="0"/>
    <x v="5"/>
    <s v="24.09"/>
    <s v="24.09"/>
    <n v="5180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0"/>
    <x v="5"/>
    <s v="24.09"/>
    <s v="24.09"/>
    <n v="17914"/>
  </r>
  <r>
    <x v="3"/>
    <x v="19"/>
    <s v="ADEX"/>
    <x v="2"/>
    <s v="SGC솔루션글라스락햇밥용기"/>
    <s v="가정용품"/>
    <s v="주방용품"/>
    <s v="주방용기"/>
    <s v="디지털"/>
    <s v="디지털동영상"/>
    <s v="Afreecatv"/>
    <s v="Afreecatv"/>
    <x v="0"/>
    <x v="5"/>
    <s v="24.09"/>
    <s v="24.09"/>
    <n v="61"/>
  </r>
  <r>
    <x v="3"/>
    <x v="17"/>
    <s v="ADEX"/>
    <x v="2"/>
    <s v="SGC솔루션글라스락햇밥용기"/>
    <s v="가정용품"/>
    <s v="주방용품"/>
    <s v="주방용기"/>
    <s v="디지털"/>
    <s v="디지털동영상"/>
    <s v="GOMTV"/>
    <s v="GOMTV"/>
    <x v="0"/>
    <x v="5"/>
    <s v="24.09"/>
    <s v="24.09"/>
    <n v="163"/>
  </r>
  <r>
    <x v="3"/>
    <x v="18"/>
    <s v="ADEX"/>
    <x v="2"/>
    <s v="SGC솔루션글라스락햇밥용기"/>
    <s v="가정용품"/>
    <s v="주방용품"/>
    <s v="주방용기"/>
    <s v="디지털"/>
    <s v="디지털동영상"/>
    <s v="Tving"/>
    <s v="Tving"/>
    <x v="0"/>
    <x v="5"/>
    <s v="24.09"/>
    <s v="24.09"/>
    <n v="3153"/>
  </r>
  <r>
    <x v="3"/>
    <x v="15"/>
    <s v="ADEX"/>
    <x v="2"/>
    <s v="SGC솔루션글라스락햇밥용기"/>
    <s v="가정용품"/>
    <s v="주방용품"/>
    <s v="주방용기"/>
    <s v="디지털"/>
    <s v="디지털동영상"/>
    <s v="YouTube"/>
    <s v="YouTube"/>
    <x v="0"/>
    <x v="5"/>
    <s v="24.09"/>
    <s v="24.09"/>
    <n v="100058"/>
  </r>
  <r>
    <x v="3"/>
    <x v="19"/>
    <s v="ADEX"/>
    <x v="3"/>
    <s v="이케아"/>
    <s v="가정용품"/>
    <s v="가구류"/>
    <s v="가정용가구"/>
    <s v="디지털"/>
    <s v="디지털동영상"/>
    <s v="Afreecatv"/>
    <s v="Afreecatv"/>
    <x v="0"/>
    <x v="7"/>
    <s v="24.08"/>
    <s v="24.08"/>
    <n v="343"/>
  </r>
  <r>
    <x v="3"/>
    <x v="15"/>
    <s v="ADEX"/>
    <x v="2"/>
    <s v="SGC솔루션글라스락햇밥용기"/>
    <s v="가정용품"/>
    <s v="주방용품"/>
    <s v="주방용기"/>
    <s v="디지털"/>
    <s v="디지털동영상"/>
    <s v="YouTube"/>
    <s v="YouTube"/>
    <x v="0"/>
    <x v="7"/>
    <s v="24.08"/>
    <s v="24.08"/>
    <n v="95034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0"/>
    <x v="7"/>
    <s v="24.08"/>
    <s v="24.08"/>
    <n v="722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0"/>
    <x v="7"/>
    <s v="24.08"/>
    <s v="24.08"/>
    <n v="505"/>
  </r>
  <r>
    <x v="3"/>
    <x v="5"/>
    <s v="ADEX"/>
    <x v="2"/>
    <s v="SGC솔루션글라스락햇밥용기"/>
    <s v="가정용품"/>
    <s v="주방용품"/>
    <s v="주방용기"/>
    <s v="디지털"/>
    <s v="디지털동영상"/>
    <s v="네이버"/>
    <s v="네이버"/>
    <x v="0"/>
    <x v="7"/>
    <s v="24.08"/>
    <s v="24.08"/>
    <n v="277"/>
  </r>
  <r>
    <x v="3"/>
    <x v="18"/>
    <s v="ADEX"/>
    <x v="2"/>
    <s v="SGC솔루션글라스락햇밥용기"/>
    <s v="가정용품"/>
    <s v="주방용품"/>
    <s v="주방용기"/>
    <s v="디지털"/>
    <s v="디지털동영상"/>
    <s v="Tving"/>
    <s v="Tving"/>
    <x v="0"/>
    <x v="7"/>
    <s v="24.08"/>
    <s v="24.08"/>
    <n v="2173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0"/>
    <x v="6"/>
    <s v="24.07"/>
    <s v="24.07"/>
    <n v="15416"/>
  </r>
  <r>
    <x v="3"/>
    <x v="18"/>
    <s v="ADEX"/>
    <x v="0"/>
    <s v="락앤락프리저핏"/>
    <s v="가정용품"/>
    <s v="주방용품"/>
    <s v="주방용기"/>
    <s v="디지털"/>
    <s v="디지털동영상"/>
    <s v="Tving"/>
    <s v="Tving"/>
    <x v="0"/>
    <x v="6"/>
    <s v="24.07"/>
    <s v="24.07"/>
    <n v="9"/>
  </r>
  <r>
    <x v="3"/>
    <x v="5"/>
    <s v="ADEX"/>
    <x v="2"/>
    <s v="SGC솔루션글라스락햇밥용기"/>
    <s v="가정용품"/>
    <s v="주방용품"/>
    <s v="주방용기"/>
    <s v="디지털"/>
    <s v="디지털동영상"/>
    <s v="네이버"/>
    <s v="네이버"/>
    <x v="0"/>
    <x v="6"/>
    <s v="24.07"/>
    <s v="24.07"/>
    <n v="2278"/>
  </r>
  <r>
    <x v="3"/>
    <x v="18"/>
    <s v="ADEX"/>
    <x v="2"/>
    <s v="SGC솔루션글라스락햇밥용기"/>
    <s v="가정용품"/>
    <s v="주방용품"/>
    <s v="주방용기"/>
    <s v="디지털"/>
    <s v="디지털동영상"/>
    <s v="Tving"/>
    <s v="Tving"/>
    <x v="0"/>
    <x v="6"/>
    <s v="24.07"/>
    <s v="24.07"/>
    <n v="2909"/>
  </r>
  <r>
    <x v="3"/>
    <x v="5"/>
    <s v="ADEX"/>
    <x v="0"/>
    <s v="락앤락프리저핏"/>
    <s v="가정용품"/>
    <s v="주방용품"/>
    <s v="주방용기"/>
    <s v="디지털"/>
    <s v="디지털동영상"/>
    <s v="네이버"/>
    <s v="네이버"/>
    <x v="0"/>
    <x v="6"/>
    <s v="24.07"/>
    <s v="24.07"/>
    <n v="420"/>
  </r>
  <r>
    <x v="3"/>
    <x v="15"/>
    <s v="ADEX"/>
    <x v="2"/>
    <s v="SGC솔루션글라스락햇밥용기"/>
    <s v="가정용품"/>
    <s v="주방용품"/>
    <s v="주방용기"/>
    <s v="디지털"/>
    <s v="디지털동영상"/>
    <s v="YouTube"/>
    <s v="YouTube"/>
    <x v="0"/>
    <x v="6"/>
    <s v="24.07"/>
    <s v="24.07"/>
    <n v="76405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0"/>
    <x v="6"/>
    <s v="24.07"/>
    <s v="24.07"/>
    <n v="21010"/>
  </r>
  <r>
    <x v="3"/>
    <x v="18"/>
    <s v="ADEX"/>
    <x v="2"/>
    <s v="SGC솔루션글라스락햇밥용기"/>
    <s v="가정용품"/>
    <s v="주방용품"/>
    <s v="주방용기"/>
    <s v="디지털"/>
    <s v="디지털동영상"/>
    <s v="Tving"/>
    <s v="Tving"/>
    <x v="0"/>
    <x v="10"/>
    <s v="24.06"/>
    <s v="24.06"/>
    <n v="1994"/>
  </r>
  <r>
    <x v="3"/>
    <x v="18"/>
    <s v="ADEX"/>
    <x v="0"/>
    <s v="락앤락프리저핏"/>
    <s v="가정용품"/>
    <s v="주방용품"/>
    <s v="주방용기"/>
    <s v="디지털"/>
    <s v="디지털동영상"/>
    <s v="Tving"/>
    <s v="Tving"/>
    <x v="0"/>
    <x v="10"/>
    <s v="24.06"/>
    <s v="24.06"/>
    <n v="10942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0"/>
    <x v="10"/>
    <s v="24.06"/>
    <s v="24.06"/>
    <n v="25211"/>
  </r>
  <r>
    <x v="3"/>
    <x v="15"/>
    <s v="ADEX"/>
    <x v="2"/>
    <s v="SGC솔루션글라스락햇밥용기"/>
    <s v="가정용품"/>
    <s v="주방용품"/>
    <s v="주방용기"/>
    <s v="디지털"/>
    <s v="디지털동영상"/>
    <s v="YouTube"/>
    <s v="YouTube"/>
    <x v="0"/>
    <x v="10"/>
    <s v="24.06"/>
    <s v="24.06"/>
    <n v="94964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0"/>
    <x v="10"/>
    <s v="24.06"/>
    <s v="24.06"/>
    <n v="122880"/>
  </r>
  <r>
    <x v="3"/>
    <x v="5"/>
    <s v="ADEX"/>
    <x v="2"/>
    <s v="SGC솔루션글라스락햇밥용기"/>
    <s v="가정용품"/>
    <s v="주방용품"/>
    <s v="주방용기"/>
    <s v="디지털"/>
    <s v="디지털동영상"/>
    <s v="네이버"/>
    <s v="네이버"/>
    <x v="0"/>
    <x v="10"/>
    <s v="24.06"/>
    <s v="24.06"/>
    <n v="39206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0"/>
    <x v="2"/>
    <s v="24.05"/>
    <s v="24.05"/>
    <n v="30836"/>
  </r>
  <r>
    <x v="3"/>
    <x v="17"/>
    <s v="ADEX"/>
    <x v="0"/>
    <s v="락앤락프리저핏"/>
    <s v="가정용품"/>
    <s v="주방용품"/>
    <s v="주방용기"/>
    <s v="디지털"/>
    <s v="디지털동영상"/>
    <s v="GOMTV"/>
    <s v="GOMTV"/>
    <x v="0"/>
    <x v="2"/>
    <s v="24.05"/>
    <s v="24.05"/>
    <n v="186"/>
  </r>
  <r>
    <x v="3"/>
    <x v="16"/>
    <s v="ADEX"/>
    <x v="0"/>
    <s v="락앤락프리저핏"/>
    <s v="가정용품"/>
    <s v="주방용품"/>
    <s v="주방용기"/>
    <s v="디지털"/>
    <s v="디지털동영상"/>
    <s v="다음"/>
    <s v="다음"/>
    <x v="0"/>
    <x v="2"/>
    <s v="24.05"/>
    <s v="24.05"/>
    <n v="1256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0"/>
    <x v="2"/>
    <s v="24.05"/>
    <s v="24.05"/>
    <n v="76605"/>
  </r>
  <r>
    <x v="3"/>
    <x v="18"/>
    <s v="ADEX"/>
    <x v="0"/>
    <s v="락앤락프리저핏"/>
    <s v="가정용품"/>
    <s v="주방용품"/>
    <s v="주방용기"/>
    <s v="디지털"/>
    <s v="디지털동영상"/>
    <s v="Tving"/>
    <s v="Tving"/>
    <x v="0"/>
    <x v="2"/>
    <s v="24.05"/>
    <s v="24.05"/>
    <n v="11333"/>
  </r>
  <r>
    <x v="3"/>
    <x v="5"/>
    <s v="ADEX"/>
    <x v="0"/>
    <s v="락앤락프리저핏"/>
    <s v="가정용품"/>
    <s v="주방용품"/>
    <s v="주방용기"/>
    <s v="디지털"/>
    <s v="디지털동영상"/>
    <s v="네이버"/>
    <s v="네이버"/>
    <x v="0"/>
    <x v="2"/>
    <s v="24.05"/>
    <s v="24.05"/>
    <n v="262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8"/>
    <s v="25.12"/>
    <s v="25.12"/>
    <n v="1448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11"/>
    <s v="25.11"/>
    <s v="25.11"/>
    <n v="129272"/>
  </r>
  <r>
    <x v="3"/>
    <x v="16"/>
    <s v="ADEX"/>
    <x v="3"/>
    <s v="이케아"/>
    <s v="가정용품"/>
    <s v="가구류"/>
    <s v="가정용가구"/>
    <s v="디지털"/>
    <s v="디지털동영상"/>
    <s v="다음"/>
    <s v="다음"/>
    <x v="1"/>
    <x v="11"/>
    <s v="25.11"/>
    <s v="25.11"/>
    <n v="516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11"/>
    <s v="25.11"/>
    <s v="25.11"/>
    <n v="2371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9"/>
    <s v="25.10"/>
    <s v="25.10"/>
    <n v="171437"/>
  </r>
  <r>
    <x v="3"/>
    <x v="5"/>
    <s v="ADEX"/>
    <x v="0"/>
    <s v="락앤락마에스트로"/>
    <s v="가정용품"/>
    <s v="주방용품"/>
    <s v="주방용기"/>
    <s v="디지털"/>
    <s v="디지털동영상"/>
    <s v="네이버"/>
    <s v="네이버"/>
    <x v="1"/>
    <x v="9"/>
    <s v="25.10"/>
    <s v="25.10"/>
    <n v="48991"/>
  </r>
  <r>
    <x v="3"/>
    <x v="15"/>
    <s v="ADEX"/>
    <x v="0"/>
    <s v="락앤락마에스트로"/>
    <s v="가정용품"/>
    <s v="주방용품"/>
    <s v="주방용기"/>
    <s v="디지털"/>
    <s v="디지털동영상"/>
    <s v="YouTube"/>
    <s v="YouTube"/>
    <x v="1"/>
    <x v="9"/>
    <s v="25.10"/>
    <s v="25.10"/>
    <n v="27425"/>
  </r>
  <r>
    <x v="3"/>
    <x v="16"/>
    <s v="ADEX"/>
    <x v="3"/>
    <s v="이케아"/>
    <s v="가정용품"/>
    <s v="가구류"/>
    <s v="가정용가구"/>
    <s v="디지털"/>
    <s v="디지털동영상"/>
    <s v="다음"/>
    <s v="다음"/>
    <x v="1"/>
    <x v="9"/>
    <s v="25.10"/>
    <s v="25.10"/>
    <n v="1107"/>
  </r>
  <r>
    <x v="3"/>
    <x v="16"/>
    <s v="ADEX"/>
    <x v="0"/>
    <s v="락앤락메트로카페세라믹텀블러"/>
    <s v="가정용품"/>
    <s v="주방용품"/>
    <s v="보온도시락및물통"/>
    <s v="디지털"/>
    <s v="디지털동영상"/>
    <s v="다음"/>
    <s v="다음"/>
    <x v="1"/>
    <x v="9"/>
    <s v="25.10"/>
    <s v="25.10"/>
    <n v="55"/>
  </r>
  <r>
    <x v="3"/>
    <x v="5"/>
    <s v="ADEX"/>
    <x v="0"/>
    <s v="락앤락메트로카페세라믹텀블러"/>
    <s v="가정용품"/>
    <s v="주방용품"/>
    <s v="보온도시락및물통"/>
    <s v="디지털"/>
    <s v="디지털동영상"/>
    <s v="네이버"/>
    <s v="네이버"/>
    <x v="1"/>
    <x v="9"/>
    <s v="25.10"/>
    <s v="25.10"/>
    <n v="46972"/>
  </r>
  <r>
    <x v="3"/>
    <x v="15"/>
    <s v="ADEX"/>
    <x v="0"/>
    <s v="락앤락메트로카페세라믹텀블러"/>
    <s v="가정용품"/>
    <s v="주방용품"/>
    <s v="보온도시락및물통"/>
    <s v="디지털"/>
    <s v="디지털동영상"/>
    <s v="YouTube"/>
    <s v="YouTube"/>
    <x v="1"/>
    <x v="9"/>
    <s v="25.10"/>
    <s v="25.10"/>
    <n v="26639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9"/>
    <s v="25.10"/>
    <s v="25.10"/>
    <n v="2262"/>
  </r>
  <r>
    <x v="3"/>
    <x v="16"/>
    <s v="ADEX"/>
    <x v="0"/>
    <s v="락앤락메트로카페세라믹텀블러"/>
    <s v="가정용품"/>
    <s v="주방용품"/>
    <s v="보온도시락및물통"/>
    <s v="디지털"/>
    <s v="디지털동영상"/>
    <s v="다음"/>
    <s v="다음"/>
    <x v="1"/>
    <x v="5"/>
    <s v="25.09"/>
    <s v="25.09"/>
    <n v="48"/>
  </r>
  <r>
    <x v="3"/>
    <x v="15"/>
    <s v="ADEX"/>
    <x v="0"/>
    <s v="락앤락메트로카페세라믹텀블러"/>
    <s v="가정용품"/>
    <s v="주방용품"/>
    <s v="보온도시락및물통"/>
    <s v="디지털"/>
    <s v="디지털동영상"/>
    <s v="YouTube"/>
    <s v="YouTube"/>
    <x v="1"/>
    <x v="5"/>
    <s v="25.09"/>
    <s v="25.09"/>
    <n v="90604"/>
  </r>
  <r>
    <x v="3"/>
    <x v="16"/>
    <s v="ADEX"/>
    <x v="0"/>
    <s v="락앤락마에스트로"/>
    <s v="가정용품"/>
    <s v="주방용품"/>
    <s v="주방용기"/>
    <s v="디지털"/>
    <s v="디지털동영상"/>
    <s v="다음"/>
    <s v="다음"/>
    <x v="1"/>
    <x v="5"/>
    <s v="25.09"/>
    <s v="25.09"/>
    <n v="3641"/>
  </r>
  <r>
    <x v="3"/>
    <x v="15"/>
    <s v="ADEX"/>
    <x v="0"/>
    <s v="락앤락마에스트로"/>
    <s v="가정용품"/>
    <s v="주방용품"/>
    <s v="주방용기"/>
    <s v="디지털"/>
    <s v="디지털동영상"/>
    <s v="YouTube"/>
    <s v="YouTube"/>
    <x v="1"/>
    <x v="5"/>
    <s v="25.09"/>
    <s v="25.09"/>
    <n v="96474"/>
  </r>
  <r>
    <x v="3"/>
    <x v="5"/>
    <s v="ADEX"/>
    <x v="0"/>
    <s v="락앤락마에스트로"/>
    <s v="가정용품"/>
    <s v="주방용품"/>
    <s v="주방용기"/>
    <s v="디지털"/>
    <s v="디지털동영상"/>
    <s v="네이버"/>
    <s v="네이버"/>
    <x v="1"/>
    <x v="5"/>
    <s v="25.09"/>
    <s v="25.09"/>
    <n v="41301"/>
  </r>
  <r>
    <x v="3"/>
    <x v="18"/>
    <s v="ADEX"/>
    <x v="0"/>
    <s v="락앤락메트로카페세라믹텀블러"/>
    <s v="가정용품"/>
    <s v="주방용품"/>
    <s v="보온도시락및물통"/>
    <s v="디지털"/>
    <s v="디지털동영상"/>
    <s v="Tving"/>
    <s v="Tving"/>
    <x v="1"/>
    <x v="5"/>
    <s v="25.09"/>
    <s v="25.09"/>
    <n v="7082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5"/>
    <s v="25.09"/>
    <s v="25.09"/>
    <n v="9513"/>
  </r>
  <r>
    <x v="3"/>
    <x v="5"/>
    <s v="ADEX"/>
    <x v="0"/>
    <s v="락앤락메트로카페세라믹텀블러"/>
    <s v="가정용품"/>
    <s v="주방용품"/>
    <s v="보온도시락및물통"/>
    <s v="디지털"/>
    <s v="디지털동영상"/>
    <s v="네이버"/>
    <s v="네이버"/>
    <x v="1"/>
    <x v="5"/>
    <s v="25.09"/>
    <s v="25.09"/>
    <n v="4622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5"/>
    <s v="25.09"/>
    <s v="25.09"/>
    <n v="87420"/>
  </r>
  <r>
    <x v="3"/>
    <x v="18"/>
    <s v="ADEX"/>
    <x v="0"/>
    <s v="락앤락마에스트로"/>
    <s v="가정용품"/>
    <s v="주방용품"/>
    <s v="주방용기"/>
    <s v="디지털"/>
    <s v="디지털동영상"/>
    <s v="Tving"/>
    <s v="Tving"/>
    <x v="1"/>
    <x v="5"/>
    <s v="25.09"/>
    <s v="25.09"/>
    <n v="6504"/>
  </r>
  <r>
    <x v="3"/>
    <x v="16"/>
    <s v="ADEX"/>
    <x v="3"/>
    <s v="이케아"/>
    <s v="가정용품"/>
    <s v="가구류"/>
    <s v="가정용가구"/>
    <s v="디지털"/>
    <s v="디지털동영상"/>
    <s v="다음"/>
    <s v="다음"/>
    <x v="1"/>
    <x v="5"/>
    <s v="25.09"/>
    <s v="25.09"/>
    <n v="343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7"/>
    <s v="25.08"/>
    <s v="25.08"/>
    <n v="14455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1"/>
    <x v="7"/>
    <s v="25.08"/>
    <s v="25.08"/>
    <n v="4415"/>
  </r>
  <r>
    <x v="3"/>
    <x v="15"/>
    <s v="ADEX"/>
    <x v="0"/>
    <s v="락앤락프리저핏"/>
    <s v="가정용품"/>
    <s v="주방용품"/>
    <s v="주방용기"/>
    <s v="디지털"/>
    <s v="디지털동영상"/>
    <s v="YouTube"/>
    <s v="YouTube"/>
    <x v="1"/>
    <x v="6"/>
    <s v="25.07"/>
    <s v="25.07"/>
    <n v="15293"/>
  </r>
  <r>
    <x v="3"/>
    <x v="15"/>
    <s v="ADEX"/>
    <x v="0"/>
    <s v="락앤락스마트킵"/>
    <s v="가정용품"/>
    <s v="주방용품"/>
    <s v="주방용기"/>
    <s v="디지털"/>
    <s v="디지털동영상"/>
    <s v="YouTube"/>
    <s v="YouTube"/>
    <x v="1"/>
    <x v="6"/>
    <s v="25.07"/>
    <s v="25.07"/>
    <n v="1735"/>
  </r>
  <r>
    <x v="3"/>
    <x v="15"/>
    <s v="ADEX"/>
    <x v="0"/>
    <s v="락앤락스마트킵"/>
    <s v="가정용품"/>
    <s v="주방용품"/>
    <s v="주방용기"/>
    <s v="디지털"/>
    <s v="디지털동영상"/>
    <s v="YouTube"/>
    <s v="YouTube"/>
    <x v="1"/>
    <x v="10"/>
    <s v="25.06"/>
    <s v="25.06"/>
    <n v="3096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10"/>
    <s v="25.06"/>
    <s v="25.06"/>
    <n v="753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2"/>
    <s v="25.05"/>
    <s v="25.05"/>
    <n v="2763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2"/>
    <s v="25.05"/>
    <s v="25.05"/>
    <n v="8286"/>
  </r>
  <r>
    <x v="3"/>
    <x v="5"/>
    <s v="ADEX"/>
    <x v="2"/>
    <s v="SGC솔루션글라스락"/>
    <s v="가정용품"/>
    <s v="주방용품"/>
    <s v="주방용기"/>
    <s v="디지털"/>
    <s v="디지털동영상"/>
    <s v="네이버"/>
    <s v="네이버"/>
    <x v="1"/>
    <x v="2"/>
    <s v="25.05"/>
    <s v="25.05"/>
    <n v="3309"/>
  </r>
  <r>
    <x v="3"/>
    <x v="15"/>
    <s v="ADEX"/>
    <x v="2"/>
    <s v="SGC솔루션글라스락"/>
    <s v="가정용품"/>
    <s v="주방용품"/>
    <s v="주방용기"/>
    <s v="디지털"/>
    <s v="디지털동영상"/>
    <s v="YouTube"/>
    <s v="YouTube"/>
    <x v="1"/>
    <x v="2"/>
    <s v="25.05"/>
    <s v="25.05"/>
    <n v="5267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3"/>
    <s v="25.04"/>
    <s v="25.04"/>
    <n v="78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1"/>
    <s v="25.03"/>
    <s v="25.03"/>
    <n v="6768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1"/>
    <s v="25.03"/>
    <s v="25.03"/>
    <n v="15437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0"/>
    <s v="25.02"/>
    <s v="25.02"/>
    <n v="100072"/>
  </r>
  <r>
    <x v="3"/>
    <x v="15"/>
    <s v="ADEX"/>
    <x v="2"/>
    <s v="SGC솔루션글라스락"/>
    <s v="가정용품"/>
    <s v="주방용품"/>
    <s v="주방용기"/>
    <s v="디지털"/>
    <s v="디지털동영상"/>
    <s v="YouTube"/>
    <s v="YouTube"/>
    <x v="1"/>
    <x v="0"/>
    <s v="25.02"/>
    <s v="25.02"/>
    <n v="6465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0"/>
    <s v="25.02"/>
    <s v="25.02"/>
    <n v="745"/>
  </r>
  <r>
    <x v="3"/>
    <x v="15"/>
    <s v="ADEX"/>
    <x v="3"/>
    <s v="이케아"/>
    <s v="가정용품"/>
    <s v="가구류"/>
    <s v="가정용가구"/>
    <s v="디지털"/>
    <s v="디지털동영상"/>
    <s v="YouTube"/>
    <s v="YouTube"/>
    <x v="1"/>
    <x v="4"/>
    <s v="25.01"/>
    <s v="25.01"/>
    <n v="194474"/>
  </r>
  <r>
    <x v="3"/>
    <x v="5"/>
    <s v="ADEX"/>
    <x v="3"/>
    <s v="이케아"/>
    <s v="가정용품"/>
    <s v="가구류"/>
    <s v="가정용가구"/>
    <s v="디지털"/>
    <s v="디지털동영상"/>
    <s v="네이버"/>
    <s v="네이버"/>
    <x v="1"/>
    <x v="4"/>
    <s v="25.01"/>
    <s v="25.01"/>
    <n v="38587"/>
  </r>
  <r>
    <x v="3"/>
    <x v="15"/>
    <s v="ADEX"/>
    <x v="2"/>
    <s v="SGC솔루션글라스락"/>
    <s v="가정용품"/>
    <s v="주방용품"/>
    <s v="주방용기"/>
    <s v="디지털"/>
    <s v="디지털동영상"/>
    <s v="YouTube"/>
    <s v="YouTube"/>
    <x v="1"/>
    <x v="4"/>
    <s v="25.01"/>
    <s v="25.01"/>
    <n v="814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29C80-3142-4758-A69A-61270B8C5CE8}" name="피벗 테이블2" cacheId="2" applyNumberFormats="0" applyBorderFormats="0" applyFontFormats="0" applyPatternFormats="0" applyAlignmentFormats="0" applyWidthHeightFormats="1" dataCaption="값" grandTotalCaption="총 합계" updatedVersion="6" minRefreshableVersion="3" showDrill="0" useAutoFormatting="1" itemPrintTitles="1" createdVersion="8" indent="0" outline="1" outlineData="1" multipleFieldFilters="0" rowHeaderCaption="브랜드">
  <location ref="B40:AE62" firstHeaderRow="1" firstDataRow="3" firstDataCol="1"/>
  <pivotFields count="17"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6">
        <item x="0"/>
        <item x="1"/>
        <item m="1"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ubtotalCaption="? 요약" showAll="0" sortType="ascending">
      <items count="4">
        <item n="2024년" x="0"/>
        <item n="2025년" x="1"/>
        <item n="2026년" x="2"/>
        <item t="default"/>
      </items>
    </pivotField>
    <pivotField axis="axisCol" showAll="0" sortType="ascending">
      <items count="14">
        <item n="1월" x="4"/>
        <item n="2월" x="0"/>
        <item n="3월" x="1"/>
        <item n="4월" x="3"/>
        <item n="5월" x="2"/>
        <item n="6월" x="10"/>
        <item n="7월" x="6"/>
        <item n="8월" x="7"/>
        <item n="9월" x="5"/>
        <item n="10월" x="9"/>
        <item n="11월" x="11"/>
        <item n="12월" x="8"/>
        <item m="1" x="12"/>
        <item t="default"/>
      </items>
    </pivotField>
    <pivotField showAll="0"/>
    <pivotField showAll="0"/>
    <pivotField dataField="1" showAll="0"/>
  </pivotFields>
  <rowFields count="2">
    <field x="3"/>
    <field x="0"/>
  </rowFields>
  <rowItems count="20">
    <i>
      <x v="3"/>
    </i>
    <i r="1">
      <x v="3"/>
    </i>
    <i r="1">
      <x v="1"/>
    </i>
    <i r="1">
      <x v="2"/>
    </i>
    <i r="1">
      <x/>
    </i>
    <i>
      <x/>
    </i>
    <i r="1">
      <x v="3"/>
    </i>
    <i r="1">
      <x v="2"/>
    </i>
    <i r="1">
      <x v="1"/>
    </i>
    <i r="1">
      <x/>
    </i>
    <i>
      <x v="4"/>
    </i>
    <i r="1">
      <x v="3"/>
    </i>
    <i r="1">
      <x/>
    </i>
    <i r="1">
      <x v="1"/>
    </i>
    <i r="1">
      <x v="2"/>
    </i>
    <i>
      <x v="1"/>
    </i>
    <i r="1">
      <x/>
    </i>
    <i r="1">
      <x v="2"/>
    </i>
    <i r="1">
      <x v="1"/>
    </i>
    <i t="grand">
      <x/>
    </i>
  </rowItems>
  <colFields count="2">
    <field x="12"/>
    <field x="13"/>
  </colFields>
  <colItems count="2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t="default">
      <x v="2"/>
    </i>
    <i t="grand">
      <x/>
    </i>
  </colItems>
  <dataFields count="1">
    <dataField name="합계 : 광고비(천원)" fld="16" baseField="0" baseItem="0" numFmtId="41"/>
  </dataFields>
  <formats count="44">
    <format dxfId="88">
      <pivotArea type="all" dataOnly="0" outline="0" fieldPosition="0"/>
    </format>
    <format dxfId="87">
      <pivotArea outline="0" collapsedLevelsAreSubtotals="1" fieldPosition="0"/>
    </format>
    <format dxfId="86">
      <pivotArea type="origin" dataOnly="0" labelOnly="1" outline="0" fieldPosition="0"/>
    </format>
    <format dxfId="85">
      <pivotArea field="13" type="button" dataOnly="0" labelOnly="1" outline="0" axis="axisCol" fieldPosition="1"/>
    </format>
    <format dxfId="84">
      <pivotArea type="topRight" dataOnly="0" labelOnly="1" outline="0" fieldPosition="0"/>
    </format>
    <format dxfId="83">
      <pivotArea field="3" type="button" dataOnly="0" labelOnly="1" outline="0" axis="axisRow" fieldPosition="0"/>
    </format>
    <format dxfId="82">
      <pivotArea dataOnly="0" labelOnly="1" grandRow="1" outline="0" fieldPosition="0"/>
    </format>
    <format dxfId="81">
      <pivotArea dataOnly="0" labelOnly="1" grandCol="1"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13" type="button" dataOnly="0" labelOnly="1" outline="0" axis="axisCol" fieldPosition="1"/>
    </format>
    <format dxfId="76">
      <pivotArea type="topRight" dataOnly="0" labelOnly="1" outline="0" fieldPosition="0"/>
    </format>
    <format dxfId="75">
      <pivotArea field="3" type="button" dataOnly="0" labelOnly="1" outline="0" axis="axisRow" fieldPosition="0"/>
    </format>
    <format dxfId="74">
      <pivotArea dataOnly="0" labelOnly="1" grandRow="1" outline="0" fieldPosition="0"/>
    </format>
    <format dxfId="73">
      <pivotArea dataOnly="0" labelOnly="1" grandCol="1" outline="0" fieldPosition="0"/>
    </format>
    <format dxfId="72">
      <pivotArea type="origin" dataOnly="0" labelOnly="1" outline="0" fieldPosition="0"/>
    </format>
    <format dxfId="71">
      <pivotArea field="13" type="button" dataOnly="0" labelOnly="1" outline="0" axis="axisCol" fieldPosition="1"/>
    </format>
    <format dxfId="70">
      <pivotArea type="topRight" dataOnly="0" labelOnly="1" outline="0" fieldPosition="0"/>
    </format>
    <format dxfId="69">
      <pivotArea field="3" type="button" dataOnly="0" labelOnly="1" outline="0" axis="axisRow" fieldPosition="0"/>
    </format>
    <format dxfId="68">
      <pivotArea dataOnly="0" labelOnly="1" grandCol="1" outline="0" fieldPosition="0"/>
    </format>
    <format dxfId="67">
      <pivotArea type="origin" dataOnly="0" labelOnly="1" outline="0" fieldPosition="0"/>
    </format>
    <format dxfId="66">
      <pivotArea field="13" type="button" dataOnly="0" labelOnly="1" outline="0" axis="axisCol" fieldPosition="1"/>
    </format>
    <format dxfId="65">
      <pivotArea type="topRight" dataOnly="0" labelOnly="1" outline="0" fieldPosition="0"/>
    </format>
    <format dxfId="64">
      <pivotArea field="3" type="button" dataOnly="0" labelOnly="1" outline="0" axis="axisRow" fieldPosition="0"/>
    </format>
    <format dxfId="63">
      <pivotArea dataOnly="0" labelOnly="1" grandCol="1" outline="0" fieldPosition="0"/>
    </format>
    <format dxfId="62">
      <pivotArea outline="0" collapsedLevelsAreSubtotals="1" fieldPosition="0"/>
    </format>
    <format dxfId="61">
      <pivotArea field="12" type="button" dataOnly="0" labelOnly="1" outline="0" axis="axisCol" fieldPosition="0"/>
    </format>
    <format dxfId="60">
      <pivotArea field="13" type="button" dataOnly="0" labelOnly="1" outline="0" axis="axisCol" fieldPosition="1"/>
    </format>
    <format dxfId="59">
      <pivotArea type="topRight" dataOnly="0" labelOnly="1" outline="0" fieldPosition="0"/>
    </format>
    <format dxfId="58">
      <pivotArea dataOnly="0" labelOnly="1" grandCol="1" outline="0" fieldPosition="0"/>
    </format>
    <format dxfId="57">
      <pivotArea field="12" type="button" dataOnly="0" labelOnly="1" outline="0" axis="axisCol" fieldPosition="0"/>
    </format>
    <format dxfId="56">
      <pivotArea field="13" type="button" dataOnly="0" labelOnly="1" outline="0" axis="axisCol" fieldPosition="1"/>
    </format>
    <format dxfId="55">
      <pivotArea type="topRight" dataOnly="0" labelOnly="1" outline="0" fieldPosition="0"/>
    </format>
    <format dxfId="54">
      <pivotArea dataOnly="0" labelOnly="1" grandCol="1" outline="0" fieldPosition="0"/>
    </format>
    <format dxfId="53">
      <pivotArea dataOnly="0" labelOnly="1" grandCol="1" outline="0" fieldPosition="0"/>
    </format>
    <format dxfId="52">
      <pivotArea dataOnly="0" labelOnly="1" grandRow="1" outline="0" fieldPosition="0"/>
    </format>
    <format dxfId="51">
      <pivotArea dataOnly="0" labelOnly="1" grandCol="1" outline="0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48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47">
      <pivotArea dataOnly="0" labelOnly="1" offset="IV1" fieldPosition="0">
        <references count="1">
          <reference field="12" count="1" defaultSubtotal="1">
            <x v="2"/>
          </reference>
        </references>
      </pivotArea>
    </format>
    <format dxfId="46">
      <pivotArea dataOnly="0" labelOnly="1" fieldPosition="0">
        <references count="1">
          <reference field="3" count="0"/>
        </references>
      </pivotArea>
    </format>
    <format dxfId="45">
      <pivotArea dataOnly="0" labelOnly="1" offset="IV1" fieldPosition="0">
        <references count="1">
          <reference field="12" count="1" defaultSubtotal="1">
            <x v="0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7B660-8E08-4584-A370-0BCECE170471}" name="피벗 테이블7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10" firstHeaderRow="1" firstDataRow="1" firstDataCol="1"/>
  <pivotFields count="16">
    <pivotField showAll="0"/>
    <pivotField axis="axisRow" showAll="0" sortType="descending">
      <items count="7">
        <item x="1"/>
        <item x="4"/>
        <item x="3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 v="1"/>
    </i>
    <i>
      <x v="2"/>
    </i>
    <i>
      <x v="3"/>
    </i>
    <i>
      <x/>
    </i>
    <i>
      <x v="4"/>
    </i>
    <i>
      <x v="5"/>
    </i>
    <i t="grand">
      <x/>
    </i>
  </rowItems>
  <colItems count="1">
    <i/>
  </colItems>
  <dataFields count="1">
    <dataField name="합계 : 광고비(천원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0AC67-35FF-459F-AA9B-0C032EC420DB}" name="피벗 테이블8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H11" firstHeaderRow="1" firstDataRow="2" firstDataCol="1"/>
  <pivotFields count="16">
    <pivotField showAll="0"/>
    <pivotField axis="axisCol" showAll="0" sortType="descending">
      <items count="7">
        <item x="1"/>
        <item x="4"/>
        <item x="3"/>
        <item x="0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3"/>
        <item x="2"/>
        <item x="4"/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 v="1"/>
    </i>
    <i>
      <x v="2"/>
    </i>
    <i>
      <x v="3"/>
    </i>
    <i>
      <x/>
    </i>
    <i>
      <x v="4"/>
    </i>
    <i>
      <x v="5"/>
    </i>
    <i t="grand">
      <x/>
    </i>
  </colItems>
  <dataFields count="1">
    <dataField name="합계 : 광고비(천원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B9CC8-0D53-4875-91EA-264C7D19AB18}" name="피벗 테이블2" cacheId="2" applyNumberFormats="0" applyBorderFormats="0" applyFontFormats="0" applyPatternFormats="0" applyAlignmentFormats="0" applyWidthHeightFormats="1" dataCaption="값" grandTotalCaption="총 합계" updatedVersion="6" minRefreshableVersion="3" showDrill="0" useAutoFormatting="1" itemPrintTitles="1" createdVersion="8" indent="0" outline="1" outlineData="1" multipleFieldFilters="0" rowHeaderCaption="매체 카테고리">
  <location ref="B39:AE67" firstHeaderRow="1" firstDataRow="3" firstDataCol="1"/>
  <pivotFields count="17">
    <pivotField axis="axisRow" showAll="0" sortType="descending">
      <items count="5">
        <item x="1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1">
        <item x="14"/>
        <item x="19"/>
        <item x="17"/>
        <item x="13"/>
        <item x="1"/>
        <item x="0"/>
        <item x="11"/>
        <item x="18"/>
        <item x="15"/>
        <item x="5"/>
        <item x="4"/>
        <item x="16"/>
        <item x="10"/>
        <item x="7"/>
        <item x="9"/>
        <item x="12"/>
        <item x="6"/>
        <item x="8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items count="6">
        <item x="0"/>
        <item x="1"/>
        <item x="2"/>
        <item x="3"/>
        <item m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ubtotalCaption="? 요약" showAll="0" sortType="ascending">
      <items count="4">
        <item n="2024년" x="0"/>
        <item n="2025년" x="1"/>
        <item n="2026년" x="2"/>
        <item t="default"/>
      </items>
    </pivotField>
    <pivotField axis="axisCol" showAll="0" sortType="ascending">
      <items count="14">
        <item n="1월" x="4"/>
        <item n="2월" x="0"/>
        <item n="3월" x="1"/>
        <item n="4월" x="3"/>
        <item n="5월" x="2"/>
        <item n="6월" x="10"/>
        <item n="7월" x="6"/>
        <item n="8월" x="7"/>
        <item n="9월" x="5"/>
        <item n="10월" x="9"/>
        <item n="11월" x="11"/>
        <item n="12월" x="8"/>
        <item m="1" x="12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26">
    <i>
      <x v="3"/>
    </i>
    <i r="1">
      <x v="8"/>
    </i>
    <i r="1">
      <x v="9"/>
    </i>
    <i r="1">
      <x v="7"/>
    </i>
    <i r="1">
      <x v="11"/>
    </i>
    <i r="1">
      <x v="2"/>
    </i>
    <i r="1">
      <x v="1"/>
    </i>
    <i>
      <x v="1"/>
    </i>
    <i r="1">
      <x v="17"/>
    </i>
    <i r="1">
      <x v="14"/>
    </i>
    <i r="1">
      <x v="6"/>
    </i>
    <i r="1">
      <x v="3"/>
    </i>
    <i r="1">
      <x v="15"/>
    </i>
    <i r="1">
      <x/>
    </i>
    <i r="1">
      <x v="13"/>
    </i>
    <i r="1">
      <x v="10"/>
    </i>
    <i r="1">
      <x v="16"/>
    </i>
    <i r="1">
      <x v="12"/>
    </i>
    <i r="1">
      <x v="18"/>
    </i>
    <i r="1">
      <x v="5"/>
    </i>
    <i>
      <x v="2"/>
    </i>
    <i r="1">
      <x v="19"/>
    </i>
    <i r="1">
      <x v="9"/>
    </i>
    <i>
      <x/>
    </i>
    <i r="1">
      <x v="4"/>
    </i>
    <i t="grand">
      <x/>
    </i>
  </rowItems>
  <colFields count="2">
    <field x="12"/>
    <field x="13"/>
  </colFields>
  <colItems count="2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t="default">
      <x v="2"/>
    </i>
    <i t="grand">
      <x/>
    </i>
  </colItems>
  <dataFields count="1">
    <dataField name="합계 : 광고비(천원)" fld="16" baseField="0" baseItem="0" numFmtId="41"/>
  </dataFields>
  <formats count="44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13" type="button" dataOnly="0" labelOnly="1" outline="0" axis="axisCol" fieldPosition="1"/>
    </format>
    <format dxfId="40">
      <pivotArea type="topRight" dataOnly="0" labelOnly="1" outline="0" fieldPosition="0"/>
    </format>
    <format dxfId="39">
      <pivotArea field="3" type="button" dataOnly="0" labelOnly="1" outline="0"/>
    </format>
    <format dxfId="38">
      <pivotArea dataOnly="0" labelOnly="1" grandRow="1" outline="0" fieldPosition="0"/>
    </format>
    <format dxfId="37">
      <pivotArea dataOnly="0" labelOnly="1" grandCol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13" type="button" dataOnly="0" labelOnly="1" outline="0" axis="axisCol" fieldPosition="1"/>
    </format>
    <format dxfId="32">
      <pivotArea type="topRight" dataOnly="0" labelOnly="1" outline="0" fieldPosition="0"/>
    </format>
    <format dxfId="31">
      <pivotArea field="3" type="button" dataOnly="0" labelOnly="1" outline="0"/>
    </format>
    <format dxfId="30">
      <pivotArea dataOnly="0" labelOnly="1" grandRow="1" outline="0" fieldPosition="0"/>
    </format>
    <format dxfId="29">
      <pivotArea dataOnly="0" labelOnly="1" grandCol="1" outline="0" fieldPosition="0"/>
    </format>
    <format dxfId="28">
      <pivotArea type="origin" dataOnly="0" labelOnly="1" outline="0" fieldPosition="0"/>
    </format>
    <format dxfId="27">
      <pivotArea field="13" type="button" dataOnly="0" labelOnly="1" outline="0" axis="axisCol" fieldPosition="1"/>
    </format>
    <format dxfId="26">
      <pivotArea type="topRight" dataOnly="0" labelOnly="1" outline="0" fieldPosition="0"/>
    </format>
    <format dxfId="25">
      <pivotArea field="3" type="button" dataOnly="0" labelOnly="1" outline="0"/>
    </format>
    <format dxfId="24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13" type="button" dataOnly="0" labelOnly="1" outline="0" axis="axisCol" fieldPosition="1"/>
    </format>
    <format dxfId="21">
      <pivotArea type="topRight" dataOnly="0" labelOnly="1" outline="0" fieldPosition="0"/>
    </format>
    <format dxfId="20">
      <pivotArea field="3" type="button" dataOnly="0" labelOnly="1" outline="0"/>
    </format>
    <format dxfId="19">
      <pivotArea dataOnly="0" labelOnly="1" grandCol="1" outline="0" fieldPosition="0"/>
    </format>
    <format dxfId="18">
      <pivotArea outline="0" collapsedLevelsAreSubtotals="1" fieldPosition="0"/>
    </format>
    <format dxfId="17">
      <pivotArea field="12" type="button" dataOnly="0" labelOnly="1" outline="0" axis="axisCol" fieldPosition="0"/>
    </format>
    <format dxfId="16">
      <pivotArea field="13" type="button" dataOnly="0" labelOnly="1" outline="0" axis="axisCol" fieldPosition="1"/>
    </format>
    <format dxfId="15">
      <pivotArea type="topRight" dataOnly="0" labelOnly="1" outline="0" fieldPosition="0"/>
    </format>
    <format dxfId="14">
      <pivotArea dataOnly="0" labelOnly="1" grandCol="1" outline="0" fieldPosition="0"/>
    </format>
    <format dxfId="13">
      <pivotArea field="12" type="button" dataOnly="0" labelOnly="1" outline="0" axis="axisCol" fieldPosition="0"/>
    </format>
    <format dxfId="12">
      <pivotArea field="13" type="button" dataOnly="0" labelOnly="1" outline="0" axis="axisCol" fieldPosition="1"/>
    </format>
    <format dxfId="11">
      <pivotArea type="topRight" dataOnly="0" labelOnly="1" outline="0" fieldPosition="0"/>
    </format>
    <format dxfId="10">
      <pivotArea dataOnly="0" labelOnly="1" grandCol="1" outline="0" fieldPosition="0"/>
    </format>
    <format dxfId="9">
      <pivotArea dataOnly="0" labelOnly="1" grandCol="1" outline="0" fieldPosition="0"/>
    </format>
    <format dxfId="8">
      <pivotArea dataOnly="0" labelOnly="1" grandRow="1" outline="0" fieldPosition="0"/>
    </format>
    <format dxfId="7">
      <pivotArea dataOnly="0" labelOnly="1" grandCol="1" outline="0" fieldPosition="0"/>
    </format>
    <format dxfId="6">
      <pivotArea field="3" type="button" dataOnly="0" labelOnly="1" outline="0"/>
    </format>
    <format dxfId="5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4">
      <pivotArea dataOnly="0" labelOnly="1" fieldPosition="0">
        <references count="1">
          <reference field="12" count="1" defaultSubtotal="1">
            <x v="1"/>
          </reference>
        </references>
      </pivotArea>
    </format>
    <format dxfId="3">
      <pivotArea dataOnly="0" labelOnly="1" offset="IV1" fieldPosition="0">
        <references count="1">
          <reference field="12" count="1" defaultSubtotal="1">
            <x v="2"/>
          </reference>
        </references>
      </pivotArea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offset="IV1" fieldPosition="0">
        <references count="1">
          <reference field="12" count="1" defaultSubtotal="1">
            <x v="0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A51CC-EB96-4EA4-A72A-1F3CA853854D}" name="피벗 테이블3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F3:G42" firstHeaderRow="1" firstDataRow="1" firstDataCol="1"/>
  <pivotFields count="16"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04">
        <item m="1" x="53"/>
        <item m="1" x="45"/>
        <item m="1" x="64"/>
        <item m="1" x="48"/>
        <item m="1" x="85"/>
        <item m="1" x="77"/>
        <item m="1" x="99"/>
        <item m="1" x="88"/>
        <item m="1" x="66"/>
        <item m="1" x="75"/>
        <item m="1" x="55"/>
        <item m="1" x="86"/>
        <item m="1" x="89"/>
        <item m="1" x="93"/>
        <item m="1" x="91"/>
        <item m="1" x="100"/>
        <item m="1" x="41"/>
        <item m="1" x="78"/>
        <item m="1" x="90"/>
        <item m="1" x="74"/>
        <item m="1" x="73"/>
        <item m="1" x="56"/>
        <item m="1" x="47"/>
        <item m="1" x="65"/>
        <item m="1" x="95"/>
        <item m="1" x="49"/>
        <item m="1" x="102"/>
        <item m="1" x="72"/>
        <item m="1" x="83"/>
        <item m="1" x="79"/>
        <item m="1" x="101"/>
        <item m="1" x="97"/>
        <item m="1" x="98"/>
        <item m="1" x="96"/>
        <item m="1" x="58"/>
        <item m="1" x="42"/>
        <item m="1" x="44"/>
        <item m="1" x="69"/>
        <item m="1" x="68"/>
        <item m="1" x="84"/>
        <item m="1" x="54"/>
        <item m="1" x="50"/>
        <item m="1" x="94"/>
        <item m="1" x="57"/>
        <item m="1" x="71"/>
        <item m="1" x="52"/>
        <item m="1" x="76"/>
        <item m="1" x="43"/>
        <item m="1" x="87"/>
        <item m="1" x="51"/>
        <item m="1" x="59"/>
        <item m="1" x="63"/>
        <item m="1" x="38"/>
        <item m="1" x="81"/>
        <item m="1" x="46"/>
        <item m="1" x="82"/>
        <item m="1" x="67"/>
        <item m="1" x="60"/>
        <item m="1" x="70"/>
        <item m="1" x="40"/>
        <item m="1" x="92"/>
        <item m="1" x="61"/>
        <item m="1" x="80"/>
        <item m="1" x="62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9">
    <i>
      <x v="65"/>
    </i>
    <i>
      <x v="67"/>
    </i>
    <i>
      <x v="68"/>
    </i>
    <i>
      <x v="85"/>
    </i>
    <i>
      <x v="70"/>
    </i>
    <i>
      <x v="80"/>
    </i>
    <i>
      <x v="86"/>
    </i>
    <i>
      <x v="72"/>
    </i>
    <i>
      <x v="69"/>
    </i>
    <i>
      <x v="71"/>
    </i>
    <i>
      <x v="88"/>
    </i>
    <i>
      <x v="76"/>
    </i>
    <i>
      <x v="74"/>
    </i>
    <i>
      <x v="96"/>
    </i>
    <i>
      <x v="77"/>
    </i>
    <i>
      <x v="66"/>
    </i>
    <i>
      <x v="91"/>
    </i>
    <i>
      <x v="84"/>
    </i>
    <i>
      <x v="78"/>
    </i>
    <i>
      <x v="75"/>
    </i>
    <i>
      <x v="94"/>
    </i>
    <i>
      <x v="89"/>
    </i>
    <i>
      <x v="97"/>
    </i>
    <i>
      <x v="90"/>
    </i>
    <i>
      <x v="93"/>
    </i>
    <i>
      <x v="81"/>
    </i>
    <i>
      <x v="87"/>
    </i>
    <i>
      <x v="98"/>
    </i>
    <i>
      <x v="79"/>
    </i>
    <i>
      <x v="92"/>
    </i>
    <i>
      <x v="73"/>
    </i>
    <i>
      <x v="82"/>
    </i>
    <i>
      <x v="99"/>
    </i>
    <i>
      <x v="102"/>
    </i>
    <i>
      <x v="100"/>
    </i>
    <i>
      <x v="95"/>
    </i>
    <i>
      <x v="83"/>
    </i>
    <i>
      <x v="101"/>
    </i>
    <i t="grand">
      <x/>
    </i>
  </rowItems>
  <colItems count="1">
    <i/>
  </colItems>
  <dataFields count="1">
    <dataField name="합계 : 광고비(천원)" fld="15" baseField="3" baseItem="0" numFmtId="4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1D88B-B13E-4706-80C6-6BC57AC68934}">
  <sheetPr>
    <tabColor theme="7" tint="-0.249977111117893"/>
  </sheetPr>
  <dimension ref="B1:BJ161"/>
  <sheetViews>
    <sheetView showGridLines="0" tabSelected="1" zoomScale="85" zoomScaleNormal="85" workbookViewId="0"/>
  </sheetViews>
  <sheetFormatPr defaultColWidth="8.58203125" defaultRowHeight="15" x14ac:dyDescent="0.45"/>
  <cols>
    <col min="1" max="1" width="2.58203125" style="1" customWidth="1"/>
    <col min="2" max="2" width="15.25" style="1" bestFit="1" customWidth="1"/>
    <col min="3" max="31" width="12.58203125" style="1" customWidth="1"/>
    <col min="32" max="33" width="11.58203125" style="1" bestFit="1" customWidth="1"/>
    <col min="34" max="35" width="8" style="1" bestFit="1" customWidth="1"/>
    <col min="36" max="37" width="9" style="1" bestFit="1" customWidth="1"/>
    <col min="38" max="38" width="10.33203125" style="1" bestFit="1" customWidth="1"/>
    <col min="39" max="40" width="8" style="1" bestFit="1" customWidth="1"/>
    <col min="41" max="41" width="5.5" style="1" bestFit="1" customWidth="1"/>
    <col min="42" max="42" width="8" style="1" bestFit="1" customWidth="1"/>
    <col min="43" max="46" width="6.5" style="1" bestFit="1" customWidth="1"/>
    <col min="47" max="47" width="10.33203125" style="1" bestFit="1" customWidth="1"/>
    <col min="48" max="48" width="10" style="1" bestFit="1" customWidth="1"/>
    <col min="49" max="51" width="9" style="1" bestFit="1" customWidth="1"/>
    <col min="52" max="52" width="8" style="1" bestFit="1" customWidth="1"/>
    <col min="53" max="53" width="6.5" style="1" bestFit="1" customWidth="1"/>
    <col min="54" max="54" width="10.33203125" style="1" bestFit="1" customWidth="1"/>
    <col min="55" max="56" width="11.58203125" style="1" bestFit="1" customWidth="1"/>
    <col min="57" max="57" width="9" style="1" bestFit="1" customWidth="1"/>
    <col min="58" max="58" width="10" style="1" bestFit="1" customWidth="1"/>
    <col min="59" max="60" width="9" style="1" bestFit="1" customWidth="1"/>
    <col min="61" max="61" width="10" style="1" bestFit="1" customWidth="1"/>
    <col min="62" max="62" width="11.58203125" style="1" bestFit="1" customWidth="1"/>
    <col min="63" max="16384" width="8.58203125" style="1"/>
  </cols>
  <sheetData>
    <row r="1" spans="2:20" ht="10" customHeight="1" x14ac:dyDescent="0.45"/>
    <row r="2" spans="2:20" s="10" customFormat="1" ht="30" customHeight="1" thickBot="1" x14ac:dyDescent="0.5">
      <c r="B2" s="4" t="s">
        <v>965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8"/>
      <c r="R2" s="9"/>
      <c r="S2" s="9"/>
      <c r="T2" s="9"/>
    </row>
    <row r="3" spans="2:20" s="10" customFormat="1" ht="7.15" customHeight="1" x14ac:dyDescent="0.45">
      <c r="C3" s="11"/>
      <c r="E3" s="12"/>
      <c r="P3" s="7"/>
      <c r="Q3" s="8"/>
      <c r="R3" s="9"/>
      <c r="S3" s="9"/>
      <c r="T3" s="9"/>
    </row>
    <row r="4" spans="2:20" s="10" customFormat="1" ht="15" customHeight="1" x14ac:dyDescent="0.35">
      <c r="B4" s="55" t="s">
        <v>20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  <c r="O4" s="7"/>
      <c r="P4" s="7"/>
    </row>
    <row r="5" spans="2:20" s="10" customFormat="1" ht="3" customHeight="1" x14ac:dyDescent="0.4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60"/>
      <c r="O5" s="7"/>
      <c r="P5" s="7"/>
    </row>
    <row r="6" spans="2:20" s="10" customFormat="1" ht="15" customHeight="1" x14ac:dyDescent="0.45">
      <c r="B6" s="61" t="s">
        <v>968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3"/>
      <c r="O6" s="7"/>
      <c r="P6" s="7"/>
    </row>
    <row r="7" spans="2:20" s="10" customFormat="1" ht="15" customHeight="1" x14ac:dyDescent="0.45">
      <c r="B7" s="64" t="s">
        <v>966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/>
      <c r="O7" s="7"/>
      <c r="P7" s="7"/>
    </row>
    <row r="8" spans="2:20" s="10" customFormat="1" ht="15" customHeight="1" x14ac:dyDescent="0.45">
      <c r="B8" s="67" t="s">
        <v>967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9"/>
      <c r="O8" s="7"/>
      <c r="P8" s="7"/>
    </row>
    <row r="9" spans="2:20" s="10" customFormat="1" ht="15" customHeight="1" x14ac:dyDescent="0.35">
      <c r="B9" s="55" t="s">
        <v>87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7"/>
      <c r="P9" s="7"/>
    </row>
    <row r="10" spans="2:20" s="10" customFormat="1" ht="3" customHeight="1" x14ac:dyDescent="0.45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60"/>
      <c r="O10" s="7"/>
      <c r="P10" s="7"/>
    </row>
    <row r="11" spans="2:20" s="10" customFormat="1" ht="15" customHeight="1" x14ac:dyDescent="0.45">
      <c r="B11" s="71" t="s">
        <v>969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3"/>
      <c r="O11" s="7"/>
      <c r="P11" s="7"/>
    </row>
    <row r="12" spans="2:20" s="10" customFormat="1" ht="15" customHeight="1" x14ac:dyDescent="0.45">
      <c r="B12" s="71" t="s">
        <v>970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3"/>
      <c r="O12" s="7"/>
      <c r="P12" s="7"/>
    </row>
    <row r="13" spans="2:20" s="10" customFormat="1" ht="15" customHeight="1" x14ac:dyDescent="0.45">
      <c r="B13" s="75" t="s">
        <v>971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7"/>
      <c r="O13" s="7"/>
      <c r="P13" s="7"/>
    </row>
    <row r="15" spans="2:20" s="11" customFormat="1" ht="19.149999999999999" customHeight="1" x14ac:dyDescent="0.45">
      <c r="B15" s="74" t="s">
        <v>975</v>
      </c>
      <c r="C15" s="74"/>
      <c r="D15" s="31" t="s">
        <v>21</v>
      </c>
      <c r="F15" s="74" t="s">
        <v>976</v>
      </c>
      <c r="G15" s="74"/>
      <c r="H15" s="74"/>
      <c r="I15" s="11" t="s">
        <v>21</v>
      </c>
      <c r="P15" s="13"/>
      <c r="Q15" s="14"/>
      <c r="S15" s="15"/>
      <c r="T15" s="15"/>
    </row>
    <row r="16" spans="2:20" s="10" customFormat="1" ht="3" customHeight="1" x14ac:dyDescent="0.45">
      <c r="C16" s="11"/>
      <c r="E16" s="12"/>
      <c r="P16" s="7"/>
      <c r="Q16" s="8"/>
      <c r="R16" s="9"/>
      <c r="S16" s="9"/>
      <c r="T16" s="9"/>
    </row>
    <row r="17" spans="3:20" s="10" customFormat="1" ht="15" customHeight="1" x14ac:dyDescent="0.45">
      <c r="C17" s="11"/>
      <c r="E17" s="12"/>
      <c r="P17" s="7"/>
      <c r="Q17" s="8"/>
      <c r="R17" s="9"/>
      <c r="S17" s="9"/>
      <c r="T17" s="9"/>
    </row>
    <row r="18" spans="3:20" s="10" customFormat="1" ht="15" customHeight="1" x14ac:dyDescent="0.45">
      <c r="C18" s="11"/>
      <c r="E18" s="12"/>
      <c r="P18" s="7"/>
      <c r="Q18" s="8"/>
      <c r="R18" s="9"/>
      <c r="S18" s="9"/>
      <c r="T18" s="9"/>
    </row>
    <row r="19" spans="3:20" s="10" customFormat="1" ht="15" customHeight="1" x14ac:dyDescent="0.45">
      <c r="C19" s="11"/>
      <c r="E19" s="12"/>
      <c r="P19" s="7"/>
      <c r="Q19" s="8"/>
      <c r="R19" s="9"/>
      <c r="S19" s="9"/>
      <c r="T19" s="9"/>
    </row>
    <row r="20" spans="3:20" s="10" customFormat="1" ht="15" customHeight="1" x14ac:dyDescent="0.45">
      <c r="C20" s="11"/>
      <c r="E20" s="12"/>
      <c r="P20" s="7"/>
      <c r="Q20" s="8"/>
      <c r="R20" s="9"/>
      <c r="S20" s="9"/>
      <c r="T20" s="9"/>
    </row>
    <row r="21" spans="3:20" s="10" customFormat="1" ht="15" customHeight="1" x14ac:dyDescent="0.45">
      <c r="C21" s="11"/>
      <c r="E21" s="12"/>
      <c r="P21" s="7"/>
      <c r="Q21" s="8"/>
      <c r="R21" s="9"/>
      <c r="S21" s="9"/>
      <c r="T21" s="9"/>
    </row>
    <row r="22" spans="3:20" s="10" customFormat="1" ht="15" customHeight="1" x14ac:dyDescent="0.45">
      <c r="C22" s="11"/>
      <c r="E22" s="12"/>
      <c r="P22" s="7"/>
      <c r="Q22" s="8"/>
      <c r="R22" s="9"/>
      <c r="S22" s="9"/>
      <c r="T22" s="9"/>
    </row>
    <row r="23" spans="3:20" s="10" customFormat="1" ht="15" customHeight="1" x14ac:dyDescent="0.45">
      <c r="C23" s="11"/>
      <c r="E23" s="12"/>
      <c r="P23" s="7"/>
      <c r="Q23" s="8"/>
      <c r="R23" s="9"/>
      <c r="S23" s="9"/>
      <c r="T23" s="9"/>
    </row>
    <row r="24" spans="3:20" s="10" customFormat="1" ht="15" customHeight="1" x14ac:dyDescent="0.45">
      <c r="C24" s="11"/>
      <c r="E24" s="12"/>
      <c r="P24" s="7"/>
      <c r="Q24" s="8"/>
      <c r="R24" s="9"/>
      <c r="S24" s="9"/>
      <c r="T24" s="9"/>
    </row>
    <row r="25" spans="3:20" s="10" customFormat="1" ht="15" customHeight="1" x14ac:dyDescent="0.45">
      <c r="C25" s="11"/>
      <c r="E25" s="12"/>
      <c r="P25" s="7"/>
      <c r="Q25" s="8"/>
      <c r="R25" s="9"/>
      <c r="S25" s="9"/>
      <c r="T25" s="9"/>
    </row>
    <row r="26" spans="3:20" s="10" customFormat="1" ht="15" customHeight="1" x14ac:dyDescent="0.45">
      <c r="C26" s="11"/>
      <c r="E26" s="12"/>
      <c r="P26" s="7"/>
      <c r="Q26" s="8"/>
      <c r="R26" s="9"/>
      <c r="S26" s="9"/>
      <c r="T26" s="9"/>
    </row>
    <row r="27" spans="3:20" s="10" customFormat="1" ht="15" customHeight="1" x14ac:dyDescent="0.45">
      <c r="C27" s="11"/>
      <c r="E27" s="12"/>
      <c r="P27" s="7"/>
      <c r="Q27" s="8"/>
      <c r="R27" s="9"/>
      <c r="S27" s="9"/>
      <c r="T27" s="9"/>
    </row>
    <row r="28" spans="3:20" s="10" customFormat="1" ht="15" customHeight="1" x14ac:dyDescent="0.45">
      <c r="C28" s="11"/>
      <c r="E28" s="12"/>
      <c r="P28" s="7"/>
      <c r="Q28" s="8"/>
      <c r="R28" s="9"/>
      <c r="S28" s="9"/>
      <c r="T28" s="9"/>
    </row>
    <row r="29" spans="3:20" s="10" customFormat="1" ht="15" customHeight="1" x14ac:dyDescent="0.45">
      <c r="C29" s="11"/>
      <c r="E29" s="12"/>
      <c r="P29" s="7"/>
      <c r="Q29" s="8"/>
      <c r="R29" s="9"/>
      <c r="S29" s="9"/>
      <c r="T29" s="9"/>
    </row>
    <row r="30" spans="3:20" s="10" customFormat="1" ht="15" customHeight="1" x14ac:dyDescent="0.45">
      <c r="C30" s="11"/>
      <c r="E30" s="12"/>
      <c r="P30" s="7"/>
      <c r="Q30" s="8"/>
      <c r="R30" s="9"/>
      <c r="S30" s="9"/>
      <c r="T30" s="9"/>
    </row>
    <row r="31" spans="3:20" s="10" customFormat="1" ht="15" customHeight="1" x14ac:dyDescent="0.45">
      <c r="C31" s="11"/>
      <c r="E31" s="12"/>
      <c r="P31" s="7"/>
      <c r="Q31" s="8"/>
      <c r="R31" s="9"/>
      <c r="S31" s="9"/>
      <c r="T31" s="9"/>
    </row>
    <row r="32" spans="3:20" s="10" customFormat="1" ht="15" customHeight="1" x14ac:dyDescent="0.45">
      <c r="C32" s="11"/>
      <c r="E32" s="12"/>
      <c r="P32" s="7"/>
      <c r="Q32" s="8"/>
      <c r="R32" s="9"/>
      <c r="S32" s="9"/>
      <c r="T32" s="9"/>
    </row>
    <row r="33" spans="2:62" s="10" customFormat="1" ht="15" customHeight="1" x14ac:dyDescent="0.45">
      <c r="C33" s="11"/>
      <c r="E33" s="12"/>
      <c r="P33" s="7"/>
      <c r="Q33" s="8"/>
      <c r="R33" s="9"/>
      <c r="S33" s="9"/>
      <c r="T33" s="9"/>
    </row>
    <row r="34" spans="2:62" ht="15" customHeight="1" x14ac:dyDescent="0.45"/>
    <row r="35" spans="2:62" ht="15" customHeight="1" x14ac:dyDescent="0.45"/>
    <row r="36" spans="2:62" ht="15" customHeight="1" x14ac:dyDescent="0.45"/>
    <row r="37" spans="2:62" ht="15" customHeight="1" x14ac:dyDescent="0.45"/>
    <row r="38" spans="2:62" ht="15" customHeight="1" x14ac:dyDescent="0.45">
      <c r="B38" s="70" t="s">
        <v>953</v>
      </c>
      <c r="C38" s="70"/>
    </row>
    <row r="39" spans="2:62" ht="3" customHeight="1" x14ac:dyDescent="0.45">
      <c r="C39" s="40" t="s">
        <v>226</v>
      </c>
      <c r="D39" s="40"/>
      <c r="E39" s="40" t="s">
        <v>227</v>
      </c>
      <c r="L39" s="40"/>
      <c r="M39" s="40"/>
      <c r="N39" s="40"/>
      <c r="O39" s="40"/>
      <c r="P39" s="40"/>
    </row>
    <row r="40" spans="2:62" s="20" customFormat="1" ht="17" hidden="1" x14ac:dyDescent="0.45">
      <c r="B40" s="25" t="s">
        <v>22</v>
      </c>
      <c r="C40" s="24" t="s">
        <v>23</v>
      </c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2:62" s="20" customFormat="1" ht="17" x14ac:dyDescent="0.45">
      <c r="B41" s="24"/>
      <c r="C41" s="20" t="s">
        <v>925</v>
      </c>
      <c r="O41" s="24" t="s">
        <v>964</v>
      </c>
      <c r="P41" s="20" t="s">
        <v>41</v>
      </c>
      <c r="AB41" s="24" t="s">
        <v>260</v>
      </c>
      <c r="AC41" s="20" t="s">
        <v>224</v>
      </c>
      <c r="AD41" s="24" t="s">
        <v>261</v>
      </c>
      <c r="AE41" s="28" t="s">
        <v>35</v>
      </c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2:62" s="20" customFormat="1" ht="17" x14ac:dyDescent="0.45">
      <c r="B42" s="52" t="s">
        <v>954</v>
      </c>
      <c r="C42" s="20" t="s">
        <v>70</v>
      </c>
      <c r="D42" s="20" t="s">
        <v>956</v>
      </c>
      <c r="E42" s="20" t="s">
        <v>957</v>
      </c>
      <c r="F42" s="20" t="s">
        <v>958</v>
      </c>
      <c r="G42" s="20" t="s">
        <v>959</v>
      </c>
      <c r="H42" s="20" t="s">
        <v>960</v>
      </c>
      <c r="I42" s="20" t="s">
        <v>961</v>
      </c>
      <c r="J42" s="20" t="s">
        <v>962</v>
      </c>
      <c r="K42" s="20" t="s">
        <v>963</v>
      </c>
      <c r="L42" s="20" t="s">
        <v>258</v>
      </c>
      <c r="M42" s="20" t="s">
        <v>69</v>
      </c>
      <c r="N42" s="20" t="s">
        <v>259</v>
      </c>
      <c r="O42" s="24"/>
      <c r="P42" s="20" t="s">
        <v>70</v>
      </c>
      <c r="Q42" s="20" t="s">
        <v>956</v>
      </c>
      <c r="R42" s="20" t="s">
        <v>957</v>
      </c>
      <c r="S42" s="20" t="s">
        <v>958</v>
      </c>
      <c r="T42" s="20" t="s">
        <v>959</v>
      </c>
      <c r="U42" s="20" t="s">
        <v>960</v>
      </c>
      <c r="V42" s="20" t="s">
        <v>961</v>
      </c>
      <c r="W42" s="20" t="s">
        <v>962</v>
      </c>
      <c r="X42" s="20" t="s">
        <v>963</v>
      </c>
      <c r="Y42" s="20" t="s">
        <v>258</v>
      </c>
      <c r="Z42" s="20" t="s">
        <v>69</v>
      </c>
      <c r="AA42" s="20" t="s">
        <v>259</v>
      </c>
      <c r="AB42" s="24"/>
      <c r="AC42" s="20" t="s">
        <v>70</v>
      </c>
      <c r="AD42" s="24"/>
      <c r="AE42" s="28"/>
      <c r="AF42"/>
      <c r="AG42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</row>
    <row r="43" spans="2:62" s="45" customFormat="1" ht="17" x14ac:dyDescent="0.45">
      <c r="B43" s="54" t="s">
        <v>281</v>
      </c>
      <c r="C43" s="26">
        <v>39383</v>
      </c>
      <c r="D43" s="26">
        <v>27881</v>
      </c>
      <c r="E43" s="26">
        <v>24258</v>
      </c>
      <c r="F43" s="26">
        <v>22299</v>
      </c>
      <c r="G43" s="26">
        <v>280755</v>
      </c>
      <c r="H43" s="26">
        <v>57791</v>
      </c>
      <c r="I43" s="26">
        <v>45818</v>
      </c>
      <c r="J43" s="26">
        <v>79414</v>
      </c>
      <c r="K43" s="26">
        <v>12018</v>
      </c>
      <c r="L43" s="26">
        <v>10927</v>
      </c>
      <c r="M43" s="26"/>
      <c r="N43" s="26">
        <v>8765</v>
      </c>
      <c r="O43" s="26">
        <v>609309</v>
      </c>
      <c r="P43" s="26">
        <v>237000</v>
      </c>
      <c r="Q43" s="26">
        <v>193290</v>
      </c>
      <c r="R43" s="26">
        <v>68208</v>
      </c>
      <c r="S43" s="26">
        <v>12654</v>
      </c>
      <c r="T43" s="26">
        <v>19242</v>
      </c>
      <c r="U43" s="26">
        <v>48811</v>
      </c>
      <c r="V43" s="26">
        <v>33004</v>
      </c>
      <c r="W43" s="26">
        <v>119172</v>
      </c>
      <c r="X43" s="26">
        <v>190126</v>
      </c>
      <c r="Y43" s="26">
        <v>281048</v>
      </c>
      <c r="Z43" s="26">
        <v>252404</v>
      </c>
      <c r="AA43" s="26">
        <v>24402</v>
      </c>
      <c r="AB43" s="26">
        <v>1479361</v>
      </c>
      <c r="AC43" s="26">
        <v>1573</v>
      </c>
      <c r="AD43" s="26">
        <v>1573</v>
      </c>
      <c r="AE43" s="26">
        <v>2090243</v>
      </c>
      <c r="AF43"/>
      <c r="AG43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</row>
    <row r="44" spans="2:62" s="20" customFormat="1" ht="17" x14ac:dyDescent="0.45">
      <c r="B44" s="43" t="s">
        <v>46</v>
      </c>
      <c r="C44" s="26"/>
      <c r="D44" s="26"/>
      <c r="E44" s="26"/>
      <c r="F44" s="26"/>
      <c r="G44" s="26">
        <v>30836</v>
      </c>
      <c r="H44" s="26">
        <v>25211</v>
      </c>
      <c r="I44" s="26">
        <v>15416</v>
      </c>
      <c r="J44" s="26">
        <v>1065</v>
      </c>
      <c r="K44" s="26">
        <v>12018</v>
      </c>
      <c r="L44" s="26"/>
      <c r="M44" s="26"/>
      <c r="N44" s="26">
        <v>8765</v>
      </c>
      <c r="O44" s="26">
        <v>93311</v>
      </c>
      <c r="P44" s="26">
        <v>233061</v>
      </c>
      <c r="Q44" s="26">
        <v>100817</v>
      </c>
      <c r="R44" s="26">
        <v>22205</v>
      </c>
      <c r="S44" s="26">
        <v>78</v>
      </c>
      <c r="T44" s="26">
        <v>11049</v>
      </c>
      <c r="U44" s="26">
        <v>753</v>
      </c>
      <c r="V44" s="26"/>
      <c r="W44" s="26">
        <v>14455</v>
      </c>
      <c r="X44" s="26">
        <v>97276</v>
      </c>
      <c r="Y44" s="26">
        <v>174806</v>
      </c>
      <c r="Z44" s="26">
        <v>132159</v>
      </c>
      <c r="AA44" s="26">
        <v>1448</v>
      </c>
      <c r="AB44" s="26">
        <v>788107</v>
      </c>
      <c r="AC44" s="26"/>
      <c r="AD44" s="26"/>
      <c r="AE44" s="26">
        <v>881418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2:62" s="20" customFormat="1" ht="17" x14ac:dyDescent="0.45">
      <c r="B45" s="43" t="s">
        <v>44</v>
      </c>
      <c r="C45" s="26">
        <v>26910</v>
      </c>
      <c r="D45" s="26">
        <v>26223</v>
      </c>
      <c r="E45" s="26">
        <v>21067</v>
      </c>
      <c r="F45" s="26">
        <v>19707</v>
      </c>
      <c r="G45" s="26">
        <v>175932</v>
      </c>
      <c r="H45" s="26">
        <v>32580</v>
      </c>
      <c r="I45" s="26">
        <v>26064</v>
      </c>
      <c r="J45" s="26"/>
      <c r="K45" s="26"/>
      <c r="L45" s="26">
        <v>8736</v>
      </c>
      <c r="M45" s="26"/>
      <c r="N45" s="26"/>
      <c r="O45" s="26">
        <v>337219</v>
      </c>
      <c r="P45" s="26">
        <v>3939</v>
      </c>
      <c r="Q45" s="26">
        <v>43194</v>
      </c>
      <c r="R45" s="26">
        <v>46003</v>
      </c>
      <c r="S45" s="26">
        <v>4659</v>
      </c>
      <c r="T45" s="26">
        <v>8193</v>
      </c>
      <c r="U45" s="26"/>
      <c r="V45" s="26">
        <v>33004</v>
      </c>
      <c r="W45" s="26">
        <v>104717</v>
      </c>
      <c r="X45" s="26">
        <v>90286</v>
      </c>
      <c r="Y45" s="26">
        <v>1359</v>
      </c>
      <c r="Z45" s="26">
        <v>8807</v>
      </c>
      <c r="AA45" s="26">
        <v>19123</v>
      </c>
      <c r="AB45" s="26">
        <v>363284</v>
      </c>
      <c r="AC45" s="26">
        <v>1573</v>
      </c>
      <c r="AD45" s="26">
        <v>1573</v>
      </c>
      <c r="AE45" s="26">
        <v>702076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2:62" s="20" customFormat="1" ht="17" x14ac:dyDescent="0.45">
      <c r="B46" s="43" t="s">
        <v>42</v>
      </c>
      <c r="C46" s="26">
        <v>10814</v>
      </c>
      <c r="D46" s="26"/>
      <c r="E46" s="26">
        <v>2193</v>
      </c>
      <c r="F46" s="26">
        <v>2193</v>
      </c>
      <c r="G46" s="26">
        <v>69472</v>
      </c>
      <c r="H46" s="26"/>
      <c r="I46" s="26">
        <v>4338</v>
      </c>
      <c r="J46" s="26">
        <v>78349</v>
      </c>
      <c r="K46" s="26"/>
      <c r="L46" s="26">
        <v>2191</v>
      </c>
      <c r="M46" s="26"/>
      <c r="N46" s="26"/>
      <c r="O46" s="26">
        <v>169550</v>
      </c>
      <c r="P46" s="26"/>
      <c r="Q46" s="26">
        <v>46823</v>
      </c>
      <c r="R46" s="26"/>
      <c r="S46" s="26">
        <v>5094</v>
      </c>
      <c r="T46" s="26"/>
      <c r="U46" s="26">
        <v>48058</v>
      </c>
      <c r="V46" s="26"/>
      <c r="W46" s="26"/>
      <c r="X46" s="26"/>
      <c r="Y46" s="26">
        <v>104883</v>
      </c>
      <c r="Z46" s="26">
        <v>111438</v>
      </c>
      <c r="AA46" s="26"/>
      <c r="AB46" s="26">
        <v>316296</v>
      </c>
      <c r="AC46" s="26"/>
      <c r="AD46" s="26"/>
      <c r="AE46" s="26">
        <v>485846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2:62" s="20" customFormat="1" ht="17" x14ac:dyDescent="0.45">
      <c r="B47" s="43" t="s">
        <v>45</v>
      </c>
      <c r="C47" s="26">
        <v>1659</v>
      </c>
      <c r="D47" s="26">
        <v>1658</v>
      </c>
      <c r="E47" s="26">
        <v>998</v>
      </c>
      <c r="F47" s="26">
        <v>399</v>
      </c>
      <c r="G47" s="26">
        <v>4515</v>
      </c>
      <c r="H47" s="26"/>
      <c r="I47" s="26"/>
      <c r="J47" s="26"/>
      <c r="K47" s="26"/>
      <c r="L47" s="26"/>
      <c r="M47" s="26"/>
      <c r="N47" s="26"/>
      <c r="O47" s="26">
        <v>9229</v>
      </c>
      <c r="P47" s="26"/>
      <c r="Q47" s="26">
        <v>2456</v>
      </c>
      <c r="R47" s="26"/>
      <c r="S47" s="26">
        <v>2823</v>
      </c>
      <c r="T47" s="26"/>
      <c r="U47" s="26"/>
      <c r="V47" s="26"/>
      <c r="W47" s="26"/>
      <c r="X47" s="26">
        <v>2564</v>
      </c>
      <c r="Y47" s="26"/>
      <c r="Z47" s="26"/>
      <c r="AA47" s="26">
        <v>3831</v>
      </c>
      <c r="AB47" s="26">
        <v>11674</v>
      </c>
      <c r="AC47" s="26"/>
      <c r="AD47" s="26"/>
      <c r="AE47" s="26">
        <v>20903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2:62" s="20" customFormat="1" ht="17" x14ac:dyDescent="0.45">
      <c r="B48" s="54" t="s">
        <v>267</v>
      </c>
      <c r="C48" s="26"/>
      <c r="D48" s="26">
        <v>820</v>
      </c>
      <c r="E48" s="26">
        <v>221</v>
      </c>
      <c r="F48" s="26"/>
      <c r="G48" s="26">
        <v>102736</v>
      </c>
      <c r="H48" s="26">
        <v>140338</v>
      </c>
      <c r="I48" s="26">
        <v>21491</v>
      </c>
      <c r="J48" s="26">
        <v>11351</v>
      </c>
      <c r="K48" s="26">
        <v>17976</v>
      </c>
      <c r="L48" s="26">
        <v>25858</v>
      </c>
      <c r="M48" s="26">
        <v>66</v>
      </c>
      <c r="N48" s="26"/>
      <c r="O48" s="26">
        <v>320857</v>
      </c>
      <c r="P48" s="26">
        <v>125</v>
      </c>
      <c r="Q48" s="26">
        <v>61404</v>
      </c>
      <c r="R48" s="26">
        <v>29571</v>
      </c>
      <c r="S48" s="26"/>
      <c r="T48" s="26">
        <v>31664</v>
      </c>
      <c r="U48" s="26">
        <v>88807</v>
      </c>
      <c r="V48" s="26">
        <v>195037</v>
      </c>
      <c r="W48" s="26">
        <v>86356</v>
      </c>
      <c r="X48" s="26">
        <v>282738</v>
      </c>
      <c r="Y48" s="26">
        <v>209777</v>
      </c>
      <c r="Z48" s="26">
        <v>6982</v>
      </c>
      <c r="AA48" s="26"/>
      <c r="AB48" s="26">
        <v>992461</v>
      </c>
      <c r="AC48" s="26">
        <v>1748</v>
      </c>
      <c r="AD48" s="26">
        <v>1748</v>
      </c>
      <c r="AE48" s="26">
        <v>1315066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2:62" s="20" customFormat="1" ht="17" x14ac:dyDescent="0.45">
      <c r="B49" s="43" t="s">
        <v>46</v>
      </c>
      <c r="C49" s="26"/>
      <c r="D49" s="26"/>
      <c r="E49" s="26"/>
      <c r="F49" s="26"/>
      <c r="G49" s="26">
        <v>89642</v>
      </c>
      <c r="H49" s="26">
        <v>133822</v>
      </c>
      <c r="I49" s="26">
        <v>21439</v>
      </c>
      <c r="J49" s="26">
        <v>505</v>
      </c>
      <c r="K49" s="26">
        <v>17914</v>
      </c>
      <c r="L49" s="26">
        <v>2725</v>
      </c>
      <c r="M49" s="26"/>
      <c r="N49" s="26"/>
      <c r="O49" s="26">
        <v>266047</v>
      </c>
      <c r="P49" s="26"/>
      <c r="Q49" s="26"/>
      <c r="R49" s="26"/>
      <c r="S49" s="26"/>
      <c r="T49" s="26"/>
      <c r="U49" s="26">
        <v>3096</v>
      </c>
      <c r="V49" s="26">
        <v>17028</v>
      </c>
      <c r="W49" s="26">
        <v>4415</v>
      </c>
      <c r="X49" s="26">
        <v>250276</v>
      </c>
      <c r="Y49" s="26">
        <v>150082</v>
      </c>
      <c r="Z49" s="26"/>
      <c r="AA49" s="26"/>
      <c r="AB49" s="26">
        <v>424897</v>
      </c>
      <c r="AC49" s="26"/>
      <c r="AD49" s="26"/>
      <c r="AE49" s="26">
        <v>690944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2:62" s="20" customFormat="1" ht="17" x14ac:dyDescent="0.45">
      <c r="B50" s="43" t="s">
        <v>42</v>
      </c>
      <c r="C50" s="26"/>
      <c r="D50" s="26"/>
      <c r="E50" s="26"/>
      <c r="F50" s="26"/>
      <c r="G50" s="26"/>
      <c r="H50" s="26"/>
      <c r="I50" s="26"/>
      <c r="J50" s="26">
        <v>10846</v>
      </c>
      <c r="K50" s="26"/>
      <c r="L50" s="26">
        <v>23133</v>
      </c>
      <c r="M50" s="26"/>
      <c r="N50" s="26"/>
      <c r="O50" s="26">
        <v>33979</v>
      </c>
      <c r="P50" s="26"/>
      <c r="Q50" s="26"/>
      <c r="R50" s="26"/>
      <c r="S50" s="26"/>
      <c r="T50" s="26">
        <v>30655</v>
      </c>
      <c r="U50" s="26">
        <v>73570</v>
      </c>
      <c r="V50" s="26">
        <v>177795</v>
      </c>
      <c r="W50" s="26">
        <v>81941</v>
      </c>
      <c r="X50" s="26"/>
      <c r="Y50" s="26"/>
      <c r="Z50" s="26"/>
      <c r="AA50" s="26"/>
      <c r="AB50" s="26">
        <v>363961</v>
      </c>
      <c r="AC50" s="26">
        <v>31</v>
      </c>
      <c r="AD50" s="26">
        <v>31</v>
      </c>
      <c r="AE50" s="26">
        <v>397971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2:62" s="20" customFormat="1" ht="17" x14ac:dyDescent="0.45">
      <c r="B51" s="43" t="s">
        <v>44</v>
      </c>
      <c r="C51" s="26"/>
      <c r="D51" s="26">
        <v>820</v>
      </c>
      <c r="E51" s="26">
        <v>159</v>
      </c>
      <c r="F51" s="26"/>
      <c r="G51" s="26">
        <v>13032</v>
      </c>
      <c r="H51" s="26">
        <v>6516</v>
      </c>
      <c r="I51" s="26">
        <v>52</v>
      </c>
      <c r="J51" s="26"/>
      <c r="K51" s="26"/>
      <c r="L51" s="26"/>
      <c r="M51" s="26">
        <v>66</v>
      </c>
      <c r="N51" s="26"/>
      <c r="O51" s="26">
        <v>20645</v>
      </c>
      <c r="P51" s="26">
        <v>63</v>
      </c>
      <c r="Q51" s="26">
        <v>58948</v>
      </c>
      <c r="R51" s="26">
        <v>29571</v>
      </c>
      <c r="S51" s="26"/>
      <c r="T51" s="26">
        <v>947</v>
      </c>
      <c r="U51" s="26">
        <v>12141</v>
      </c>
      <c r="V51" s="26">
        <v>214</v>
      </c>
      <c r="W51" s="26"/>
      <c r="X51" s="26">
        <v>32462</v>
      </c>
      <c r="Y51" s="26">
        <v>59695</v>
      </c>
      <c r="Z51" s="26">
        <v>1814</v>
      </c>
      <c r="AA51" s="26"/>
      <c r="AB51" s="26">
        <v>195855</v>
      </c>
      <c r="AC51" s="26"/>
      <c r="AD51" s="26"/>
      <c r="AE51" s="26">
        <v>216500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2:62" s="20" customFormat="1" ht="17" x14ac:dyDescent="0.45">
      <c r="B52" s="43" t="s">
        <v>45</v>
      </c>
      <c r="C52" s="26"/>
      <c r="D52" s="26"/>
      <c r="E52" s="26">
        <v>62</v>
      </c>
      <c r="F52" s="26"/>
      <c r="G52" s="26">
        <v>62</v>
      </c>
      <c r="H52" s="26"/>
      <c r="I52" s="26"/>
      <c r="J52" s="26"/>
      <c r="K52" s="26">
        <v>62</v>
      </c>
      <c r="L52" s="26"/>
      <c r="M52" s="26"/>
      <c r="N52" s="26"/>
      <c r="O52" s="26">
        <v>186</v>
      </c>
      <c r="P52" s="26">
        <v>62</v>
      </c>
      <c r="Q52" s="26">
        <v>2456</v>
      </c>
      <c r="R52" s="26"/>
      <c r="S52" s="26"/>
      <c r="T52" s="26">
        <v>62</v>
      </c>
      <c r="U52" s="26"/>
      <c r="V52" s="26"/>
      <c r="W52" s="26"/>
      <c r="X52" s="26"/>
      <c r="Y52" s="26"/>
      <c r="Z52" s="26">
        <v>5168</v>
      </c>
      <c r="AA52" s="26"/>
      <c r="AB52" s="26">
        <v>7748</v>
      </c>
      <c r="AC52" s="26">
        <v>1717</v>
      </c>
      <c r="AD52" s="26">
        <v>1717</v>
      </c>
      <c r="AE52" s="26">
        <v>9651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2:62" s="20" customFormat="1" ht="17" x14ac:dyDescent="0.45">
      <c r="B53" s="54" t="s">
        <v>280</v>
      </c>
      <c r="C53" s="26"/>
      <c r="D53" s="26"/>
      <c r="E53" s="26">
        <v>5266</v>
      </c>
      <c r="F53" s="26">
        <v>62</v>
      </c>
      <c r="G53" s="26"/>
      <c r="H53" s="26">
        <v>136823</v>
      </c>
      <c r="I53" s="26">
        <v>81592</v>
      </c>
      <c r="J53" s="26">
        <v>97670</v>
      </c>
      <c r="K53" s="26">
        <v>108615</v>
      </c>
      <c r="L53" s="26">
        <v>105275</v>
      </c>
      <c r="M53" s="26">
        <v>52110</v>
      </c>
      <c r="N53" s="26"/>
      <c r="O53" s="26">
        <v>587413</v>
      </c>
      <c r="P53" s="26">
        <v>8149</v>
      </c>
      <c r="Q53" s="26">
        <v>8102</v>
      </c>
      <c r="R53" s="26"/>
      <c r="S53" s="26">
        <v>62</v>
      </c>
      <c r="T53" s="26">
        <v>8576</v>
      </c>
      <c r="U53" s="26">
        <v>10811</v>
      </c>
      <c r="V53" s="26">
        <v>6356</v>
      </c>
      <c r="W53" s="26">
        <v>600</v>
      </c>
      <c r="X53" s="26">
        <v>1415</v>
      </c>
      <c r="Y53" s="26">
        <v>3277</v>
      </c>
      <c r="Z53" s="26">
        <v>3542</v>
      </c>
      <c r="AA53" s="26">
        <v>3116</v>
      </c>
      <c r="AB53" s="26">
        <v>54006</v>
      </c>
      <c r="AC53" s="26">
        <v>8344</v>
      </c>
      <c r="AD53" s="26">
        <v>8344</v>
      </c>
      <c r="AE53" s="26">
        <v>649763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2:62" s="45" customFormat="1" ht="17" x14ac:dyDescent="0.45">
      <c r="B54" s="43" t="s">
        <v>46</v>
      </c>
      <c r="C54" s="26"/>
      <c r="D54" s="26"/>
      <c r="E54" s="26"/>
      <c r="F54" s="26"/>
      <c r="G54" s="26"/>
      <c r="H54" s="26">
        <v>136164</v>
      </c>
      <c r="I54" s="26">
        <v>81592</v>
      </c>
      <c r="J54" s="26">
        <v>97484</v>
      </c>
      <c r="K54" s="26">
        <v>108615</v>
      </c>
      <c r="L54" s="26">
        <v>105275</v>
      </c>
      <c r="M54" s="26">
        <v>52110</v>
      </c>
      <c r="N54" s="26"/>
      <c r="O54" s="26">
        <v>581240</v>
      </c>
      <c r="P54" s="26">
        <v>8149</v>
      </c>
      <c r="Q54" s="26">
        <v>6465</v>
      </c>
      <c r="R54" s="26"/>
      <c r="S54" s="26"/>
      <c r="T54" s="26">
        <v>8576</v>
      </c>
      <c r="U54" s="26"/>
      <c r="V54" s="26"/>
      <c r="W54" s="26"/>
      <c r="X54" s="26"/>
      <c r="Y54" s="26"/>
      <c r="Z54" s="26"/>
      <c r="AA54" s="26"/>
      <c r="AB54" s="26">
        <v>23190</v>
      </c>
      <c r="AC54" s="26"/>
      <c r="AD54" s="26"/>
      <c r="AE54" s="26">
        <v>604430</v>
      </c>
      <c r="AF54"/>
      <c r="AG5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</row>
    <row r="55" spans="2:62" s="20" customFormat="1" ht="17" x14ac:dyDescent="0.45">
      <c r="B55" s="43" t="s">
        <v>45</v>
      </c>
      <c r="C55" s="26"/>
      <c r="D55" s="26"/>
      <c r="E55" s="26">
        <v>1198</v>
      </c>
      <c r="F55" s="26">
        <v>62</v>
      </c>
      <c r="G55" s="26"/>
      <c r="H55" s="26"/>
      <c r="I55" s="26"/>
      <c r="J55" s="26"/>
      <c r="K55" s="26"/>
      <c r="L55" s="26"/>
      <c r="M55" s="26"/>
      <c r="N55" s="26"/>
      <c r="O55" s="26">
        <v>1260</v>
      </c>
      <c r="P55" s="26"/>
      <c r="Q55" s="26">
        <v>1637</v>
      </c>
      <c r="R55" s="26"/>
      <c r="S55" s="26">
        <v>62</v>
      </c>
      <c r="T55" s="26"/>
      <c r="U55" s="26">
        <v>10651</v>
      </c>
      <c r="V55" s="26">
        <v>5606</v>
      </c>
      <c r="W55" s="26"/>
      <c r="X55" s="26"/>
      <c r="Y55" s="26"/>
      <c r="Z55" s="26"/>
      <c r="AA55" s="26"/>
      <c r="AB55" s="26">
        <v>17956</v>
      </c>
      <c r="AC55" s="26"/>
      <c r="AD55" s="26"/>
      <c r="AE55" s="26">
        <v>19216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2:62" s="20" customFormat="1" ht="17" x14ac:dyDescent="0.45">
      <c r="B56" s="43" t="s">
        <v>44</v>
      </c>
      <c r="C56" s="26"/>
      <c r="D56" s="26"/>
      <c r="E56" s="26">
        <v>4068</v>
      </c>
      <c r="F56" s="26"/>
      <c r="G56" s="26"/>
      <c r="H56" s="26">
        <v>659</v>
      </c>
      <c r="I56" s="26"/>
      <c r="J56" s="26"/>
      <c r="K56" s="26"/>
      <c r="L56" s="26"/>
      <c r="M56" s="26"/>
      <c r="N56" s="26"/>
      <c r="O56" s="26">
        <v>4727</v>
      </c>
      <c r="P56" s="26"/>
      <c r="Q56" s="26"/>
      <c r="R56" s="26"/>
      <c r="S56" s="26"/>
      <c r="T56" s="26"/>
      <c r="U56" s="26">
        <v>160</v>
      </c>
      <c r="V56" s="26">
        <v>750</v>
      </c>
      <c r="W56" s="26">
        <v>450</v>
      </c>
      <c r="X56" s="26">
        <v>1415</v>
      </c>
      <c r="Y56" s="26">
        <v>2781</v>
      </c>
      <c r="Z56" s="26">
        <v>3294</v>
      </c>
      <c r="AA56" s="26">
        <v>2620</v>
      </c>
      <c r="AB56" s="26">
        <v>11470</v>
      </c>
      <c r="AC56" s="26">
        <v>1341</v>
      </c>
      <c r="AD56" s="26">
        <v>1341</v>
      </c>
      <c r="AE56" s="26">
        <v>17538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2:62" s="20" customFormat="1" ht="17" x14ac:dyDescent="0.45">
      <c r="B57" s="43" t="s">
        <v>42</v>
      </c>
      <c r="C57" s="26"/>
      <c r="D57" s="26"/>
      <c r="E57" s="26"/>
      <c r="F57" s="26"/>
      <c r="G57" s="26"/>
      <c r="H57" s="26"/>
      <c r="I57" s="26"/>
      <c r="J57" s="26">
        <v>186</v>
      </c>
      <c r="K57" s="26"/>
      <c r="L57" s="26"/>
      <c r="M57" s="26"/>
      <c r="N57" s="26"/>
      <c r="O57" s="26">
        <v>186</v>
      </c>
      <c r="P57" s="26"/>
      <c r="Q57" s="26"/>
      <c r="R57" s="26"/>
      <c r="S57" s="26"/>
      <c r="T57" s="26"/>
      <c r="U57" s="26"/>
      <c r="V57" s="26"/>
      <c r="W57" s="26">
        <v>150</v>
      </c>
      <c r="X57" s="26"/>
      <c r="Y57" s="26">
        <v>496</v>
      </c>
      <c r="Z57" s="26">
        <v>248</v>
      </c>
      <c r="AA57" s="26">
        <v>496</v>
      </c>
      <c r="AB57" s="26">
        <v>1390</v>
      </c>
      <c r="AC57" s="26">
        <v>7003</v>
      </c>
      <c r="AD57" s="26">
        <v>7003</v>
      </c>
      <c r="AE57" s="26">
        <v>8579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2:62" s="20" customFormat="1" ht="17" x14ac:dyDescent="0.45">
      <c r="B58" s="54" t="s">
        <v>277</v>
      </c>
      <c r="C58" s="26">
        <v>182</v>
      </c>
      <c r="D58" s="26">
        <v>1132</v>
      </c>
      <c r="E58" s="26">
        <v>1909</v>
      </c>
      <c r="F58" s="26">
        <v>728</v>
      </c>
      <c r="G58" s="26">
        <v>390</v>
      </c>
      <c r="H58" s="26">
        <v>390</v>
      </c>
      <c r="I58" s="26">
        <v>1904</v>
      </c>
      <c r="J58" s="26">
        <v>4174</v>
      </c>
      <c r="K58" s="26">
        <v>525</v>
      </c>
      <c r="L58" s="26">
        <v>495</v>
      </c>
      <c r="M58" s="26">
        <v>734</v>
      </c>
      <c r="N58" s="26">
        <v>6614</v>
      </c>
      <c r="O58" s="26">
        <v>19177</v>
      </c>
      <c r="P58" s="26">
        <v>2702</v>
      </c>
      <c r="Q58" s="26">
        <v>2456</v>
      </c>
      <c r="R58" s="26">
        <v>3274</v>
      </c>
      <c r="S58" s="26">
        <v>5243</v>
      </c>
      <c r="T58" s="26"/>
      <c r="U58" s="26"/>
      <c r="V58" s="26"/>
      <c r="W58" s="26"/>
      <c r="X58" s="26"/>
      <c r="Y58" s="26"/>
      <c r="Z58" s="26">
        <v>7661</v>
      </c>
      <c r="AA58" s="26">
        <v>132</v>
      </c>
      <c r="AB58" s="26">
        <v>21468</v>
      </c>
      <c r="AC58" s="26">
        <v>13111</v>
      </c>
      <c r="AD58" s="26">
        <v>13111</v>
      </c>
      <c r="AE58" s="26">
        <v>53756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2:62" s="20" customFormat="1" ht="17" x14ac:dyDescent="0.45">
      <c r="B59" s="43" t="s">
        <v>45</v>
      </c>
      <c r="C59" s="26"/>
      <c r="D59" s="26">
        <v>131</v>
      </c>
      <c r="E59" s="26"/>
      <c r="F59" s="26"/>
      <c r="G59" s="26"/>
      <c r="H59" s="26"/>
      <c r="I59" s="26"/>
      <c r="J59" s="26">
        <v>2791</v>
      </c>
      <c r="K59" s="26"/>
      <c r="L59" s="26"/>
      <c r="M59" s="26">
        <v>734</v>
      </c>
      <c r="N59" s="26">
        <v>6614</v>
      </c>
      <c r="O59" s="26">
        <v>10270</v>
      </c>
      <c r="P59" s="26">
        <v>2702</v>
      </c>
      <c r="Q59" s="26">
        <v>2456</v>
      </c>
      <c r="R59" s="26">
        <v>3274</v>
      </c>
      <c r="S59" s="26">
        <v>5243</v>
      </c>
      <c r="T59" s="26"/>
      <c r="U59" s="26"/>
      <c r="V59" s="26"/>
      <c r="W59" s="26"/>
      <c r="X59" s="26"/>
      <c r="Y59" s="26"/>
      <c r="Z59" s="26">
        <v>7661</v>
      </c>
      <c r="AA59" s="26"/>
      <c r="AB59" s="26">
        <v>21336</v>
      </c>
      <c r="AC59" s="26"/>
      <c r="AD59" s="26"/>
      <c r="AE59" s="26">
        <v>31606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2:62" s="20" customFormat="1" ht="17" x14ac:dyDescent="0.45">
      <c r="B60" s="43" t="s">
        <v>42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>
        <v>13111</v>
      </c>
      <c r="AD60" s="26">
        <v>13111</v>
      </c>
      <c r="AE60" s="26">
        <v>13111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2:62" s="20" customFormat="1" ht="17" x14ac:dyDescent="0.45">
      <c r="B61" s="43" t="s">
        <v>44</v>
      </c>
      <c r="C61" s="26">
        <v>182</v>
      </c>
      <c r="D61" s="26">
        <v>1001</v>
      </c>
      <c r="E61" s="26">
        <v>1909</v>
      </c>
      <c r="F61" s="26">
        <v>728</v>
      </c>
      <c r="G61" s="26">
        <v>390</v>
      </c>
      <c r="H61" s="26">
        <v>390</v>
      </c>
      <c r="I61" s="26">
        <v>1904</v>
      </c>
      <c r="J61" s="26">
        <v>1383</v>
      </c>
      <c r="K61" s="26">
        <v>525</v>
      </c>
      <c r="L61" s="26">
        <v>495</v>
      </c>
      <c r="M61" s="26"/>
      <c r="N61" s="26"/>
      <c r="O61" s="26">
        <v>8907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>
        <v>132</v>
      </c>
      <c r="AB61" s="26">
        <v>132</v>
      </c>
      <c r="AC61" s="26"/>
      <c r="AD61" s="26"/>
      <c r="AE61" s="26">
        <v>9039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2:62" s="20" customFormat="1" ht="17" x14ac:dyDescent="0.45">
      <c r="B62" s="27" t="s">
        <v>35</v>
      </c>
      <c r="C62" s="26">
        <v>39565</v>
      </c>
      <c r="D62" s="26">
        <v>29833</v>
      </c>
      <c r="E62" s="26">
        <v>31654</v>
      </c>
      <c r="F62" s="26">
        <v>23089</v>
      </c>
      <c r="G62" s="26">
        <v>383881</v>
      </c>
      <c r="H62" s="26">
        <v>335342</v>
      </c>
      <c r="I62" s="26">
        <v>150805</v>
      </c>
      <c r="J62" s="26">
        <v>192609</v>
      </c>
      <c r="K62" s="26">
        <v>139134</v>
      </c>
      <c r="L62" s="26">
        <v>142555</v>
      </c>
      <c r="M62" s="26">
        <v>52910</v>
      </c>
      <c r="N62" s="26">
        <v>15379</v>
      </c>
      <c r="O62" s="26">
        <v>1536756</v>
      </c>
      <c r="P62" s="26">
        <v>247976</v>
      </c>
      <c r="Q62" s="26">
        <v>265252</v>
      </c>
      <c r="R62" s="26">
        <v>101053</v>
      </c>
      <c r="S62" s="26">
        <v>17959</v>
      </c>
      <c r="T62" s="26">
        <v>59482</v>
      </c>
      <c r="U62" s="26">
        <v>148429</v>
      </c>
      <c r="V62" s="26">
        <v>234397</v>
      </c>
      <c r="W62" s="26">
        <v>206128</v>
      </c>
      <c r="X62" s="26">
        <v>474279</v>
      </c>
      <c r="Y62" s="26">
        <v>494102</v>
      </c>
      <c r="Z62" s="26">
        <v>270589</v>
      </c>
      <c r="AA62" s="26">
        <v>27650</v>
      </c>
      <c r="AB62" s="26">
        <v>2547296</v>
      </c>
      <c r="AC62" s="26">
        <v>24776</v>
      </c>
      <c r="AD62" s="26">
        <v>24776</v>
      </c>
      <c r="AE62" s="26">
        <v>4108828</v>
      </c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62" s="45" customFormat="1" ht="17" x14ac:dyDescent="0.45">
      <c r="B63"/>
      <c r="C63"/>
      <c r="D63"/>
      <c r="E63"/>
      <c r="F63"/>
      <c r="G63"/>
      <c r="H63"/>
      <c r="I63"/>
      <c r="J63"/>
      <c r="K63" s="49" t="s">
        <v>264</v>
      </c>
      <c r="L63" s="41">
        <f>SUM(L60:L62)</f>
        <v>143050</v>
      </c>
      <c r="M63" s="41">
        <f>SUM(M60:M62)</f>
        <v>52910</v>
      </c>
      <c r="N63" s="41">
        <f>SUM(N60:N62)</f>
        <v>15379</v>
      </c>
      <c r="O63" s="41">
        <f>SUM(O60:O62)</f>
        <v>1545663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</row>
    <row r="64" spans="2:62" s="20" customFormat="1" ht="17" x14ac:dyDescent="0.45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s="20" customFormat="1" ht="17" x14ac:dyDescent="0.4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s="20" customFormat="1" ht="17" x14ac:dyDescent="0.45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s="20" customFormat="1" ht="17" x14ac:dyDescent="0.45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s="20" customFormat="1" ht="17" x14ac:dyDescent="0.4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s="20" customFormat="1" ht="17" x14ac:dyDescent="0.4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s="20" customFormat="1" ht="17" x14ac:dyDescent="0.4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s="20" customFormat="1" ht="17" x14ac:dyDescent="0.4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s="45" customFormat="1" ht="17" x14ac:dyDescent="0.4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</row>
    <row r="73" spans="2:55" s="20" customFormat="1" ht="17" x14ac:dyDescent="0.4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s="20" customFormat="1" ht="17" x14ac:dyDescent="0.4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s="20" customFormat="1" ht="17" x14ac:dyDescent="0.4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2:55" ht="17" x14ac:dyDescent="0.4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2:55" ht="17" x14ac:dyDescent="0.4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2:55" ht="17" x14ac:dyDescent="0.4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 spans="2:55" ht="17" x14ac:dyDescent="0.4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 spans="2:55" s="46" customFormat="1" ht="17" x14ac:dyDescent="0.4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 s="44"/>
    </row>
    <row r="81" spans="2:30" ht="17" x14ac:dyDescent="0.4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 spans="2:30" ht="17" x14ac:dyDescent="0.4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 spans="2:30" ht="17" x14ac:dyDescent="0.4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 spans="2:30" ht="17" x14ac:dyDescent="0.4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2:30" ht="17" x14ac:dyDescent="0.4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2:30" ht="17" x14ac:dyDescent="0.4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2:30" ht="17" x14ac:dyDescent="0.4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2:30" ht="17" x14ac:dyDescent="0.4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2:30" ht="17" x14ac:dyDescent="0.4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2:30" ht="17" x14ac:dyDescent="0.4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2:30" ht="17" x14ac:dyDescent="0.4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2:30" ht="17" x14ac:dyDescent="0.4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2:30" ht="17" x14ac:dyDescent="0.4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2:30" ht="17" x14ac:dyDescent="0.4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2:30" ht="17" x14ac:dyDescent="0.4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2:30" ht="17" x14ac:dyDescent="0.4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2:30" ht="17" x14ac:dyDescent="0.4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2:30" ht="17" x14ac:dyDescent="0.4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2:30" ht="17" x14ac:dyDescent="0.4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2:30" ht="17" x14ac:dyDescent="0.4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 spans="2:30" ht="17" x14ac:dyDescent="0.4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30" ht="17" x14ac:dyDescent="0.4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30" ht="17" x14ac:dyDescent="0.4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30" ht="17" x14ac:dyDescent="0.4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30" ht="17" x14ac:dyDescent="0.4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30" ht="17" x14ac:dyDescent="0.4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30" ht="17" x14ac:dyDescent="0.4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30" ht="17" x14ac:dyDescent="0.4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30" ht="17" x14ac:dyDescent="0.4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30" ht="17" x14ac:dyDescent="0.4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30" ht="17" x14ac:dyDescent="0.4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30" ht="17" x14ac:dyDescent="0.4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ht="17" x14ac:dyDescent="0.4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ht="17" x14ac:dyDescent="0.4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ht="17" x14ac:dyDescent="0.4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ht="17" x14ac:dyDescent="0.4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ht="17" x14ac:dyDescent="0.4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ht="17" x14ac:dyDescent="0.4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ht="17" x14ac:dyDescent="0.4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ht="17" x14ac:dyDescent="0.4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ht="17" x14ac:dyDescent="0.4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ht="17" x14ac:dyDescent="0.4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ht="17" x14ac:dyDescent="0.4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ht="17" x14ac:dyDescent="0.4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ht="17" x14ac:dyDescent="0.4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ht="17" x14ac:dyDescent="0.4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ht="17" x14ac:dyDescent="0.4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ht="17" x14ac:dyDescent="0.4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ht="17" x14ac:dyDescent="0.4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ht="17" x14ac:dyDescent="0.4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ht="17" x14ac:dyDescent="0.4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ht="17" x14ac:dyDescent="0.4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ht="17" x14ac:dyDescent="0.4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ht="17" x14ac:dyDescent="0.4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ht="17" x14ac:dyDescent="0.4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ht="17" x14ac:dyDescent="0.4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ht="17" x14ac:dyDescent="0.4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ht="17" x14ac:dyDescent="0.4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ht="17" x14ac:dyDescent="0.4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ht="17" x14ac:dyDescent="0.4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ht="17" x14ac:dyDescent="0.4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ht="17" x14ac:dyDescent="0.4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ht="17" x14ac:dyDescent="0.4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ht="17" x14ac:dyDescent="0.4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ht="17" x14ac:dyDescent="0.4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ht="17" x14ac:dyDescent="0.45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ht="17" x14ac:dyDescent="0.45"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</row>
    <row r="148" spans="2:27" x14ac:dyDescent="0.45">
      <c r="B148" s="40"/>
      <c r="C148" s="40"/>
      <c r="D148" s="40"/>
      <c r="E148" s="40"/>
      <c r="F148" s="40"/>
      <c r="G148" s="40"/>
      <c r="H148" s="40"/>
    </row>
    <row r="149" spans="2:27" ht="17" x14ac:dyDescent="0.45">
      <c r="B149" s="40"/>
      <c r="C149" s="47"/>
      <c r="D149" s="47" t="s">
        <v>210</v>
      </c>
      <c r="E149" s="47" t="s">
        <v>211</v>
      </c>
      <c r="F149" s="47" t="s">
        <v>212</v>
      </c>
      <c r="G149" s="47" t="s">
        <v>213</v>
      </c>
      <c r="H149" s="40"/>
    </row>
    <row r="150" spans="2:27" ht="17" x14ac:dyDescent="0.45">
      <c r="B150" s="40"/>
      <c r="C150" s="47" t="s">
        <v>168</v>
      </c>
      <c r="D150" s="41">
        <f>SUM($C43:$E43)</f>
        <v>91522</v>
      </c>
      <c r="E150" s="41">
        <f>SUM($F43:$L43)</f>
        <v>509022</v>
      </c>
      <c r="F150" s="41">
        <f>SUM($M43:$N43)</f>
        <v>8765</v>
      </c>
      <c r="G150" s="41">
        <f>SUM($O43:$P43)</f>
        <v>846309</v>
      </c>
      <c r="H150" s="40"/>
    </row>
    <row r="151" spans="2:27" ht="17" x14ac:dyDescent="0.45">
      <c r="B151" s="40"/>
      <c r="C151" s="47" t="s">
        <v>176</v>
      </c>
      <c r="D151" s="41">
        <f>SUM($C50:$E50)</f>
        <v>0</v>
      </c>
      <c r="E151" s="41">
        <f>SUM($F50:$H50)</f>
        <v>0</v>
      </c>
      <c r="F151" s="41">
        <f>SUM($I50:$K50)</f>
        <v>10846</v>
      </c>
      <c r="G151" s="41">
        <f>SUM($L50:$N50)</f>
        <v>23133</v>
      </c>
      <c r="H151" s="40"/>
    </row>
    <row r="152" spans="2:27" ht="17" x14ac:dyDescent="0.45">
      <c r="B152" s="40"/>
      <c r="C152" s="47" t="s">
        <v>133</v>
      </c>
      <c r="D152" s="41" t="e">
        <f>SUM(#REF!)</f>
        <v>#REF!</v>
      </c>
      <c r="E152" s="41" t="e">
        <f>SUM(#REF!)</f>
        <v>#REF!</v>
      </c>
      <c r="F152" s="41" t="e">
        <f>SUM(#REF!)</f>
        <v>#REF!</v>
      </c>
      <c r="G152" s="41" t="e">
        <f>SUM(#REF!)</f>
        <v>#REF!</v>
      </c>
      <c r="H152" s="40"/>
    </row>
    <row r="153" spans="2:27" ht="17" x14ac:dyDescent="0.45">
      <c r="B153" s="40"/>
      <c r="C153" s="47" t="s">
        <v>152</v>
      </c>
      <c r="D153" s="41">
        <f>SUM($C53:$E53)</f>
        <v>5266</v>
      </c>
      <c r="E153" s="41">
        <f>SUM($F53:$H53)</f>
        <v>136885</v>
      </c>
      <c r="F153" s="41">
        <f>SUM($I53:$K53)</f>
        <v>287877</v>
      </c>
      <c r="G153" s="41">
        <f>SUM($L53:$N53)</f>
        <v>157385</v>
      </c>
      <c r="H153" s="40"/>
    </row>
    <row r="154" spans="2:27" ht="17" x14ac:dyDescent="0.45">
      <c r="B154" s="40"/>
      <c r="C154" s="47" t="s">
        <v>135</v>
      </c>
      <c r="D154" s="41">
        <f>SUM($C60:$E60)</f>
        <v>0</v>
      </c>
      <c r="E154" s="41">
        <f>SUM($F60:$H60)</f>
        <v>0</v>
      </c>
      <c r="F154" s="41">
        <f>SUM($I60:$K60)</f>
        <v>0</v>
      </c>
      <c r="G154" s="41">
        <f>SUM($L60:$N60)</f>
        <v>0</v>
      </c>
      <c r="H154" s="40"/>
    </row>
    <row r="155" spans="2:27" ht="17" x14ac:dyDescent="0.45">
      <c r="B155" s="40"/>
      <c r="C155" s="47" t="s">
        <v>146</v>
      </c>
      <c r="D155" s="41">
        <f>SUM($C66:$E66)</f>
        <v>0</v>
      </c>
      <c r="E155" s="41">
        <f>SUM($F66:$H66)</f>
        <v>0</v>
      </c>
      <c r="F155" s="41">
        <f>SUM($I66:$K66)</f>
        <v>0</v>
      </c>
      <c r="G155" s="41">
        <f>SUM($L66:$N66)</f>
        <v>0</v>
      </c>
      <c r="H155" s="40"/>
    </row>
    <row r="156" spans="2:27" ht="17" x14ac:dyDescent="0.45">
      <c r="B156" s="40"/>
      <c r="C156" s="47" t="s">
        <v>137</v>
      </c>
      <c r="D156" s="41">
        <f>SUM($C71:$E71)</f>
        <v>0</v>
      </c>
      <c r="E156" s="41">
        <f>SUM($F71:$H71)</f>
        <v>0</v>
      </c>
      <c r="F156" s="41">
        <f>SUM($I71:$K71)</f>
        <v>0</v>
      </c>
      <c r="G156" s="41">
        <f>SUM($L71:$N71)</f>
        <v>0</v>
      </c>
      <c r="H156" s="40"/>
    </row>
    <row r="157" spans="2:27" ht="17" x14ac:dyDescent="0.45">
      <c r="B157" s="40"/>
      <c r="C157" s="47" t="s">
        <v>170</v>
      </c>
      <c r="D157" s="41">
        <f>SUM($C77:$E77)</f>
        <v>0</v>
      </c>
      <c r="E157" s="41">
        <f>SUM($F77:$H77)</f>
        <v>0</v>
      </c>
      <c r="F157" s="41">
        <f>SUM($I77:$K77)</f>
        <v>0</v>
      </c>
      <c r="G157" s="41">
        <f>SUM($L77:$N77)</f>
        <v>0</v>
      </c>
      <c r="H157" s="40"/>
    </row>
    <row r="158" spans="2:27" ht="17" x14ac:dyDescent="0.45">
      <c r="B158" s="40"/>
      <c r="C158" s="40" t="s">
        <v>173</v>
      </c>
      <c r="D158" s="41">
        <f>SUM($C83:$E83)</f>
        <v>0</v>
      </c>
      <c r="E158" s="41">
        <f>SUM($F83:$H83)</f>
        <v>0</v>
      </c>
      <c r="F158" s="41">
        <f>SUM($I83:$K83)</f>
        <v>0</v>
      </c>
      <c r="G158" s="41">
        <f>SUM($L83:$N83)</f>
        <v>0</v>
      </c>
      <c r="H158" s="40"/>
    </row>
    <row r="159" spans="2:27" ht="17" x14ac:dyDescent="0.45">
      <c r="B159" s="40"/>
      <c r="C159" s="40" t="s">
        <v>136</v>
      </c>
      <c r="D159" s="41">
        <f>SUM($C88:$E88)</f>
        <v>0</v>
      </c>
      <c r="E159" s="41">
        <f>SUM($F88:$H88)</f>
        <v>0</v>
      </c>
      <c r="F159" s="41">
        <f>SUM($I88:$K88)</f>
        <v>0</v>
      </c>
      <c r="G159" s="41">
        <f>SUM($L88:$N88)</f>
        <v>0</v>
      </c>
      <c r="H159" s="40"/>
    </row>
    <row r="160" spans="2:27" ht="17" x14ac:dyDescent="0.45">
      <c r="B160" s="40"/>
      <c r="C160" s="40" t="s">
        <v>214</v>
      </c>
      <c r="D160" s="41" t="e">
        <f>SUM(D150:D159)</f>
        <v>#REF!</v>
      </c>
      <c r="E160" s="41" t="e">
        <f>SUM(E150:E159)</f>
        <v>#REF!</v>
      </c>
      <c r="F160" s="41" t="e">
        <f>SUM(F150:F159)</f>
        <v>#REF!</v>
      </c>
      <c r="G160" s="41" t="e">
        <f>SUM(G150:G159)</f>
        <v>#REF!</v>
      </c>
      <c r="H160" s="40"/>
    </row>
    <row r="161" spans="2:8" x14ac:dyDescent="0.45">
      <c r="B161" s="40"/>
      <c r="C161" s="40"/>
      <c r="D161" s="40"/>
      <c r="E161" s="40"/>
      <c r="F161" s="40"/>
      <c r="G161" s="40"/>
      <c r="H161" s="40"/>
    </row>
  </sheetData>
  <mergeCells count="13">
    <mergeCell ref="B10:N10"/>
    <mergeCell ref="B38:C38"/>
    <mergeCell ref="B11:N11"/>
    <mergeCell ref="F15:H15"/>
    <mergeCell ref="B15:C15"/>
    <mergeCell ref="B12:N12"/>
    <mergeCell ref="B13:N13"/>
    <mergeCell ref="B4:N4"/>
    <mergeCell ref="B5:N5"/>
    <mergeCell ref="B9:N9"/>
    <mergeCell ref="B6:N6"/>
    <mergeCell ref="B7:N7"/>
    <mergeCell ref="B8:N8"/>
  </mergeCell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A041-C8FA-4092-96B6-11F09FD99740}">
  <dimension ref="A3:B10"/>
  <sheetViews>
    <sheetView workbookViewId="0"/>
  </sheetViews>
  <sheetFormatPr defaultRowHeight="17" x14ac:dyDescent="0.45"/>
  <cols>
    <col min="1" max="1" width="12" bestFit="1" customWidth="1"/>
    <col min="2" max="2" width="18.75" style="18" bestFit="1" customWidth="1"/>
  </cols>
  <sheetData>
    <row r="3" spans="1:2" x14ac:dyDescent="0.45">
      <c r="A3" s="16" t="s">
        <v>25</v>
      </c>
      <c r="B3" s="18" t="s">
        <v>22</v>
      </c>
    </row>
    <row r="4" spans="1:2" x14ac:dyDescent="0.45">
      <c r="A4" s="17" t="s">
        <v>31</v>
      </c>
      <c r="B4" s="18">
        <v>1736626</v>
      </c>
    </row>
    <row r="5" spans="1:2" x14ac:dyDescent="0.45">
      <c r="A5" s="17" t="s">
        <v>10</v>
      </c>
      <c r="B5" s="18">
        <v>1714246</v>
      </c>
    </row>
    <row r="6" spans="1:2" x14ac:dyDescent="0.45">
      <c r="A6" s="17" t="s">
        <v>0</v>
      </c>
      <c r="B6" s="18">
        <v>194769</v>
      </c>
    </row>
    <row r="7" spans="1:2" x14ac:dyDescent="0.45">
      <c r="A7" s="17" t="s">
        <v>5</v>
      </c>
      <c r="B7" s="18">
        <v>188423</v>
      </c>
    </row>
    <row r="8" spans="1:2" x14ac:dyDescent="0.45">
      <c r="A8" s="17" t="s">
        <v>6</v>
      </c>
      <c r="B8" s="18">
        <v>70419</v>
      </c>
    </row>
    <row r="9" spans="1:2" x14ac:dyDescent="0.45">
      <c r="A9" s="17" t="s">
        <v>33</v>
      </c>
    </row>
    <row r="10" spans="1:2" x14ac:dyDescent="0.45">
      <c r="A10" s="17" t="s">
        <v>24</v>
      </c>
      <c r="B10" s="18">
        <v>3904483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BA90-3A52-440F-B6BD-27B10FC455FC}">
  <dimension ref="A3:H11"/>
  <sheetViews>
    <sheetView workbookViewId="0">
      <selection activeCell="A3" sqref="A3"/>
    </sheetView>
  </sheetViews>
  <sheetFormatPr defaultRowHeight="17" x14ac:dyDescent="0.45"/>
  <cols>
    <col min="1" max="1" width="18.75" bestFit="1" customWidth="1"/>
    <col min="2" max="3" width="12.33203125" style="18" bestFit="1" customWidth="1"/>
    <col min="4" max="5" width="10.5" style="18" bestFit="1" customWidth="1"/>
    <col min="6" max="6" width="9.33203125" style="18" bestFit="1" customWidth="1"/>
    <col min="7" max="7" width="11.25" style="18" bestFit="1" customWidth="1"/>
    <col min="8" max="8" width="12.33203125" style="18" bestFit="1" customWidth="1"/>
  </cols>
  <sheetData>
    <row r="3" spans="1:8" x14ac:dyDescent="0.45">
      <c r="A3" s="16" t="s">
        <v>22</v>
      </c>
      <c r="B3" s="19" t="s">
        <v>23</v>
      </c>
    </row>
    <row r="4" spans="1:8" x14ac:dyDescent="0.45">
      <c r="A4" s="16" t="s">
        <v>25</v>
      </c>
      <c r="B4" s="18" t="s">
        <v>31</v>
      </c>
      <c r="C4" s="18" t="s">
        <v>10</v>
      </c>
      <c r="D4" s="18" t="s">
        <v>0</v>
      </c>
      <c r="E4" s="18" t="s">
        <v>5</v>
      </c>
      <c r="F4" s="18" t="s">
        <v>6</v>
      </c>
      <c r="G4" s="18" t="s">
        <v>33</v>
      </c>
      <c r="H4" s="18" t="s">
        <v>24</v>
      </c>
    </row>
    <row r="5" spans="1:8" x14ac:dyDescent="0.45">
      <c r="A5" s="17"/>
    </row>
    <row r="6" spans="1:8" x14ac:dyDescent="0.45">
      <c r="A6" s="17" t="s">
        <v>26</v>
      </c>
      <c r="B6" s="18">
        <v>1154378</v>
      </c>
      <c r="C6" s="18">
        <v>212824</v>
      </c>
      <c r="E6" s="18">
        <v>32456</v>
      </c>
      <c r="F6" s="18">
        <v>19237</v>
      </c>
      <c r="H6" s="18">
        <v>1418895</v>
      </c>
    </row>
    <row r="7" spans="1:8" x14ac:dyDescent="0.45">
      <c r="A7" s="17" t="s">
        <v>27</v>
      </c>
      <c r="B7" s="18">
        <v>296426</v>
      </c>
      <c r="C7" s="18">
        <v>406629</v>
      </c>
      <c r="E7" s="18">
        <v>132143</v>
      </c>
      <c r="F7" s="18">
        <v>4347</v>
      </c>
      <c r="H7" s="18">
        <v>839545</v>
      </c>
    </row>
    <row r="8" spans="1:8" x14ac:dyDescent="0.45">
      <c r="A8" s="17" t="s">
        <v>28</v>
      </c>
      <c r="B8" s="18">
        <v>52444</v>
      </c>
      <c r="C8" s="18">
        <v>487046</v>
      </c>
      <c r="E8" s="18">
        <v>16102</v>
      </c>
      <c r="F8" s="18">
        <v>11925</v>
      </c>
      <c r="H8" s="18">
        <v>567517</v>
      </c>
    </row>
    <row r="9" spans="1:8" x14ac:dyDescent="0.45">
      <c r="A9" s="17" t="s">
        <v>29</v>
      </c>
      <c r="B9" s="18">
        <v>101411</v>
      </c>
      <c r="C9" s="18">
        <v>484811</v>
      </c>
      <c r="D9" s="18">
        <v>156439</v>
      </c>
      <c r="F9" s="18">
        <v>34910</v>
      </c>
      <c r="H9" s="18">
        <v>777571</v>
      </c>
    </row>
    <row r="10" spans="1:8" x14ac:dyDescent="0.45">
      <c r="A10" s="17" t="s">
        <v>30</v>
      </c>
      <c r="B10" s="18">
        <v>131967</v>
      </c>
      <c r="C10" s="18">
        <v>122936</v>
      </c>
      <c r="D10" s="18">
        <v>38330</v>
      </c>
      <c r="E10" s="18">
        <v>7722</v>
      </c>
      <c r="H10" s="18">
        <v>300955</v>
      </c>
    </row>
    <row r="11" spans="1:8" x14ac:dyDescent="0.45">
      <c r="A11" s="17" t="s">
        <v>24</v>
      </c>
      <c r="B11" s="18">
        <v>1736626</v>
      </c>
      <c r="C11" s="18">
        <v>1714246</v>
      </c>
      <c r="D11" s="18">
        <v>194769</v>
      </c>
      <c r="E11" s="18">
        <v>188423</v>
      </c>
      <c r="F11" s="18">
        <v>70419</v>
      </c>
      <c r="H11" s="18">
        <v>3904483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AE2C-9E97-49CF-87BD-588CB555D8EE}">
  <sheetPr>
    <tabColor theme="6"/>
  </sheetPr>
  <dimension ref="B1:BJ160"/>
  <sheetViews>
    <sheetView showGridLines="0" zoomScale="85" zoomScaleNormal="85" workbookViewId="0"/>
  </sheetViews>
  <sheetFormatPr defaultColWidth="8.58203125" defaultRowHeight="15" x14ac:dyDescent="0.45"/>
  <cols>
    <col min="1" max="1" width="2.58203125" style="1" customWidth="1"/>
    <col min="2" max="2" width="14.9140625" style="1" bestFit="1" customWidth="1"/>
    <col min="3" max="31" width="12.58203125" style="1" customWidth="1"/>
    <col min="32" max="33" width="9" style="1" bestFit="1" customWidth="1"/>
    <col min="34" max="35" width="8" style="1" bestFit="1" customWidth="1"/>
    <col min="36" max="37" width="9" style="1" bestFit="1" customWidth="1"/>
    <col min="38" max="38" width="10.33203125" style="1" bestFit="1" customWidth="1"/>
    <col min="39" max="40" width="8" style="1" bestFit="1" customWidth="1"/>
    <col min="41" max="41" width="5.5" style="1" bestFit="1" customWidth="1"/>
    <col min="42" max="42" width="8" style="1" bestFit="1" customWidth="1"/>
    <col min="43" max="46" width="6.5" style="1" bestFit="1" customWidth="1"/>
    <col min="47" max="47" width="10.33203125" style="1" bestFit="1" customWidth="1"/>
    <col min="48" max="48" width="10" style="1" bestFit="1" customWidth="1"/>
    <col min="49" max="51" width="9" style="1" bestFit="1" customWidth="1"/>
    <col min="52" max="52" width="8" style="1" bestFit="1" customWidth="1"/>
    <col min="53" max="53" width="6.5" style="1" bestFit="1" customWidth="1"/>
    <col min="54" max="54" width="10.33203125" style="1" bestFit="1" customWidth="1"/>
    <col min="55" max="56" width="11.58203125" style="1" bestFit="1" customWidth="1"/>
    <col min="57" max="57" width="9" style="1" bestFit="1" customWidth="1"/>
    <col min="58" max="58" width="10" style="1" bestFit="1" customWidth="1"/>
    <col min="59" max="60" width="9" style="1" bestFit="1" customWidth="1"/>
    <col min="61" max="61" width="10" style="1" bestFit="1" customWidth="1"/>
    <col min="62" max="62" width="11.58203125" style="1" bestFit="1" customWidth="1"/>
    <col min="63" max="16384" width="8.58203125" style="1"/>
  </cols>
  <sheetData>
    <row r="1" spans="2:20" ht="10" customHeight="1" x14ac:dyDescent="0.45"/>
    <row r="2" spans="2:20" s="10" customFormat="1" ht="30" customHeight="1" thickBot="1" x14ac:dyDescent="0.5">
      <c r="B2" s="4" t="s">
        <v>965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8"/>
      <c r="R2" s="9"/>
      <c r="S2" s="9"/>
      <c r="T2" s="9"/>
    </row>
    <row r="3" spans="2:20" s="10" customFormat="1" ht="7.15" customHeight="1" x14ac:dyDescent="0.45">
      <c r="C3" s="11"/>
      <c r="E3" s="12"/>
      <c r="P3" s="7"/>
      <c r="Q3" s="8"/>
      <c r="R3" s="9"/>
      <c r="S3" s="9"/>
      <c r="T3" s="9"/>
    </row>
    <row r="4" spans="2:20" s="10" customFormat="1" ht="15" customHeight="1" x14ac:dyDescent="0.35">
      <c r="B4" s="55" t="s">
        <v>20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7"/>
      <c r="O4" s="7"/>
      <c r="P4" s="7"/>
    </row>
    <row r="5" spans="2:20" s="10" customFormat="1" ht="3" customHeight="1" x14ac:dyDescent="0.4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60"/>
      <c r="O5" s="7"/>
      <c r="P5" s="7"/>
    </row>
    <row r="6" spans="2:20" s="10" customFormat="1" ht="15" customHeight="1" x14ac:dyDescent="0.45">
      <c r="B6" s="61" t="s">
        <v>968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3"/>
      <c r="O6" s="7"/>
      <c r="P6" s="7"/>
    </row>
    <row r="7" spans="2:20" s="10" customFormat="1" ht="15" customHeight="1" x14ac:dyDescent="0.45">
      <c r="B7" s="64" t="s">
        <v>966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/>
      <c r="O7" s="7"/>
      <c r="P7" s="7"/>
    </row>
    <row r="8" spans="2:20" s="10" customFormat="1" ht="15" customHeight="1" x14ac:dyDescent="0.45">
      <c r="B8" s="67" t="s">
        <v>967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9"/>
      <c r="O8" s="7"/>
      <c r="P8" s="7"/>
    </row>
    <row r="9" spans="2:20" s="10" customFormat="1" ht="15" customHeight="1" x14ac:dyDescent="0.35">
      <c r="B9" s="55" t="s">
        <v>87</v>
      </c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7"/>
      <c r="O9" s="7"/>
      <c r="P9" s="7"/>
    </row>
    <row r="10" spans="2:20" s="10" customFormat="1" ht="3" customHeight="1" x14ac:dyDescent="0.45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60"/>
      <c r="O10" s="7"/>
      <c r="P10" s="7"/>
    </row>
    <row r="11" spans="2:20" s="10" customFormat="1" ht="15" customHeight="1" x14ac:dyDescent="0.45">
      <c r="B11" s="71" t="s">
        <v>969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3"/>
      <c r="O11" s="7"/>
      <c r="P11" s="7"/>
    </row>
    <row r="12" spans="2:20" s="10" customFormat="1" ht="15" customHeight="1" x14ac:dyDescent="0.45">
      <c r="B12" s="75" t="s">
        <v>972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7"/>
      <c r="O12" s="7"/>
      <c r="P12" s="7"/>
    </row>
    <row r="14" spans="2:20" s="11" customFormat="1" ht="19.149999999999999" customHeight="1" x14ac:dyDescent="0.45">
      <c r="B14" s="74" t="s">
        <v>974</v>
      </c>
      <c r="C14" s="74"/>
      <c r="D14" s="31" t="s">
        <v>21</v>
      </c>
      <c r="F14" s="74" t="s">
        <v>973</v>
      </c>
      <c r="G14" s="74"/>
      <c r="H14" s="74"/>
      <c r="I14" s="11" t="s">
        <v>21</v>
      </c>
      <c r="P14" s="13"/>
      <c r="Q14" s="14"/>
      <c r="S14" s="15"/>
      <c r="T14" s="15"/>
    </row>
    <row r="15" spans="2:20" s="10" customFormat="1" ht="3" customHeight="1" x14ac:dyDescent="0.45">
      <c r="C15" s="11"/>
      <c r="E15" s="12"/>
      <c r="P15" s="7"/>
      <c r="Q15" s="8"/>
      <c r="R15" s="9"/>
      <c r="S15" s="9"/>
      <c r="T15" s="9"/>
    </row>
    <row r="16" spans="2:20" s="10" customFormat="1" ht="15" customHeight="1" x14ac:dyDescent="0.45">
      <c r="C16" s="11"/>
      <c r="E16" s="12"/>
      <c r="P16" s="7"/>
      <c r="Q16" s="8"/>
      <c r="R16" s="9"/>
      <c r="S16" s="9"/>
      <c r="T16" s="9"/>
    </row>
    <row r="17" spans="3:20" s="10" customFormat="1" ht="15" customHeight="1" x14ac:dyDescent="0.45">
      <c r="C17" s="11"/>
      <c r="E17" s="12"/>
      <c r="P17" s="7"/>
      <c r="Q17" s="8"/>
      <c r="R17" s="9"/>
      <c r="S17" s="9"/>
      <c r="T17" s="9"/>
    </row>
    <row r="18" spans="3:20" s="10" customFormat="1" ht="15" customHeight="1" x14ac:dyDescent="0.45">
      <c r="C18" s="11"/>
      <c r="E18" s="12"/>
      <c r="P18" s="7"/>
      <c r="Q18" s="8"/>
      <c r="R18" s="9"/>
      <c r="S18" s="9"/>
      <c r="T18" s="9"/>
    </row>
    <row r="19" spans="3:20" s="10" customFormat="1" ht="15" customHeight="1" x14ac:dyDescent="0.45">
      <c r="C19" s="11"/>
      <c r="E19" s="12"/>
      <c r="P19" s="7"/>
      <c r="Q19" s="8"/>
      <c r="R19" s="9"/>
      <c r="S19" s="9"/>
      <c r="T19" s="9"/>
    </row>
    <row r="20" spans="3:20" s="10" customFormat="1" ht="15" customHeight="1" x14ac:dyDescent="0.45">
      <c r="C20" s="11"/>
      <c r="E20" s="12"/>
      <c r="P20" s="7"/>
      <c r="Q20" s="8"/>
      <c r="R20" s="9"/>
      <c r="S20" s="9"/>
      <c r="T20" s="9"/>
    </row>
    <row r="21" spans="3:20" s="10" customFormat="1" ht="15" customHeight="1" x14ac:dyDescent="0.45">
      <c r="C21" s="11"/>
      <c r="E21" s="12"/>
      <c r="P21" s="7"/>
      <c r="Q21" s="8"/>
      <c r="R21" s="9"/>
      <c r="S21" s="9"/>
      <c r="T21" s="9"/>
    </row>
    <row r="22" spans="3:20" s="10" customFormat="1" ht="15" customHeight="1" x14ac:dyDescent="0.45">
      <c r="C22" s="11"/>
      <c r="E22" s="12"/>
      <c r="P22" s="7"/>
      <c r="Q22" s="8"/>
      <c r="R22" s="9"/>
      <c r="S22" s="9"/>
      <c r="T22" s="9"/>
    </row>
    <row r="23" spans="3:20" s="10" customFormat="1" ht="15" customHeight="1" x14ac:dyDescent="0.45">
      <c r="C23" s="11"/>
      <c r="E23" s="12"/>
      <c r="P23" s="7"/>
      <c r="Q23" s="8"/>
      <c r="R23" s="9"/>
      <c r="S23" s="9"/>
      <c r="T23" s="9"/>
    </row>
    <row r="24" spans="3:20" s="10" customFormat="1" ht="15" customHeight="1" x14ac:dyDescent="0.45">
      <c r="C24" s="11"/>
      <c r="E24" s="12"/>
      <c r="P24" s="7"/>
      <c r="Q24" s="8"/>
      <c r="R24" s="9"/>
      <c r="S24" s="9"/>
      <c r="T24" s="9"/>
    </row>
    <row r="25" spans="3:20" s="10" customFormat="1" ht="15" customHeight="1" x14ac:dyDescent="0.45">
      <c r="C25" s="11"/>
      <c r="E25" s="12"/>
      <c r="P25" s="7"/>
      <c r="Q25" s="8"/>
      <c r="R25" s="9"/>
      <c r="S25" s="9"/>
      <c r="T25" s="9"/>
    </row>
    <row r="26" spans="3:20" s="10" customFormat="1" ht="15" customHeight="1" x14ac:dyDescent="0.45">
      <c r="C26" s="11"/>
      <c r="E26" s="12"/>
      <c r="P26" s="7"/>
      <c r="Q26" s="8"/>
      <c r="R26" s="9"/>
      <c r="S26" s="9"/>
      <c r="T26" s="9"/>
    </row>
    <row r="27" spans="3:20" s="10" customFormat="1" ht="15" customHeight="1" x14ac:dyDescent="0.45">
      <c r="C27" s="11"/>
      <c r="E27" s="12"/>
      <c r="P27" s="7"/>
      <c r="Q27" s="8"/>
      <c r="R27" s="9"/>
      <c r="S27" s="9"/>
      <c r="T27" s="9"/>
    </row>
    <row r="28" spans="3:20" s="10" customFormat="1" ht="15" customHeight="1" x14ac:dyDescent="0.45">
      <c r="C28" s="11"/>
      <c r="E28" s="12"/>
      <c r="P28" s="7"/>
      <c r="Q28" s="8"/>
      <c r="R28" s="9"/>
      <c r="S28" s="9"/>
      <c r="T28" s="9"/>
    </row>
    <row r="29" spans="3:20" s="10" customFormat="1" ht="15" customHeight="1" x14ac:dyDescent="0.45">
      <c r="C29" s="11"/>
      <c r="E29" s="12"/>
      <c r="P29" s="7"/>
      <c r="Q29" s="8"/>
      <c r="R29" s="9"/>
      <c r="S29" s="9"/>
      <c r="T29" s="9"/>
    </row>
    <row r="30" spans="3:20" s="10" customFormat="1" ht="15" customHeight="1" x14ac:dyDescent="0.45">
      <c r="C30" s="11"/>
      <c r="E30" s="12"/>
      <c r="P30" s="7"/>
      <c r="Q30" s="8"/>
      <c r="R30" s="9"/>
      <c r="S30" s="9"/>
      <c r="T30" s="9"/>
    </row>
    <row r="31" spans="3:20" s="10" customFormat="1" ht="15" customHeight="1" x14ac:dyDescent="0.45">
      <c r="C31" s="11"/>
      <c r="E31" s="12"/>
      <c r="P31" s="7"/>
      <c r="Q31" s="8"/>
      <c r="R31" s="9"/>
      <c r="S31" s="9"/>
      <c r="T31" s="9"/>
    </row>
    <row r="32" spans="3:20" s="10" customFormat="1" ht="15" customHeight="1" x14ac:dyDescent="0.45">
      <c r="C32" s="11"/>
      <c r="E32" s="12"/>
      <c r="P32" s="7"/>
      <c r="Q32" s="8"/>
      <c r="R32" s="9"/>
      <c r="S32" s="9"/>
      <c r="T32" s="9"/>
    </row>
    <row r="33" spans="2:62" ht="15" customHeight="1" x14ac:dyDescent="0.45"/>
    <row r="34" spans="2:62" ht="15" customHeight="1" x14ac:dyDescent="0.45"/>
    <row r="35" spans="2:62" ht="15" customHeight="1" x14ac:dyDescent="0.45"/>
    <row r="36" spans="2:62" ht="15" customHeight="1" x14ac:dyDescent="0.45"/>
    <row r="37" spans="2:62" ht="15" customHeight="1" x14ac:dyDescent="0.45">
      <c r="B37" s="78" t="s">
        <v>225</v>
      </c>
      <c r="C37" s="78"/>
      <c r="K37"/>
      <c r="L37"/>
      <c r="M37"/>
      <c r="N37"/>
    </row>
    <row r="38" spans="2:62" ht="3" customHeight="1" x14ac:dyDescent="0.45">
      <c r="C38" s="40" t="s">
        <v>226</v>
      </c>
      <c r="D38" s="40"/>
      <c r="E38" s="40" t="s">
        <v>227</v>
      </c>
      <c r="K38"/>
      <c r="L38"/>
      <c r="M38"/>
      <c r="N38"/>
      <c r="O38" s="40"/>
      <c r="P38" s="40"/>
    </row>
    <row r="39" spans="2:62" s="20" customFormat="1" ht="17" hidden="1" x14ac:dyDescent="0.45">
      <c r="B39" s="25" t="s">
        <v>22</v>
      </c>
      <c r="C39" s="24" t="s">
        <v>23</v>
      </c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2:62" s="20" customFormat="1" ht="17" x14ac:dyDescent="0.45">
      <c r="B40" s="24"/>
      <c r="C40" s="20" t="s">
        <v>925</v>
      </c>
      <c r="O40" s="24" t="s">
        <v>964</v>
      </c>
      <c r="P40" s="20" t="s">
        <v>41</v>
      </c>
      <c r="AB40" s="24" t="s">
        <v>260</v>
      </c>
      <c r="AC40" s="20" t="s">
        <v>224</v>
      </c>
      <c r="AD40" s="24" t="s">
        <v>261</v>
      </c>
      <c r="AE40" s="28" t="s">
        <v>35</v>
      </c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2:62" s="20" customFormat="1" ht="17" x14ac:dyDescent="0.45">
      <c r="B41" s="30" t="s">
        <v>113</v>
      </c>
      <c r="C41" s="20" t="s">
        <v>70</v>
      </c>
      <c r="D41" s="20" t="s">
        <v>956</v>
      </c>
      <c r="E41" s="20" t="s">
        <v>957</v>
      </c>
      <c r="F41" s="20" t="s">
        <v>958</v>
      </c>
      <c r="G41" s="20" t="s">
        <v>959</v>
      </c>
      <c r="H41" s="20" t="s">
        <v>960</v>
      </c>
      <c r="I41" s="20" t="s">
        <v>961</v>
      </c>
      <c r="J41" s="20" t="s">
        <v>962</v>
      </c>
      <c r="K41" s="20" t="s">
        <v>963</v>
      </c>
      <c r="L41" s="20" t="s">
        <v>258</v>
      </c>
      <c r="M41" s="20" t="s">
        <v>69</v>
      </c>
      <c r="N41" s="20" t="s">
        <v>259</v>
      </c>
      <c r="O41" s="24"/>
      <c r="P41" s="20" t="s">
        <v>70</v>
      </c>
      <c r="Q41" s="20" t="s">
        <v>956</v>
      </c>
      <c r="R41" s="20" t="s">
        <v>957</v>
      </c>
      <c r="S41" s="20" t="s">
        <v>958</v>
      </c>
      <c r="T41" s="20" t="s">
        <v>959</v>
      </c>
      <c r="U41" s="20" t="s">
        <v>960</v>
      </c>
      <c r="V41" s="20" t="s">
        <v>961</v>
      </c>
      <c r="W41" s="20" t="s">
        <v>962</v>
      </c>
      <c r="X41" s="20" t="s">
        <v>963</v>
      </c>
      <c r="Y41" s="20" t="s">
        <v>258</v>
      </c>
      <c r="Z41" s="20" t="s">
        <v>69</v>
      </c>
      <c r="AA41" s="20" t="s">
        <v>259</v>
      </c>
      <c r="AB41" s="24"/>
      <c r="AC41" s="20" t="s">
        <v>70</v>
      </c>
      <c r="AD41" s="24"/>
      <c r="AE41" s="28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2:62" s="45" customFormat="1" ht="17" x14ac:dyDescent="0.45">
      <c r="B42" s="54" t="s">
        <v>46</v>
      </c>
      <c r="C42" s="26"/>
      <c r="D42" s="26"/>
      <c r="E42" s="26"/>
      <c r="F42" s="26"/>
      <c r="G42" s="26">
        <v>120478</v>
      </c>
      <c r="H42" s="26">
        <v>295197</v>
      </c>
      <c r="I42" s="26">
        <v>118447</v>
      </c>
      <c r="J42" s="26">
        <v>99054</v>
      </c>
      <c r="K42" s="26">
        <v>138547</v>
      </c>
      <c r="L42" s="26">
        <v>108000</v>
      </c>
      <c r="M42" s="26">
        <v>52110</v>
      </c>
      <c r="N42" s="26">
        <v>8765</v>
      </c>
      <c r="O42" s="26">
        <v>940598</v>
      </c>
      <c r="P42" s="26">
        <v>241210</v>
      </c>
      <c r="Q42" s="26">
        <v>107282</v>
      </c>
      <c r="R42" s="26">
        <v>22205</v>
      </c>
      <c r="S42" s="26">
        <v>78</v>
      </c>
      <c r="T42" s="26">
        <v>19625</v>
      </c>
      <c r="U42" s="26">
        <v>3849</v>
      </c>
      <c r="V42" s="26">
        <v>17028</v>
      </c>
      <c r="W42" s="26">
        <v>18870</v>
      </c>
      <c r="X42" s="26">
        <v>347552</v>
      </c>
      <c r="Y42" s="26">
        <v>324888</v>
      </c>
      <c r="Z42" s="26">
        <v>132159</v>
      </c>
      <c r="AA42" s="26">
        <v>1448</v>
      </c>
      <c r="AB42" s="26">
        <v>1236194</v>
      </c>
      <c r="AC42" s="26"/>
      <c r="AD42" s="26"/>
      <c r="AE42" s="26">
        <v>2176792</v>
      </c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</row>
    <row r="43" spans="2:62" s="20" customFormat="1" ht="17" x14ac:dyDescent="0.45">
      <c r="B43" s="43" t="s">
        <v>916</v>
      </c>
      <c r="C43" s="26"/>
      <c r="D43" s="26"/>
      <c r="E43" s="26"/>
      <c r="F43" s="26"/>
      <c r="G43" s="26">
        <v>107441</v>
      </c>
      <c r="H43" s="26">
        <v>243055</v>
      </c>
      <c r="I43" s="26">
        <v>112831</v>
      </c>
      <c r="J43" s="26">
        <v>96261</v>
      </c>
      <c r="K43" s="26">
        <v>129990</v>
      </c>
      <c r="L43" s="26">
        <v>105638</v>
      </c>
      <c r="M43" s="26">
        <v>47352</v>
      </c>
      <c r="N43" s="26">
        <v>8765</v>
      </c>
      <c r="O43" s="26">
        <v>851333</v>
      </c>
      <c r="P43" s="26">
        <v>202623</v>
      </c>
      <c r="Q43" s="26">
        <v>106537</v>
      </c>
      <c r="R43" s="26">
        <v>15437</v>
      </c>
      <c r="S43" s="26">
        <v>78</v>
      </c>
      <c r="T43" s="26">
        <v>13553</v>
      </c>
      <c r="U43" s="26">
        <v>3849</v>
      </c>
      <c r="V43" s="26">
        <v>17028</v>
      </c>
      <c r="W43" s="26">
        <v>18870</v>
      </c>
      <c r="X43" s="26">
        <v>274498</v>
      </c>
      <c r="Y43" s="26">
        <v>225501</v>
      </c>
      <c r="Z43" s="26">
        <v>129272</v>
      </c>
      <c r="AA43" s="26">
        <v>1448</v>
      </c>
      <c r="AB43" s="26">
        <v>1008694</v>
      </c>
      <c r="AC43" s="26"/>
      <c r="AD43" s="26"/>
      <c r="AE43" s="26">
        <v>1860027</v>
      </c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2:62" s="20" customFormat="1" ht="17" x14ac:dyDescent="0.45">
      <c r="B44" s="43" t="s">
        <v>922</v>
      </c>
      <c r="C44" s="26"/>
      <c r="D44" s="26"/>
      <c r="E44" s="26"/>
      <c r="F44" s="26"/>
      <c r="G44" s="26">
        <v>262</v>
      </c>
      <c r="H44" s="26">
        <v>39206</v>
      </c>
      <c r="I44" s="26">
        <v>2698</v>
      </c>
      <c r="J44" s="26">
        <v>277</v>
      </c>
      <c r="K44" s="26">
        <v>5180</v>
      </c>
      <c r="L44" s="26">
        <v>7</v>
      </c>
      <c r="M44" s="26">
        <v>979</v>
      </c>
      <c r="N44" s="26"/>
      <c r="O44" s="26">
        <v>48609</v>
      </c>
      <c r="P44" s="26">
        <v>38587</v>
      </c>
      <c r="Q44" s="26">
        <v>745</v>
      </c>
      <c r="R44" s="26">
        <v>6768</v>
      </c>
      <c r="S44" s="26"/>
      <c r="T44" s="26">
        <v>6072</v>
      </c>
      <c r="U44" s="26"/>
      <c r="V44" s="26"/>
      <c r="W44" s="26"/>
      <c r="X44" s="26">
        <v>55436</v>
      </c>
      <c r="Y44" s="26">
        <v>98225</v>
      </c>
      <c r="Z44" s="26">
        <v>2371</v>
      </c>
      <c r="AA44" s="26"/>
      <c r="AB44" s="26">
        <v>208204</v>
      </c>
      <c r="AC44" s="26"/>
      <c r="AD44" s="26"/>
      <c r="AE44" s="26">
        <v>256813</v>
      </c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2:62" s="20" customFormat="1" ht="17" x14ac:dyDescent="0.45">
      <c r="B45" s="43" t="s">
        <v>921</v>
      </c>
      <c r="C45" s="26"/>
      <c r="D45" s="26"/>
      <c r="E45" s="26"/>
      <c r="F45" s="26"/>
      <c r="G45" s="26">
        <v>11333</v>
      </c>
      <c r="H45" s="26">
        <v>12936</v>
      </c>
      <c r="I45" s="26">
        <v>2918</v>
      </c>
      <c r="J45" s="26">
        <v>2173</v>
      </c>
      <c r="K45" s="26">
        <v>3153</v>
      </c>
      <c r="L45" s="26">
        <v>1535</v>
      </c>
      <c r="M45" s="26">
        <v>1737</v>
      </c>
      <c r="N45" s="26"/>
      <c r="O45" s="26">
        <v>35785</v>
      </c>
      <c r="P45" s="26"/>
      <c r="Q45" s="26"/>
      <c r="R45" s="26"/>
      <c r="S45" s="26"/>
      <c r="T45" s="26"/>
      <c r="U45" s="26"/>
      <c r="V45" s="26"/>
      <c r="W45" s="26"/>
      <c r="X45" s="26">
        <v>13586</v>
      </c>
      <c r="Y45" s="26"/>
      <c r="Z45" s="26"/>
      <c r="AA45" s="26"/>
      <c r="AB45" s="26">
        <v>13586</v>
      </c>
      <c r="AC45" s="26"/>
      <c r="AD45" s="26"/>
      <c r="AE45" s="26">
        <v>49371</v>
      </c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2:62" s="20" customFormat="1" ht="17" x14ac:dyDescent="0.45">
      <c r="B46" s="43" t="s">
        <v>919</v>
      </c>
      <c r="C46" s="26"/>
      <c r="D46" s="26"/>
      <c r="E46" s="26"/>
      <c r="F46" s="26"/>
      <c r="G46" s="26">
        <v>1256</v>
      </c>
      <c r="H46" s="26"/>
      <c r="I46" s="26"/>
      <c r="J46" s="26"/>
      <c r="K46" s="26"/>
      <c r="L46" s="26"/>
      <c r="M46" s="26">
        <v>1884</v>
      </c>
      <c r="N46" s="26"/>
      <c r="O46" s="26">
        <v>3140</v>
      </c>
      <c r="P46" s="26"/>
      <c r="Q46" s="26"/>
      <c r="R46" s="26"/>
      <c r="S46" s="26"/>
      <c r="T46" s="26"/>
      <c r="U46" s="26"/>
      <c r="V46" s="26"/>
      <c r="W46" s="26"/>
      <c r="X46" s="26">
        <v>4032</v>
      </c>
      <c r="Y46" s="26">
        <v>1162</v>
      </c>
      <c r="Z46" s="26">
        <v>516</v>
      </c>
      <c r="AA46" s="26"/>
      <c r="AB46" s="26">
        <v>5710</v>
      </c>
      <c r="AC46" s="26"/>
      <c r="AD46" s="26"/>
      <c r="AE46" s="26">
        <v>8850</v>
      </c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2:62" s="20" customFormat="1" ht="17" x14ac:dyDescent="0.45">
      <c r="B47" s="43" t="s">
        <v>920</v>
      </c>
      <c r="C47" s="26"/>
      <c r="D47" s="26"/>
      <c r="E47" s="26"/>
      <c r="F47" s="26"/>
      <c r="G47" s="26">
        <v>186</v>
      </c>
      <c r="H47" s="26"/>
      <c r="I47" s="26"/>
      <c r="J47" s="26"/>
      <c r="K47" s="26">
        <v>163</v>
      </c>
      <c r="L47" s="26">
        <v>820</v>
      </c>
      <c r="M47" s="26">
        <v>158</v>
      </c>
      <c r="N47" s="26"/>
      <c r="O47" s="26">
        <v>1327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>
        <v>1327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2:62" s="20" customFormat="1" ht="17" x14ac:dyDescent="0.45">
      <c r="B48" s="43" t="s">
        <v>924</v>
      </c>
      <c r="C48" s="26"/>
      <c r="D48" s="26"/>
      <c r="E48" s="26"/>
      <c r="F48" s="26"/>
      <c r="G48" s="26"/>
      <c r="H48" s="26"/>
      <c r="I48" s="26"/>
      <c r="J48" s="26">
        <v>343</v>
      </c>
      <c r="K48" s="26">
        <v>61</v>
      </c>
      <c r="L48" s="26"/>
      <c r="M48" s="26"/>
      <c r="N48" s="26"/>
      <c r="O48" s="26">
        <v>404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>
        <v>404</v>
      </c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2:62" s="20" customFormat="1" ht="17" x14ac:dyDescent="0.45">
      <c r="B49" s="54" t="s">
        <v>44</v>
      </c>
      <c r="C49" s="26">
        <v>27092</v>
      </c>
      <c r="D49" s="26">
        <v>28044</v>
      </c>
      <c r="E49" s="26">
        <v>27203</v>
      </c>
      <c r="F49" s="26">
        <v>20435</v>
      </c>
      <c r="G49" s="26">
        <v>189354</v>
      </c>
      <c r="H49" s="26">
        <v>40145</v>
      </c>
      <c r="I49" s="26">
        <v>28020</v>
      </c>
      <c r="J49" s="26">
        <v>1383</v>
      </c>
      <c r="K49" s="26">
        <v>525</v>
      </c>
      <c r="L49" s="26">
        <v>9231</v>
      </c>
      <c r="M49" s="26">
        <v>66</v>
      </c>
      <c r="N49" s="26"/>
      <c r="O49" s="26">
        <v>371498</v>
      </c>
      <c r="P49" s="26">
        <v>4002</v>
      </c>
      <c r="Q49" s="26">
        <v>102142</v>
      </c>
      <c r="R49" s="26">
        <v>75574</v>
      </c>
      <c r="S49" s="26">
        <v>4659</v>
      </c>
      <c r="T49" s="26">
        <v>9140</v>
      </c>
      <c r="U49" s="26">
        <v>12301</v>
      </c>
      <c r="V49" s="26">
        <v>33968</v>
      </c>
      <c r="W49" s="26">
        <v>105167</v>
      </c>
      <c r="X49" s="26">
        <v>124163</v>
      </c>
      <c r="Y49" s="26">
        <v>63835</v>
      </c>
      <c r="Z49" s="26">
        <v>13915</v>
      </c>
      <c r="AA49" s="26">
        <v>21875</v>
      </c>
      <c r="AB49" s="26">
        <v>570741</v>
      </c>
      <c r="AC49" s="26">
        <v>2914</v>
      </c>
      <c r="AD49" s="26">
        <v>2914</v>
      </c>
      <c r="AE49" s="26">
        <v>945153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2:62" s="20" customFormat="1" ht="17" x14ac:dyDescent="0.45">
      <c r="B50" s="43" t="s">
        <v>83</v>
      </c>
      <c r="C50" s="26">
        <v>5843</v>
      </c>
      <c r="D50" s="26">
        <v>6516</v>
      </c>
      <c r="E50" s="26">
        <v>4068</v>
      </c>
      <c r="F50" s="26"/>
      <c r="G50" s="26">
        <v>188964</v>
      </c>
      <c r="H50" s="26">
        <v>39096</v>
      </c>
      <c r="I50" s="26">
        <v>26064</v>
      </c>
      <c r="J50" s="26"/>
      <c r="K50" s="26"/>
      <c r="L50" s="26"/>
      <c r="M50" s="26"/>
      <c r="N50" s="26"/>
      <c r="O50" s="26">
        <v>270551</v>
      </c>
      <c r="P50" s="26"/>
      <c r="Q50" s="26">
        <v>88625</v>
      </c>
      <c r="R50" s="26">
        <v>13866</v>
      </c>
      <c r="S50" s="26"/>
      <c r="T50" s="26">
        <v>9074</v>
      </c>
      <c r="U50" s="26">
        <v>12141</v>
      </c>
      <c r="V50" s="26">
        <v>16</v>
      </c>
      <c r="W50" s="26">
        <v>61662</v>
      </c>
      <c r="X50" s="26">
        <v>96872</v>
      </c>
      <c r="Y50" s="26"/>
      <c r="Z50" s="26">
        <v>8807</v>
      </c>
      <c r="AA50" s="26">
        <v>19123</v>
      </c>
      <c r="AB50" s="26">
        <v>310186</v>
      </c>
      <c r="AC50" s="26"/>
      <c r="AD50" s="26"/>
      <c r="AE50" s="26">
        <v>580737</v>
      </c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2:62" s="20" customFormat="1" ht="17" x14ac:dyDescent="0.45">
      <c r="B51" s="43" t="s">
        <v>233</v>
      </c>
      <c r="C51" s="26">
        <v>21067</v>
      </c>
      <c r="D51" s="26">
        <v>19707</v>
      </c>
      <c r="E51" s="26">
        <v>21067</v>
      </c>
      <c r="F51" s="26">
        <v>19707</v>
      </c>
      <c r="G51" s="26"/>
      <c r="H51" s="26"/>
      <c r="I51" s="26"/>
      <c r="J51" s="26"/>
      <c r="K51" s="26"/>
      <c r="L51" s="26"/>
      <c r="M51" s="26"/>
      <c r="N51" s="26"/>
      <c r="O51" s="26">
        <v>81548</v>
      </c>
      <c r="P51" s="26"/>
      <c r="Q51" s="26"/>
      <c r="R51" s="26"/>
      <c r="S51" s="26"/>
      <c r="T51" s="26"/>
      <c r="U51" s="26"/>
      <c r="V51" s="26"/>
      <c r="W51" s="26"/>
      <c r="X51" s="26">
        <v>4078</v>
      </c>
      <c r="Y51" s="26">
        <v>19028</v>
      </c>
      <c r="Z51" s="26">
        <v>1359</v>
      </c>
      <c r="AA51" s="26"/>
      <c r="AB51" s="26">
        <v>24465</v>
      </c>
      <c r="AC51" s="26">
        <v>1573</v>
      </c>
      <c r="AD51" s="26">
        <v>1573</v>
      </c>
      <c r="AE51" s="26">
        <v>107586</v>
      </c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2:62" s="20" customFormat="1" ht="17" x14ac:dyDescent="0.45">
      <c r="B52" s="43" t="s">
        <v>100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>
        <v>44540</v>
      </c>
      <c r="S52" s="26"/>
      <c r="T52" s="26"/>
      <c r="U52" s="26"/>
      <c r="V52" s="26"/>
      <c r="W52" s="26"/>
      <c r="X52" s="26">
        <v>21015</v>
      </c>
      <c r="Y52" s="26">
        <v>42026</v>
      </c>
      <c r="Z52" s="26"/>
      <c r="AA52" s="26"/>
      <c r="AB52" s="26">
        <v>107581</v>
      </c>
      <c r="AC52" s="26"/>
      <c r="AD52" s="26"/>
      <c r="AE52" s="26">
        <v>107581</v>
      </c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2:62" s="45" customFormat="1" ht="17" x14ac:dyDescent="0.45">
      <c r="B53" s="43" t="s">
        <v>459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>
        <v>30644</v>
      </c>
      <c r="W53" s="26">
        <v>38304</v>
      </c>
      <c r="X53" s="26"/>
      <c r="Y53" s="26"/>
      <c r="Z53" s="26"/>
      <c r="AA53" s="26"/>
      <c r="AB53" s="26">
        <v>68948</v>
      </c>
      <c r="AC53" s="26"/>
      <c r="AD53" s="26"/>
      <c r="AE53" s="26">
        <v>68948</v>
      </c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</row>
    <row r="54" spans="2:62" s="20" customFormat="1" ht="17" x14ac:dyDescent="0.45">
      <c r="B54" s="43" t="s">
        <v>97</v>
      </c>
      <c r="C54" s="26">
        <v>182</v>
      </c>
      <c r="D54" s="26">
        <v>1736</v>
      </c>
      <c r="E54" s="26">
        <v>1909</v>
      </c>
      <c r="F54" s="26">
        <v>728</v>
      </c>
      <c r="G54" s="26">
        <v>390</v>
      </c>
      <c r="H54" s="26">
        <v>1049</v>
      </c>
      <c r="I54" s="26">
        <v>1904</v>
      </c>
      <c r="J54" s="26">
        <v>1383</v>
      </c>
      <c r="K54" s="26">
        <v>525</v>
      </c>
      <c r="L54" s="26"/>
      <c r="M54" s="26"/>
      <c r="N54" s="26"/>
      <c r="O54" s="26">
        <v>9806</v>
      </c>
      <c r="P54" s="26">
        <v>3939</v>
      </c>
      <c r="Q54" s="26">
        <v>13517</v>
      </c>
      <c r="R54" s="26">
        <v>1463</v>
      </c>
      <c r="S54" s="26">
        <v>4659</v>
      </c>
      <c r="T54" s="26"/>
      <c r="U54" s="26">
        <v>160</v>
      </c>
      <c r="V54" s="26">
        <v>2360</v>
      </c>
      <c r="W54" s="26">
        <v>4751</v>
      </c>
      <c r="X54" s="26">
        <v>182</v>
      </c>
      <c r="Y54" s="26"/>
      <c r="Z54" s="26"/>
      <c r="AA54" s="26"/>
      <c r="AB54" s="26">
        <v>31031</v>
      </c>
      <c r="AC54" s="26"/>
      <c r="AD54" s="26"/>
      <c r="AE54" s="26">
        <v>40837</v>
      </c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2:62" s="20" customFormat="1" ht="17" x14ac:dyDescent="0.45">
      <c r="B55" s="43" t="s">
        <v>535</v>
      </c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>
        <v>15705</v>
      </c>
      <c r="S55" s="26"/>
      <c r="T55" s="26"/>
      <c r="U55" s="26"/>
      <c r="V55" s="26"/>
      <c r="W55" s="26"/>
      <c r="X55" s="26"/>
      <c r="Y55" s="26"/>
      <c r="Z55" s="26"/>
      <c r="AA55" s="26"/>
      <c r="AB55" s="26">
        <v>15705</v>
      </c>
      <c r="AC55" s="26"/>
      <c r="AD55" s="26"/>
      <c r="AE55" s="26">
        <v>15705</v>
      </c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2:62" s="20" customFormat="1" ht="17" x14ac:dyDescent="0.45">
      <c r="B56" s="43" t="s">
        <v>103</v>
      </c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>
        <v>750</v>
      </c>
      <c r="W56" s="26">
        <v>450</v>
      </c>
      <c r="X56" s="26">
        <v>1415</v>
      </c>
      <c r="Y56" s="26">
        <v>2781</v>
      </c>
      <c r="Z56" s="26">
        <v>3201</v>
      </c>
      <c r="AA56" s="26">
        <v>2620</v>
      </c>
      <c r="AB56" s="26">
        <v>11217</v>
      </c>
      <c r="AC56" s="26">
        <v>1341</v>
      </c>
      <c r="AD56" s="26">
        <v>1341</v>
      </c>
      <c r="AE56" s="26">
        <v>12558</v>
      </c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2:62" s="20" customFormat="1" ht="17" x14ac:dyDescent="0.45">
      <c r="B57" s="43" t="s">
        <v>44</v>
      </c>
      <c r="C57" s="26"/>
      <c r="D57" s="26"/>
      <c r="E57" s="26"/>
      <c r="F57" s="26"/>
      <c r="G57" s="26"/>
      <c r="H57" s="26"/>
      <c r="I57" s="26"/>
      <c r="J57" s="26"/>
      <c r="K57" s="26"/>
      <c r="L57" s="26">
        <v>8736</v>
      </c>
      <c r="M57" s="26"/>
      <c r="N57" s="26"/>
      <c r="O57" s="26">
        <v>8736</v>
      </c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>
        <v>8736</v>
      </c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2:62" s="20" customFormat="1" ht="17" x14ac:dyDescent="0.45">
      <c r="B58" s="43" t="s">
        <v>94</v>
      </c>
      <c r="C58" s="26"/>
      <c r="D58" s="26"/>
      <c r="E58" s="26"/>
      <c r="F58" s="26"/>
      <c r="G58" s="26"/>
      <c r="H58" s="26"/>
      <c r="I58" s="26"/>
      <c r="J58" s="26"/>
      <c r="K58" s="26"/>
      <c r="L58" s="26">
        <v>495</v>
      </c>
      <c r="M58" s="26">
        <v>66</v>
      </c>
      <c r="N58" s="26"/>
      <c r="O58" s="26">
        <v>561</v>
      </c>
      <c r="P58" s="26">
        <v>63</v>
      </c>
      <c r="Q58" s="26"/>
      <c r="R58" s="26"/>
      <c r="S58" s="26"/>
      <c r="T58" s="26">
        <v>66</v>
      </c>
      <c r="U58" s="26"/>
      <c r="V58" s="26">
        <v>198</v>
      </c>
      <c r="W58" s="26"/>
      <c r="X58" s="26"/>
      <c r="Y58" s="26"/>
      <c r="Z58" s="26">
        <v>455</v>
      </c>
      <c r="AA58" s="26">
        <v>132</v>
      </c>
      <c r="AB58" s="26">
        <v>914</v>
      </c>
      <c r="AC58" s="26"/>
      <c r="AD58" s="26"/>
      <c r="AE58" s="26">
        <v>1475</v>
      </c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2:62" s="20" customFormat="1" ht="17" x14ac:dyDescent="0.45">
      <c r="B59" s="43" t="s">
        <v>447</v>
      </c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>
        <v>601</v>
      </c>
      <c r="Y59" s="26"/>
      <c r="Z59" s="26"/>
      <c r="AA59" s="26"/>
      <c r="AB59" s="26">
        <v>601</v>
      </c>
      <c r="AC59" s="26"/>
      <c r="AD59" s="26"/>
      <c r="AE59" s="26">
        <v>601</v>
      </c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2:62" s="20" customFormat="1" ht="17" x14ac:dyDescent="0.45">
      <c r="B60" s="43" t="s">
        <v>276</v>
      </c>
      <c r="C60" s="26"/>
      <c r="D60" s="26"/>
      <c r="E60" s="26">
        <v>159</v>
      </c>
      <c r="F60" s="26"/>
      <c r="G60" s="26"/>
      <c r="H60" s="26"/>
      <c r="I60" s="26">
        <v>52</v>
      </c>
      <c r="J60" s="26"/>
      <c r="K60" s="26"/>
      <c r="L60" s="26"/>
      <c r="M60" s="26"/>
      <c r="N60" s="26"/>
      <c r="O60" s="26">
        <v>211</v>
      </c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>
        <v>211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2:62" s="20" customFormat="1" ht="17" x14ac:dyDescent="0.45">
      <c r="B61" s="43" t="s">
        <v>274</v>
      </c>
      <c r="C61" s="26"/>
      <c r="D61" s="26">
        <v>85</v>
      </c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>
        <v>85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>
        <v>93</v>
      </c>
      <c r="AA61" s="26"/>
      <c r="AB61" s="26">
        <v>93</v>
      </c>
      <c r="AC61" s="26"/>
      <c r="AD61" s="26"/>
      <c r="AE61" s="26">
        <v>178</v>
      </c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62" s="45" customFormat="1" ht="17" x14ac:dyDescent="0.45">
      <c r="B62" s="54" t="s">
        <v>42</v>
      </c>
      <c r="C62" s="26">
        <v>10814</v>
      </c>
      <c r="D62" s="26"/>
      <c r="E62" s="26">
        <v>2193</v>
      </c>
      <c r="F62" s="26">
        <v>2193</v>
      </c>
      <c r="G62" s="26">
        <v>69472</v>
      </c>
      <c r="H62" s="26"/>
      <c r="I62" s="26">
        <v>4338</v>
      </c>
      <c r="J62" s="26">
        <v>89381</v>
      </c>
      <c r="K62" s="26"/>
      <c r="L62" s="26">
        <v>25324</v>
      </c>
      <c r="M62" s="26"/>
      <c r="N62" s="26"/>
      <c r="O62" s="26">
        <v>203715</v>
      </c>
      <c r="P62" s="26"/>
      <c r="Q62" s="26">
        <v>46823</v>
      </c>
      <c r="R62" s="26"/>
      <c r="S62" s="26">
        <v>5094</v>
      </c>
      <c r="T62" s="26">
        <v>30655</v>
      </c>
      <c r="U62" s="26">
        <v>121628</v>
      </c>
      <c r="V62" s="26">
        <v>177795</v>
      </c>
      <c r="W62" s="26">
        <v>82091</v>
      </c>
      <c r="X62" s="26"/>
      <c r="Y62" s="26">
        <v>105379</v>
      </c>
      <c r="Z62" s="26">
        <v>111686</v>
      </c>
      <c r="AA62" s="26">
        <v>496</v>
      </c>
      <c r="AB62" s="26">
        <v>681647</v>
      </c>
      <c r="AC62" s="26">
        <v>20145</v>
      </c>
      <c r="AD62" s="26">
        <v>20145</v>
      </c>
      <c r="AE62" s="26">
        <v>905507</v>
      </c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</row>
    <row r="63" spans="2:62" s="20" customFormat="1" ht="17" x14ac:dyDescent="0.45">
      <c r="B63" s="43" t="s">
        <v>42</v>
      </c>
      <c r="C63" s="26">
        <v>10814</v>
      </c>
      <c r="D63" s="26"/>
      <c r="E63" s="26">
        <v>2193</v>
      </c>
      <c r="F63" s="26">
        <v>2193</v>
      </c>
      <c r="G63" s="26">
        <v>69472</v>
      </c>
      <c r="H63" s="26"/>
      <c r="I63" s="26">
        <v>4338</v>
      </c>
      <c r="J63" s="26">
        <v>89381</v>
      </c>
      <c r="K63" s="26"/>
      <c r="L63" s="26">
        <v>23133</v>
      </c>
      <c r="M63" s="26"/>
      <c r="N63" s="26"/>
      <c r="O63" s="26">
        <v>201524</v>
      </c>
      <c r="P63" s="26"/>
      <c r="Q63" s="26">
        <v>46823</v>
      </c>
      <c r="R63" s="26"/>
      <c r="S63" s="26">
        <v>5094</v>
      </c>
      <c r="T63" s="26">
        <v>30655</v>
      </c>
      <c r="U63" s="26">
        <v>121628</v>
      </c>
      <c r="V63" s="26">
        <v>177795</v>
      </c>
      <c r="W63" s="26">
        <v>81941</v>
      </c>
      <c r="X63" s="26"/>
      <c r="Y63" s="26">
        <v>104883</v>
      </c>
      <c r="Z63" s="26">
        <v>111438</v>
      </c>
      <c r="AA63" s="26"/>
      <c r="AB63" s="26">
        <v>680257</v>
      </c>
      <c r="AC63" s="26">
        <v>19698</v>
      </c>
      <c r="AD63" s="26">
        <v>19698</v>
      </c>
      <c r="AE63" s="26">
        <v>901479</v>
      </c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62" s="20" customFormat="1" ht="17" x14ac:dyDescent="0.45">
      <c r="B64" s="43" t="s">
        <v>922</v>
      </c>
      <c r="C64" s="26"/>
      <c r="D64" s="26"/>
      <c r="E64" s="26"/>
      <c r="F64" s="26"/>
      <c r="G64" s="26"/>
      <c r="H64" s="26"/>
      <c r="I64" s="26"/>
      <c r="J64" s="26"/>
      <c r="K64" s="26"/>
      <c r="L64" s="26">
        <v>2191</v>
      </c>
      <c r="M64" s="26"/>
      <c r="N64" s="26"/>
      <c r="O64" s="26">
        <v>2191</v>
      </c>
      <c r="P64" s="26"/>
      <c r="Q64" s="26"/>
      <c r="R64" s="26"/>
      <c r="S64" s="26"/>
      <c r="T64" s="26"/>
      <c r="U64" s="26"/>
      <c r="V64" s="26"/>
      <c r="W64" s="26">
        <v>150</v>
      </c>
      <c r="X64" s="26"/>
      <c r="Y64" s="26">
        <v>496</v>
      </c>
      <c r="Z64" s="26">
        <v>248</v>
      </c>
      <c r="AA64" s="26">
        <v>496</v>
      </c>
      <c r="AB64" s="26">
        <v>1390</v>
      </c>
      <c r="AC64" s="26">
        <v>447</v>
      </c>
      <c r="AD64" s="26">
        <v>447</v>
      </c>
      <c r="AE64" s="26">
        <v>4028</v>
      </c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s="20" customFormat="1" ht="17" x14ac:dyDescent="0.45">
      <c r="B65" s="54" t="s">
        <v>45</v>
      </c>
      <c r="C65" s="26">
        <v>1659</v>
      </c>
      <c r="D65" s="26">
        <v>1789</v>
      </c>
      <c r="E65" s="26">
        <v>2258</v>
      </c>
      <c r="F65" s="26">
        <v>461</v>
      </c>
      <c r="G65" s="26">
        <v>4577</v>
      </c>
      <c r="H65" s="26"/>
      <c r="I65" s="26"/>
      <c r="J65" s="26">
        <v>2791</v>
      </c>
      <c r="K65" s="26">
        <v>62</v>
      </c>
      <c r="L65" s="26"/>
      <c r="M65" s="26">
        <v>734</v>
      </c>
      <c r="N65" s="26">
        <v>6614</v>
      </c>
      <c r="O65" s="26">
        <v>20945</v>
      </c>
      <c r="P65" s="26">
        <v>2764</v>
      </c>
      <c r="Q65" s="26">
        <v>9005</v>
      </c>
      <c r="R65" s="26">
        <v>3274</v>
      </c>
      <c r="S65" s="26">
        <v>8128</v>
      </c>
      <c r="T65" s="26">
        <v>62</v>
      </c>
      <c r="U65" s="26">
        <v>10651</v>
      </c>
      <c r="V65" s="26">
        <v>5606</v>
      </c>
      <c r="W65" s="26"/>
      <c r="X65" s="26">
        <v>2564</v>
      </c>
      <c r="Y65" s="26"/>
      <c r="Z65" s="26">
        <v>12829</v>
      </c>
      <c r="AA65" s="26">
        <v>3831</v>
      </c>
      <c r="AB65" s="26">
        <v>58714</v>
      </c>
      <c r="AC65" s="26">
        <v>1717</v>
      </c>
      <c r="AD65" s="26">
        <v>1717</v>
      </c>
      <c r="AE65" s="26">
        <v>81376</v>
      </c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s="20" customFormat="1" ht="17" x14ac:dyDescent="0.45">
      <c r="B66" s="43" t="s">
        <v>45</v>
      </c>
      <c r="C66" s="26">
        <v>1659</v>
      </c>
      <c r="D66" s="26">
        <v>1789</v>
      </c>
      <c r="E66" s="26">
        <v>2258</v>
      </c>
      <c r="F66" s="26">
        <v>461</v>
      </c>
      <c r="G66" s="26">
        <v>4577</v>
      </c>
      <c r="H66" s="26"/>
      <c r="I66" s="26"/>
      <c r="J66" s="26">
        <v>2791</v>
      </c>
      <c r="K66" s="26">
        <v>62</v>
      </c>
      <c r="L66" s="26"/>
      <c r="M66" s="26">
        <v>734</v>
      </c>
      <c r="N66" s="26">
        <v>6614</v>
      </c>
      <c r="O66" s="26">
        <v>20945</v>
      </c>
      <c r="P66" s="26">
        <v>2764</v>
      </c>
      <c r="Q66" s="26">
        <v>9005</v>
      </c>
      <c r="R66" s="26">
        <v>3274</v>
      </c>
      <c r="S66" s="26">
        <v>8128</v>
      </c>
      <c r="T66" s="26">
        <v>62</v>
      </c>
      <c r="U66" s="26">
        <v>10651</v>
      </c>
      <c r="V66" s="26">
        <v>5606</v>
      </c>
      <c r="W66" s="26"/>
      <c r="X66" s="26">
        <v>2564</v>
      </c>
      <c r="Y66" s="26"/>
      <c r="Z66" s="26">
        <v>12829</v>
      </c>
      <c r="AA66" s="26">
        <v>3831</v>
      </c>
      <c r="AB66" s="26">
        <v>58714</v>
      </c>
      <c r="AC66" s="26">
        <v>1717</v>
      </c>
      <c r="AD66" s="26">
        <v>1717</v>
      </c>
      <c r="AE66" s="26">
        <v>81376</v>
      </c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s="20" customFormat="1" ht="17" x14ac:dyDescent="0.45">
      <c r="B67" s="27" t="s">
        <v>35</v>
      </c>
      <c r="C67" s="26">
        <v>39565</v>
      </c>
      <c r="D67" s="26">
        <v>29833</v>
      </c>
      <c r="E67" s="26">
        <v>31654</v>
      </c>
      <c r="F67" s="26">
        <v>23089</v>
      </c>
      <c r="G67" s="26">
        <v>383881</v>
      </c>
      <c r="H67" s="26">
        <v>335342</v>
      </c>
      <c r="I67" s="26">
        <v>150805</v>
      </c>
      <c r="J67" s="26">
        <v>192609</v>
      </c>
      <c r="K67" s="26">
        <v>139134</v>
      </c>
      <c r="L67" s="26">
        <v>142555</v>
      </c>
      <c r="M67" s="26">
        <v>52910</v>
      </c>
      <c r="N67" s="26">
        <v>15379</v>
      </c>
      <c r="O67" s="26">
        <v>1536756</v>
      </c>
      <c r="P67" s="26">
        <v>247976</v>
      </c>
      <c r="Q67" s="26">
        <v>265252</v>
      </c>
      <c r="R67" s="26">
        <v>101053</v>
      </c>
      <c r="S67" s="26">
        <v>17959</v>
      </c>
      <c r="T67" s="26">
        <v>59482</v>
      </c>
      <c r="U67" s="26">
        <v>148429</v>
      </c>
      <c r="V67" s="26">
        <v>234397</v>
      </c>
      <c r="W67" s="26">
        <v>206128</v>
      </c>
      <c r="X67" s="26">
        <v>474279</v>
      </c>
      <c r="Y67" s="26">
        <v>494102</v>
      </c>
      <c r="Z67" s="26">
        <v>270589</v>
      </c>
      <c r="AA67" s="26">
        <v>27650</v>
      </c>
      <c r="AB67" s="26">
        <v>2547296</v>
      </c>
      <c r="AC67" s="26">
        <v>24776</v>
      </c>
      <c r="AD67" s="26">
        <v>24776</v>
      </c>
      <c r="AE67" s="26">
        <v>4108828</v>
      </c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s="20" customFormat="1" ht="17" x14ac:dyDescent="0.4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s="20" customFormat="1" ht="17" x14ac:dyDescent="0.4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s="20" customFormat="1" ht="17" x14ac:dyDescent="0.4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s="45" customFormat="1" ht="17" x14ac:dyDescent="0.4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</row>
    <row r="72" spans="2:55" s="20" customFormat="1" ht="17" x14ac:dyDescent="0.4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s="20" customFormat="1" ht="17" x14ac:dyDescent="0.4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s="20" customFormat="1" ht="17" x14ac:dyDescent="0.4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2:55" ht="17" x14ac:dyDescent="0.4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2:55" ht="17" x14ac:dyDescent="0.4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2:55" ht="17" x14ac:dyDescent="0.4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</row>
    <row r="78" spans="2:55" ht="17" x14ac:dyDescent="0.4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</row>
    <row r="79" spans="2:55" s="46" customFormat="1" ht="17" x14ac:dyDescent="0.4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</row>
    <row r="80" spans="2:55" ht="17" x14ac:dyDescent="0.4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</row>
    <row r="81" spans="2:31" ht="17" x14ac:dyDescent="0.45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</row>
    <row r="82" spans="2:31" ht="17" x14ac:dyDescent="0.45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</row>
    <row r="83" spans="2:31" ht="17" x14ac:dyDescent="0.45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</row>
    <row r="84" spans="2:31" ht="17" x14ac:dyDescent="0.45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 spans="2:31" ht="17" x14ac:dyDescent="0.45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 spans="2:31" ht="17" x14ac:dyDescent="0.45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 spans="2:31" ht="17" x14ac:dyDescent="0.45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 spans="2:31" ht="17" x14ac:dyDescent="0.45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 spans="2:31" ht="17" x14ac:dyDescent="0.45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 spans="2:31" ht="17" x14ac:dyDescent="0.45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 spans="2:31" ht="17" x14ac:dyDescent="0.45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 spans="2:31" ht="17" x14ac:dyDescent="0.45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 spans="2:31" ht="17" x14ac:dyDescent="0.45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 spans="2:31" ht="17" x14ac:dyDescent="0.45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 spans="2:31" ht="17" x14ac:dyDescent="0.45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 spans="2:31" ht="17" x14ac:dyDescent="0.45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 spans="2:30" ht="17" x14ac:dyDescent="0.45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 spans="2:30" ht="17" x14ac:dyDescent="0.45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 spans="2:30" ht="17" x14ac:dyDescent="0.45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 spans="2:30" ht="17" x14ac:dyDescent="0.4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</row>
    <row r="101" spans="2:30" ht="17" x14ac:dyDescent="0.4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2:30" ht="17" x14ac:dyDescent="0.4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2:30" ht="17" x14ac:dyDescent="0.4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2:30" ht="17" x14ac:dyDescent="0.4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</row>
    <row r="105" spans="2:30" ht="17" x14ac:dyDescent="0.4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</row>
    <row r="106" spans="2:30" ht="17" x14ac:dyDescent="0.4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</row>
    <row r="107" spans="2:30" ht="17" x14ac:dyDescent="0.4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</row>
    <row r="108" spans="2:30" ht="17" x14ac:dyDescent="0.4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</row>
    <row r="109" spans="2:30" ht="17" x14ac:dyDescent="0.4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</row>
    <row r="110" spans="2:30" ht="17" x14ac:dyDescent="0.4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2:30" ht="17" x14ac:dyDescent="0.4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2:30" ht="17" x14ac:dyDescent="0.4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</row>
    <row r="113" spans="2:27" ht="17" x14ac:dyDescent="0.4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2:27" ht="17" x14ac:dyDescent="0.4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2:27" ht="17" x14ac:dyDescent="0.4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2:27" ht="17" x14ac:dyDescent="0.4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</row>
    <row r="117" spans="2:27" ht="17" x14ac:dyDescent="0.4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</row>
    <row r="118" spans="2:27" ht="17" x14ac:dyDescent="0.4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</row>
    <row r="119" spans="2:27" ht="17" x14ac:dyDescent="0.4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</row>
    <row r="120" spans="2:27" ht="17" x14ac:dyDescent="0.4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</row>
    <row r="121" spans="2:27" ht="17" x14ac:dyDescent="0.4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</row>
    <row r="122" spans="2:27" ht="17" x14ac:dyDescent="0.4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2:27" ht="17" x14ac:dyDescent="0.4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2:27" ht="17" x14ac:dyDescent="0.4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2:27" ht="17" x14ac:dyDescent="0.4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</row>
    <row r="126" spans="2:27" ht="17" x14ac:dyDescent="0.4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</row>
    <row r="127" spans="2:27" ht="17" x14ac:dyDescent="0.4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</row>
    <row r="128" spans="2:27" ht="17" x14ac:dyDescent="0.4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</row>
    <row r="129" spans="2:27" ht="17" x14ac:dyDescent="0.4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</row>
    <row r="130" spans="2:27" ht="17" x14ac:dyDescent="0.4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</row>
    <row r="131" spans="2:27" ht="17" x14ac:dyDescent="0.4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</row>
    <row r="132" spans="2:27" ht="17" x14ac:dyDescent="0.4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</row>
    <row r="133" spans="2:27" ht="17" x14ac:dyDescent="0.4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</row>
    <row r="134" spans="2:27" ht="17" x14ac:dyDescent="0.4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</row>
    <row r="135" spans="2:27" ht="17" x14ac:dyDescent="0.4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</row>
    <row r="136" spans="2:27" ht="17" x14ac:dyDescent="0.4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</row>
    <row r="137" spans="2:27" ht="17" x14ac:dyDescent="0.4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</row>
    <row r="138" spans="2:27" ht="17" x14ac:dyDescent="0.4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</row>
    <row r="139" spans="2:27" ht="17" x14ac:dyDescent="0.4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</row>
    <row r="140" spans="2:27" ht="17" x14ac:dyDescent="0.4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</row>
    <row r="141" spans="2:27" ht="17" x14ac:dyDescent="0.4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</row>
    <row r="142" spans="2:27" ht="17" x14ac:dyDescent="0.4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</row>
    <row r="143" spans="2:27" ht="17" x14ac:dyDescent="0.45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</row>
    <row r="144" spans="2:27" ht="17" x14ac:dyDescent="0.45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</row>
    <row r="145" spans="2:27" ht="17" x14ac:dyDescent="0.45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</row>
    <row r="146" spans="2:27" ht="17" x14ac:dyDescent="0.45"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</row>
    <row r="147" spans="2:27" x14ac:dyDescent="0.45">
      <c r="B147" s="40"/>
      <c r="C147" s="40"/>
      <c r="D147" s="40"/>
      <c r="E147" s="40"/>
      <c r="F147" s="40"/>
      <c r="G147" s="40"/>
      <c r="H147" s="40"/>
    </row>
    <row r="148" spans="2:27" ht="17" x14ac:dyDescent="0.45">
      <c r="B148" s="40"/>
      <c r="C148" s="47"/>
      <c r="D148" s="47" t="s">
        <v>210</v>
      </c>
      <c r="E148" s="47" t="s">
        <v>211</v>
      </c>
      <c r="F148" s="47" t="s">
        <v>212</v>
      </c>
      <c r="G148" s="47" t="s">
        <v>213</v>
      </c>
      <c r="H148" s="40"/>
    </row>
    <row r="149" spans="2:27" ht="17" x14ac:dyDescent="0.45">
      <c r="B149" s="40"/>
      <c r="C149" s="47" t="s">
        <v>168</v>
      </c>
      <c r="D149" s="41">
        <f>SUM($C42:$E42)</f>
        <v>0</v>
      </c>
      <c r="E149" s="41">
        <f>SUM($F42:$L42)</f>
        <v>879723</v>
      </c>
      <c r="F149" s="41">
        <f>SUM($M42:$N42)</f>
        <v>60875</v>
      </c>
      <c r="G149" s="41">
        <f>SUM($O42:$P42)</f>
        <v>1181808</v>
      </c>
      <c r="H149" s="40"/>
    </row>
    <row r="150" spans="2:27" ht="17" x14ac:dyDescent="0.45">
      <c r="B150" s="40"/>
      <c r="C150" s="47" t="s">
        <v>176</v>
      </c>
      <c r="D150" s="41">
        <f>SUM($C49:$E49)</f>
        <v>82339</v>
      </c>
      <c r="E150" s="41">
        <f>SUM($F49:$H49)</f>
        <v>249934</v>
      </c>
      <c r="F150" s="41">
        <f>SUM($I49:$K49)</f>
        <v>29928</v>
      </c>
      <c r="G150" s="41">
        <f>SUM($L49:$N49)</f>
        <v>9297</v>
      </c>
      <c r="H150" s="40"/>
    </row>
    <row r="151" spans="2:27" ht="17" x14ac:dyDescent="0.45">
      <c r="B151" s="40"/>
      <c r="C151" s="47" t="s">
        <v>133</v>
      </c>
      <c r="D151" s="41" t="e">
        <f>SUM(#REF!)</f>
        <v>#REF!</v>
      </c>
      <c r="E151" s="41" t="e">
        <f>SUM(#REF!)</f>
        <v>#REF!</v>
      </c>
      <c r="F151" s="41" t="e">
        <f>SUM(#REF!)</f>
        <v>#REF!</v>
      </c>
      <c r="G151" s="41" t="e">
        <f>SUM(#REF!)</f>
        <v>#REF!</v>
      </c>
      <c r="H151" s="40"/>
    </row>
    <row r="152" spans="2:27" ht="17" x14ac:dyDescent="0.45">
      <c r="B152" s="40"/>
      <c r="C152" s="47" t="s">
        <v>152</v>
      </c>
      <c r="D152" s="41">
        <f>SUM($C52:$E52)</f>
        <v>0</v>
      </c>
      <c r="E152" s="41">
        <f>SUM($F52:$H52)</f>
        <v>0</v>
      </c>
      <c r="F152" s="41">
        <f>SUM($I52:$K52)</f>
        <v>0</v>
      </c>
      <c r="G152" s="41">
        <f>SUM($L52:$N52)</f>
        <v>0</v>
      </c>
      <c r="H152" s="40"/>
    </row>
    <row r="153" spans="2:27" ht="17" x14ac:dyDescent="0.45">
      <c r="B153" s="40"/>
      <c r="C153" s="47" t="s">
        <v>135</v>
      </c>
      <c r="D153" s="41">
        <f>SUM($C59:$E59)</f>
        <v>0</v>
      </c>
      <c r="E153" s="41">
        <f>SUM($F59:$H59)</f>
        <v>0</v>
      </c>
      <c r="F153" s="41">
        <f>SUM($I59:$K59)</f>
        <v>0</v>
      </c>
      <c r="G153" s="41">
        <f>SUM($L59:$N59)</f>
        <v>0</v>
      </c>
      <c r="H153" s="40"/>
    </row>
    <row r="154" spans="2:27" ht="17" x14ac:dyDescent="0.45">
      <c r="B154" s="40"/>
      <c r="C154" s="47" t="s">
        <v>146</v>
      </c>
      <c r="D154" s="41">
        <f>SUM($C65:$E65)</f>
        <v>5706</v>
      </c>
      <c r="E154" s="41">
        <f>SUM($F65:$H65)</f>
        <v>5038</v>
      </c>
      <c r="F154" s="41">
        <f>SUM($I65:$K65)</f>
        <v>2853</v>
      </c>
      <c r="G154" s="41">
        <f>SUM($L65:$N65)</f>
        <v>7348</v>
      </c>
      <c r="H154" s="40"/>
    </row>
    <row r="155" spans="2:27" ht="17" x14ac:dyDescent="0.45">
      <c r="B155" s="40"/>
      <c r="C155" s="47" t="s">
        <v>137</v>
      </c>
      <c r="D155" s="41">
        <f>SUM($C70:$E70)</f>
        <v>0</v>
      </c>
      <c r="E155" s="41">
        <f>SUM($F70:$H70)</f>
        <v>0</v>
      </c>
      <c r="F155" s="41">
        <f>SUM($I70:$K70)</f>
        <v>0</v>
      </c>
      <c r="G155" s="41">
        <f>SUM($L70:$N70)</f>
        <v>0</v>
      </c>
      <c r="H155" s="40"/>
    </row>
    <row r="156" spans="2:27" ht="17" x14ac:dyDescent="0.45">
      <c r="B156" s="40"/>
      <c r="C156" s="47" t="s">
        <v>170</v>
      </c>
      <c r="D156" s="41">
        <f>SUM($C76:$E76)</f>
        <v>0</v>
      </c>
      <c r="E156" s="41">
        <f>SUM($F76:$H76)</f>
        <v>0</v>
      </c>
      <c r="F156" s="41">
        <f>SUM($I76:$K76)</f>
        <v>0</v>
      </c>
      <c r="G156" s="41">
        <f>SUM($L76:$N76)</f>
        <v>0</v>
      </c>
      <c r="H156" s="40"/>
    </row>
    <row r="157" spans="2:27" ht="17" x14ac:dyDescent="0.45">
      <c r="B157" s="40"/>
      <c r="C157" s="40" t="s">
        <v>173</v>
      </c>
      <c r="D157" s="41">
        <f>SUM($C82:$E82)</f>
        <v>0</v>
      </c>
      <c r="E157" s="41">
        <f>SUM($F82:$H82)</f>
        <v>0</v>
      </c>
      <c r="F157" s="41">
        <f>SUM($I82:$K82)</f>
        <v>0</v>
      </c>
      <c r="G157" s="41">
        <f>SUM($L82:$N82)</f>
        <v>0</v>
      </c>
      <c r="H157" s="40"/>
    </row>
    <row r="158" spans="2:27" ht="17" x14ac:dyDescent="0.45">
      <c r="B158" s="40"/>
      <c r="C158" s="40" t="s">
        <v>136</v>
      </c>
      <c r="D158" s="41">
        <f>SUM($C87:$E87)</f>
        <v>0</v>
      </c>
      <c r="E158" s="41">
        <f>SUM($F87:$H87)</f>
        <v>0</v>
      </c>
      <c r="F158" s="41">
        <f>SUM($I87:$K87)</f>
        <v>0</v>
      </c>
      <c r="G158" s="41">
        <f>SUM($L87:$N87)</f>
        <v>0</v>
      </c>
      <c r="H158" s="40"/>
    </row>
    <row r="159" spans="2:27" ht="17" x14ac:dyDescent="0.45">
      <c r="B159" s="40"/>
      <c r="C159" s="40" t="s">
        <v>214</v>
      </c>
      <c r="D159" s="41" t="e">
        <f>SUM(D149:D158)</f>
        <v>#REF!</v>
      </c>
      <c r="E159" s="41" t="e">
        <f>SUM(E149:E158)</f>
        <v>#REF!</v>
      </c>
      <c r="F159" s="41" t="e">
        <f>SUM(F149:F158)</f>
        <v>#REF!</v>
      </c>
      <c r="G159" s="41" t="e">
        <f>SUM(G149:G158)</f>
        <v>#REF!</v>
      </c>
      <c r="H159" s="40"/>
    </row>
    <row r="160" spans="2:27" x14ac:dyDescent="0.45">
      <c r="B160" s="40"/>
      <c r="C160" s="40"/>
      <c r="D160" s="40"/>
      <c r="E160" s="40"/>
      <c r="F160" s="40"/>
      <c r="G160" s="40"/>
      <c r="H160" s="40"/>
    </row>
  </sheetData>
  <mergeCells count="12">
    <mergeCell ref="B9:N9"/>
    <mergeCell ref="B4:N4"/>
    <mergeCell ref="B5:N5"/>
    <mergeCell ref="B6:N6"/>
    <mergeCell ref="B7:N7"/>
    <mergeCell ref="B8:N8"/>
    <mergeCell ref="B37:C37"/>
    <mergeCell ref="B10:N10"/>
    <mergeCell ref="B11:N11"/>
    <mergeCell ref="B12:N12"/>
    <mergeCell ref="B14:C14"/>
    <mergeCell ref="F14:H14"/>
  </mergeCells>
  <phoneticPr fontId="2" type="noConversion"/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6212-839D-45E8-AED9-5D3F4E7FFF32}">
  <sheetPr>
    <tabColor theme="1" tint="0.499984740745262"/>
  </sheetPr>
  <dimension ref="A1:R714"/>
  <sheetViews>
    <sheetView workbookViewId="0">
      <pane ySplit="1" topLeftCell="A2" activePane="bottomLeft" state="frozen"/>
      <selection pane="bottomLeft"/>
    </sheetView>
  </sheetViews>
  <sheetFormatPr defaultColWidth="8.58203125" defaultRowHeight="12" x14ac:dyDescent="0.45"/>
  <cols>
    <col min="1" max="2" width="14.08203125" style="21" bestFit="1" customWidth="1"/>
    <col min="3" max="3" width="8.33203125" style="21" bestFit="1" customWidth="1"/>
    <col min="4" max="4" width="9.75" style="21" bestFit="1" customWidth="1"/>
    <col min="5" max="5" width="24" style="21" bestFit="1" customWidth="1"/>
    <col min="6" max="6" width="13" style="21" bestFit="1" customWidth="1"/>
    <col min="7" max="7" width="14.83203125" style="21" bestFit="1" customWidth="1"/>
    <col min="8" max="8" width="17.83203125" style="21" bestFit="1" customWidth="1"/>
    <col min="9" max="9" width="28" style="21" bestFit="1" customWidth="1"/>
    <col min="10" max="10" width="29.5" style="21" bestFit="1" customWidth="1"/>
    <col min="11" max="11" width="17.33203125" style="21" bestFit="1" customWidth="1"/>
    <col min="12" max="12" width="10.33203125" style="21" bestFit="1" customWidth="1"/>
    <col min="13" max="14" width="6.83203125" style="21" bestFit="1" customWidth="1"/>
    <col min="15" max="16" width="9.58203125" style="21" bestFit="1" customWidth="1"/>
    <col min="17" max="17" width="15.5" style="23" bestFit="1" customWidth="1"/>
    <col min="18" max="18" width="10.33203125" style="21" bestFit="1" customWidth="1"/>
    <col min="19" max="16384" width="8.58203125" style="21"/>
  </cols>
  <sheetData>
    <row r="1" spans="1:18" x14ac:dyDescent="0.45">
      <c r="A1" s="29" t="s">
        <v>72</v>
      </c>
      <c r="B1" s="29" t="s">
        <v>88</v>
      </c>
      <c r="C1" s="3" t="s">
        <v>265</v>
      </c>
      <c r="D1" s="3" t="s">
        <v>11</v>
      </c>
      <c r="E1" s="3" t="s">
        <v>51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55</v>
      </c>
      <c r="K1" s="3" t="s">
        <v>32</v>
      </c>
      <c r="L1" s="3" t="s">
        <v>57</v>
      </c>
      <c r="M1" s="29" t="s">
        <v>34</v>
      </c>
      <c r="N1" s="29" t="s">
        <v>19</v>
      </c>
      <c r="O1" s="3" t="s">
        <v>16</v>
      </c>
      <c r="P1" s="3" t="s">
        <v>17</v>
      </c>
      <c r="Q1" s="22" t="s">
        <v>18</v>
      </c>
    </row>
    <row r="2" spans="1:18" ht="16" x14ac:dyDescent="0.45">
      <c r="A2" s="2" t="s">
        <v>951</v>
      </c>
      <c r="B2" s="2" t="str">
        <f>IF(L2="-",VLOOKUP(J2,CODE!$B:$D,2,0),L2)</f>
        <v>Taboola</v>
      </c>
      <c r="C2" s="2" t="s">
        <v>266</v>
      </c>
      <c r="D2" s="2" t="s">
        <v>267</v>
      </c>
      <c r="E2" s="2" t="s">
        <v>267</v>
      </c>
      <c r="F2" s="2" t="s">
        <v>268</v>
      </c>
      <c r="G2" s="2" t="s">
        <v>269</v>
      </c>
      <c r="H2" s="2" t="s">
        <v>270</v>
      </c>
      <c r="I2" s="2" t="s">
        <v>271</v>
      </c>
      <c r="J2" s="2" t="s">
        <v>272</v>
      </c>
      <c r="K2" s="2" t="s">
        <v>273</v>
      </c>
      <c r="L2" s="2" t="s">
        <v>274</v>
      </c>
      <c r="M2" s="38" t="str">
        <f t="shared" ref="M2" si="0">LEFT(O2,2)</f>
        <v>24</v>
      </c>
      <c r="N2" s="38" t="str">
        <f t="shared" ref="N2" si="1">MID(O2,4,2)</f>
        <v>02</v>
      </c>
      <c r="O2" s="50" t="s">
        <v>285</v>
      </c>
      <c r="P2" s="50" t="s">
        <v>285</v>
      </c>
      <c r="Q2" s="50">
        <v>85</v>
      </c>
      <c r="R2" s="23"/>
    </row>
    <row r="3" spans="1:18" ht="16" x14ac:dyDescent="0.45">
      <c r="A3" s="2" t="str">
        <f>IFERROR(VLOOKUP(B3,CODE!$B:$D,3,0),"-")</f>
        <v>SNS</v>
      </c>
      <c r="B3" s="2" t="str">
        <f>IF(L3="-",VLOOKUP(J3,CODE!$B:$D,2,0),L3)</f>
        <v>SNS</v>
      </c>
      <c r="C3" s="2" t="s">
        <v>266</v>
      </c>
      <c r="D3" s="2" t="s">
        <v>267</v>
      </c>
      <c r="E3" s="2" t="s">
        <v>267</v>
      </c>
      <c r="F3" s="2" t="s">
        <v>268</v>
      </c>
      <c r="G3" s="2" t="s">
        <v>269</v>
      </c>
      <c r="H3" s="2" t="s">
        <v>270</v>
      </c>
      <c r="I3" s="2" t="s">
        <v>163</v>
      </c>
      <c r="J3" s="2" t="s">
        <v>4</v>
      </c>
      <c r="K3" s="2" t="s">
        <v>164</v>
      </c>
      <c r="L3" s="2" t="s">
        <v>82</v>
      </c>
      <c r="M3" s="38" t="str">
        <f t="shared" ref="M3:M18" si="2">LEFT(O3,2)</f>
        <v>24</v>
      </c>
      <c r="N3" s="38" t="str">
        <f t="shared" ref="N3:N18" si="3">MID(O3,4,2)</f>
        <v>03</v>
      </c>
      <c r="O3" s="50" t="s">
        <v>286</v>
      </c>
      <c r="P3" s="50" t="s">
        <v>286</v>
      </c>
      <c r="Q3" s="50">
        <v>62</v>
      </c>
      <c r="R3" s="23"/>
    </row>
    <row r="4" spans="1:18" ht="16" x14ac:dyDescent="0.45">
      <c r="A4" s="2" t="str">
        <f>IFERROR(VLOOKUP(B4,CODE!$B:$D,3,0),"-")</f>
        <v>SNS</v>
      </c>
      <c r="B4" s="2" t="str">
        <f>IF(L4="-",VLOOKUP(J4,CODE!$B:$D,2,0),L4)</f>
        <v>SNS</v>
      </c>
      <c r="C4" s="2" t="s">
        <v>266</v>
      </c>
      <c r="D4" s="2" t="s">
        <v>267</v>
      </c>
      <c r="E4" s="2" t="s">
        <v>267</v>
      </c>
      <c r="F4" s="2" t="s">
        <v>268</v>
      </c>
      <c r="G4" s="2" t="s">
        <v>269</v>
      </c>
      <c r="H4" s="2" t="s">
        <v>270</v>
      </c>
      <c r="I4" s="2" t="s">
        <v>163</v>
      </c>
      <c r="J4" s="2" t="s">
        <v>4</v>
      </c>
      <c r="K4" s="2" t="s">
        <v>164</v>
      </c>
      <c r="L4" s="2" t="s">
        <v>82</v>
      </c>
      <c r="M4" s="38" t="str">
        <f t="shared" si="2"/>
        <v>24</v>
      </c>
      <c r="N4" s="38" t="str">
        <f t="shared" si="3"/>
        <v>05</v>
      </c>
      <c r="O4" s="50" t="s">
        <v>287</v>
      </c>
      <c r="P4" s="50" t="s">
        <v>287</v>
      </c>
      <c r="Q4" s="50">
        <v>62</v>
      </c>
      <c r="R4" s="23"/>
    </row>
    <row r="5" spans="1:18" ht="16" x14ac:dyDescent="0.45">
      <c r="A5" s="2" t="s">
        <v>951</v>
      </c>
      <c r="B5" s="2" t="str">
        <f>IF(L5="-",VLOOKUP(J5,CODE!$B:$D,2,0),L5)</f>
        <v>크리테오</v>
      </c>
      <c r="C5" s="2" t="s">
        <v>266</v>
      </c>
      <c r="D5" s="2" t="s">
        <v>267</v>
      </c>
      <c r="E5" s="2" t="s">
        <v>267</v>
      </c>
      <c r="F5" s="2" t="s">
        <v>268</v>
      </c>
      <c r="G5" s="2" t="s">
        <v>269</v>
      </c>
      <c r="H5" s="2" t="s">
        <v>270</v>
      </c>
      <c r="I5" s="2" t="s">
        <v>105</v>
      </c>
      <c r="J5" s="2" t="s">
        <v>9</v>
      </c>
      <c r="K5" s="2" t="s">
        <v>275</v>
      </c>
      <c r="L5" s="2" t="s">
        <v>276</v>
      </c>
      <c r="M5" s="38" t="str">
        <f t="shared" si="2"/>
        <v>24</v>
      </c>
      <c r="N5" s="38" t="str">
        <f t="shared" si="3"/>
        <v>03</v>
      </c>
      <c r="O5" s="50" t="s">
        <v>288</v>
      </c>
      <c r="P5" s="50" t="s">
        <v>288</v>
      </c>
      <c r="Q5" s="50">
        <v>26</v>
      </c>
      <c r="R5" s="23"/>
    </row>
    <row r="6" spans="1:18" ht="16" x14ac:dyDescent="0.45">
      <c r="A6" s="2" t="str">
        <f>IFERROR(VLOOKUP(B6,CODE!$B:$D,3,0),"-")</f>
        <v>SNS</v>
      </c>
      <c r="B6" s="2" t="str">
        <f>IF(L6="-",VLOOKUP(J6,CODE!$B:$D,2,0),L6)</f>
        <v>SNS</v>
      </c>
      <c r="C6" s="2" t="s">
        <v>266</v>
      </c>
      <c r="D6" s="2" t="s">
        <v>277</v>
      </c>
      <c r="E6" s="2" t="s">
        <v>278</v>
      </c>
      <c r="F6" s="2" t="s">
        <v>268</v>
      </c>
      <c r="G6" s="2" t="s">
        <v>269</v>
      </c>
      <c r="H6" s="2" t="s">
        <v>279</v>
      </c>
      <c r="I6" s="2" t="s">
        <v>163</v>
      </c>
      <c r="J6" s="2" t="s">
        <v>4</v>
      </c>
      <c r="K6" s="2" t="s">
        <v>164</v>
      </c>
      <c r="L6" s="2" t="s">
        <v>82</v>
      </c>
      <c r="M6" s="38" t="str">
        <f t="shared" si="2"/>
        <v>24</v>
      </c>
      <c r="N6" s="38" t="str">
        <f t="shared" si="3"/>
        <v>02</v>
      </c>
      <c r="O6" s="50" t="s">
        <v>289</v>
      </c>
      <c r="P6" s="50" t="s">
        <v>289</v>
      </c>
      <c r="Q6" s="50">
        <v>131</v>
      </c>
      <c r="R6" s="23"/>
    </row>
    <row r="7" spans="1:18" ht="16" x14ac:dyDescent="0.45">
      <c r="A7" s="2" t="str">
        <f>IFERROR(VLOOKUP(B7,CODE!$B:$D,3,0),"-")</f>
        <v>SNS</v>
      </c>
      <c r="B7" s="2" t="str">
        <f>IF(L7="-",VLOOKUP(J7,CODE!$B:$D,2,0),L7)</f>
        <v>SNS</v>
      </c>
      <c r="C7" s="2" t="s">
        <v>266</v>
      </c>
      <c r="D7" s="2" t="s">
        <v>955</v>
      </c>
      <c r="E7" s="2" t="s">
        <v>280</v>
      </c>
      <c r="F7" s="2" t="s">
        <v>268</v>
      </c>
      <c r="G7" s="2" t="s">
        <v>269</v>
      </c>
      <c r="H7" s="2" t="s">
        <v>279</v>
      </c>
      <c r="I7" s="2" t="s">
        <v>163</v>
      </c>
      <c r="J7" s="2" t="s">
        <v>4</v>
      </c>
      <c r="K7" s="2" t="s">
        <v>164</v>
      </c>
      <c r="L7" s="2" t="s">
        <v>82</v>
      </c>
      <c r="M7" s="38" t="str">
        <f t="shared" si="2"/>
        <v>24</v>
      </c>
      <c r="N7" s="38" t="str">
        <f t="shared" si="3"/>
        <v>04</v>
      </c>
      <c r="O7" s="50" t="s">
        <v>290</v>
      </c>
      <c r="P7" s="50" t="s">
        <v>290</v>
      </c>
      <c r="Q7" s="50">
        <v>62</v>
      </c>
      <c r="R7" s="23"/>
    </row>
    <row r="8" spans="1:18" ht="16" x14ac:dyDescent="0.45">
      <c r="A8" s="2" t="str">
        <f>IFERROR(VLOOKUP(B8,CODE!$B:$D,3,0),"-")</f>
        <v>포털</v>
      </c>
      <c r="B8" s="2" t="str">
        <f>IF(L8="-",VLOOKUP(J8,CODE!$B:$D,2,0),L8)</f>
        <v>포털</v>
      </c>
      <c r="C8" s="2" t="s">
        <v>266</v>
      </c>
      <c r="D8" s="2" t="s">
        <v>281</v>
      </c>
      <c r="E8" s="2" t="s">
        <v>282</v>
      </c>
      <c r="F8" s="2" t="s">
        <v>268</v>
      </c>
      <c r="G8" s="2" t="s">
        <v>283</v>
      </c>
      <c r="H8" s="2" t="s">
        <v>284</v>
      </c>
      <c r="I8" s="2" t="s">
        <v>229</v>
      </c>
      <c r="J8" s="2" t="s">
        <v>1</v>
      </c>
      <c r="K8" s="2" t="s">
        <v>159</v>
      </c>
      <c r="L8" s="2" t="s">
        <v>82</v>
      </c>
      <c r="M8" s="38" t="str">
        <f t="shared" si="2"/>
        <v>24</v>
      </c>
      <c r="N8" s="38" t="str">
        <f t="shared" si="3"/>
        <v>01</v>
      </c>
      <c r="O8" s="50" t="s">
        <v>291</v>
      </c>
      <c r="P8" s="50" t="s">
        <v>291</v>
      </c>
      <c r="Q8" s="50">
        <v>10814</v>
      </c>
      <c r="R8" s="23"/>
    </row>
    <row r="9" spans="1:18" ht="16" x14ac:dyDescent="0.45">
      <c r="A9" s="2" t="str">
        <f>IFERROR(VLOOKUP(B9,CODE!$B:$D,3,0),"-")</f>
        <v>포털</v>
      </c>
      <c r="B9" s="2" t="str">
        <f>IF(L9="-",VLOOKUP(J9,CODE!$B:$D,2,0),L9)</f>
        <v>포털</v>
      </c>
      <c r="C9" s="2" t="s">
        <v>266</v>
      </c>
      <c r="D9" s="2" t="s">
        <v>281</v>
      </c>
      <c r="E9" s="2" t="s">
        <v>282</v>
      </c>
      <c r="F9" s="2" t="s">
        <v>268</v>
      </c>
      <c r="G9" s="2" t="s">
        <v>283</v>
      </c>
      <c r="H9" s="2" t="s">
        <v>284</v>
      </c>
      <c r="I9" s="2" t="s">
        <v>229</v>
      </c>
      <c r="J9" s="2" t="s">
        <v>1</v>
      </c>
      <c r="K9" s="2" t="s">
        <v>159</v>
      </c>
      <c r="L9" s="2" t="s">
        <v>82</v>
      </c>
      <c r="M9" s="38" t="str">
        <f t="shared" si="2"/>
        <v>24</v>
      </c>
      <c r="N9" s="38" t="str">
        <f t="shared" si="3"/>
        <v>05</v>
      </c>
      <c r="O9" s="50" t="s">
        <v>292</v>
      </c>
      <c r="P9" s="50" t="s">
        <v>292</v>
      </c>
      <c r="Q9" s="50">
        <v>12027</v>
      </c>
      <c r="R9" s="23"/>
    </row>
    <row r="10" spans="1:18" ht="16" x14ac:dyDescent="0.45">
      <c r="A10" s="2" t="str">
        <f>IFERROR(VLOOKUP(B10,CODE!$B:$D,3,0),"-")</f>
        <v>SNS</v>
      </c>
      <c r="B10" s="2" t="str">
        <f>IF(L10="-",VLOOKUP(J10,CODE!$B:$D,2,0),L10)</f>
        <v>SNS</v>
      </c>
      <c r="C10" s="2" t="s">
        <v>266</v>
      </c>
      <c r="D10" s="2" t="s">
        <v>267</v>
      </c>
      <c r="E10" s="2" t="s">
        <v>267</v>
      </c>
      <c r="F10" s="2" t="s">
        <v>268</v>
      </c>
      <c r="G10" s="2" t="s">
        <v>269</v>
      </c>
      <c r="H10" s="2" t="s">
        <v>270</v>
      </c>
      <c r="I10" s="2" t="s">
        <v>163</v>
      </c>
      <c r="J10" s="2" t="s">
        <v>4</v>
      </c>
      <c r="K10" s="2" t="s">
        <v>164</v>
      </c>
      <c r="L10" s="2" t="s">
        <v>82</v>
      </c>
      <c r="M10" s="38" t="str">
        <f t="shared" si="2"/>
        <v>24</v>
      </c>
      <c r="N10" s="38" t="str">
        <f t="shared" si="3"/>
        <v>09</v>
      </c>
      <c r="O10" s="50" t="s">
        <v>301</v>
      </c>
      <c r="P10" s="50" t="s">
        <v>301</v>
      </c>
      <c r="Q10" s="50">
        <v>62</v>
      </c>
      <c r="R10" s="23"/>
    </row>
    <row r="11" spans="1:18" ht="16" x14ac:dyDescent="0.45">
      <c r="A11" s="2" t="s">
        <v>951</v>
      </c>
      <c r="B11" s="2" t="str">
        <f>IF(L11="-",VLOOKUP(J11,CODE!$B:$D,2,0),L11)</f>
        <v>크리테오</v>
      </c>
      <c r="C11" s="2" t="s">
        <v>266</v>
      </c>
      <c r="D11" s="2" t="s">
        <v>267</v>
      </c>
      <c r="E11" s="2" t="s">
        <v>267</v>
      </c>
      <c r="F11" s="2" t="s">
        <v>268</v>
      </c>
      <c r="G11" s="2" t="s">
        <v>269</v>
      </c>
      <c r="H11" s="2" t="s">
        <v>270</v>
      </c>
      <c r="I11" s="2" t="s">
        <v>293</v>
      </c>
      <c r="J11" s="2" t="s">
        <v>1</v>
      </c>
      <c r="K11" s="2" t="s">
        <v>159</v>
      </c>
      <c r="L11" s="2" t="s">
        <v>276</v>
      </c>
      <c r="M11" s="38" t="str">
        <f t="shared" si="2"/>
        <v>24</v>
      </c>
      <c r="N11" s="38" t="str">
        <f t="shared" si="3"/>
        <v>07</v>
      </c>
      <c r="O11" s="50" t="s">
        <v>302</v>
      </c>
      <c r="P11" s="50" t="s">
        <v>302</v>
      </c>
      <c r="Q11" s="50">
        <v>26</v>
      </c>
      <c r="R11" s="23"/>
    </row>
    <row r="12" spans="1:18" ht="16" x14ac:dyDescent="0.45">
      <c r="A12" s="2" t="s">
        <v>951</v>
      </c>
      <c r="B12" s="2" t="str">
        <f>IF(L12="-",VLOOKUP(J12,CODE!$B:$D,2,0),L12)</f>
        <v>크리테오</v>
      </c>
      <c r="C12" s="2" t="s">
        <v>266</v>
      </c>
      <c r="D12" s="2" t="s">
        <v>267</v>
      </c>
      <c r="E12" s="2" t="s">
        <v>267</v>
      </c>
      <c r="F12" s="2" t="s">
        <v>268</v>
      </c>
      <c r="G12" s="2" t="s">
        <v>269</v>
      </c>
      <c r="H12" s="2" t="s">
        <v>270</v>
      </c>
      <c r="I12" s="2" t="s">
        <v>294</v>
      </c>
      <c r="J12" s="2" t="s">
        <v>74</v>
      </c>
      <c r="K12" s="2" t="s">
        <v>295</v>
      </c>
      <c r="L12" s="2" t="s">
        <v>276</v>
      </c>
      <c r="M12" s="38" t="str">
        <f t="shared" si="2"/>
        <v>24</v>
      </c>
      <c r="N12" s="38" t="str">
        <f t="shared" si="3"/>
        <v>07</v>
      </c>
      <c r="O12" s="50" t="s">
        <v>303</v>
      </c>
      <c r="P12" s="50" t="s">
        <v>303</v>
      </c>
      <c r="Q12" s="50">
        <v>26</v>
      </c>
      <c r="R12" s="23"/>
    </row>
    <row r="13" spans="1:18" ht="16" x14ac:dyDescent="0.45">
      <c r="A13" s="2" t="str">
        <f>IFERROR(VLOOKUP(B13,CODE!$B:$D,3,0),"-")</f>
        <v>SNS</v>
      </c>
      <c r="B13" s="2" t="str">
        <f>IF(L13="-",VLOOKUP(J13,CODE!$B:$D,2,0),L13)</f>
        <v>SNS</v>
      </c>
      <c r="C13" s="2" t="s">
        <v>266</v>
      </c>
      <c r="D13" s="2" t="s">
        <v>277</v>
      </c>
      <c r="E13" s="2" t="s">
        <v>296</v>
      </c>
      <c r="F13" s="2" t="s">
        <v>268</v>
      </c>
      <c r="G13" s="2" t="s">
        <v>269</v>
      </c>
      <c r="H13" s="2" t="s">
        <v>297</v>
      </c>
      <c r="I13" s="2" t="s">
        <v>163</v>
      </c>
      <c r="J13" s="2" t="s">
        <v>4</v>
      </c>
      <c r="K13" s="2" t="s">
        <v>164</v>
      </c>
      <c r="L13" s="2" t="s">
        <v>82</v>
      </c>
      <c r="M13" s="38" t="str">
        <f t="shared" si="2"/>
        <v>24</v>
      </c>
      <c r="N13" s="38" t="str">
        <f t="shared" si="3"/>
        <v>08</v>
      </c>
      <c r="O13" s="50" t="s">
        <v>304</v>
      </c>
      <c r="P13" s="50" t="s">
        <v>304</v>
      </c>
      <c r="Q13" s="50">
        <v>62</v>
      </c>
      <c r="R13" s="23"/>
    </row>
    <row r="14" spans="1:18" ht="16" x14ac:dyDescent="0.45">
      <c r="A14" s="2" t="str">
        <f>IFERROR(VLOOKUP(B14,CODE!$B:$D,3,0),"-")</f>
        <v>SNS</v>
      </c>
      <c r="B14" s="2" t="str">
        <f>IF(L14="-",VLOOKUP(J14,CODE!$B:$D,2,0),L14)</f>
        <v>SNS</v>
      </c>
      <c r="C14" s="2" t="s">
        <v>266</v>
      </c>
      <c r="D14" s="2" t="s">
        <v>277</v>
      </c>
      <c r="E14" s="2" t="s">
        <v>296</v>
      </c>
      <c r="F14" s="2" t="s">
        <v>268</v>
      </c>
      <c r="G14" s="2" t="s">
        <v>269</v>
      </c>
      <c r="H14" s="2" t="s">
        <v>297</v>
      </c>
      <c r="I14" s="2" t="s">
        <v>163</v>
      </c>
      <c r="J14" s="2" t="s">
        <v>4</v>
      </c>
      <c r="K14" s="2" t="s">
        <v>164</v>
      </c>
      <c r="L14" s="2" t="s">
        <v>82</v>
      </c>
      <c r="M14" s="38" t="str">
        <f t="shared" si="2"/>
        <v>24</v>
      </c>
      <c r="N14" s="38" t="str">
        <f t="shared" si="3"/>
        <v>08</v>
      </c>
      <c r="O14" s="50" t="s">
        <v>305</v>
      </c>
      <c r="P14" s="50" t="s">
        <v>306</v>
      </c>
      <c r="Q14" s="50">
        <v>432</v>
      </c>
      <c r="R14" s="23"/>
    </row>
    <row r="15" spans="1:18" ht="16" x14ac:dyDescent="0.45">
      <c r="A15" s="2" t="str">
        <f>IFERROR(VLOOKUP(B15,CODE!$B:$D,3,0),"-")</f>
        <v>SNS</v>
      </c>
      <c r="B15" s="2" t="str">
        <f>IF(L15="-",VLOOKUP(J15,CODE!$B:$D,2,0),L15)</f>
        <v>SNS</v>
      </c>
      <c r="C15" s="2" t="s">
        <v>266</v>
      </c>
      <c r="D15" s="2" t="s">
        <v>277</v>
      </c>
      <c r="E15" s="2" t="s">
        <v>296</v>
      </c>
      <c r="F15" s="2" t="s">
        <v>268</v>
      </c>
      <c r="G15" s="2" t="s">
        <v>269</v>
      </c>
      <c r="H15" s="2" t="s">
        <v>297</v>
      </c>
      <c r="I15" s="2" t="s">
        <v>163</v>
      </c>
      <c r="J15" s="2" t="s">
        <v>4</v>
      </c>
      <c r="K15" s="2" t="s">
        <v>164</v>
      </c>
      <c r="L15" s="2" t="s">
        <v>82</v>
      </c>
      <c r="M15" s="38" t="str">
        <f t="shared" si="2"/>
        <v>24</v>
      </c>
      <c r="N15" s="38" t="str">
        <f t="shared" si="3"/>
        <v>08</v>
      </c>
      <c r="O15" s="50" t="s">
        <v>307</v>
      </c>
      <c r="P15" s="50" t="s">
        <v>307</v>
      </c>
      <c r="Q15" s="50">
        <v>62</v>
      </c>
      <c r="R15" s="23"/>
    </row>
    <row r="16" spans="1:18" ht="16" x14ac:dyDescent="0.45">
      <c r="A16" s="2" t="str">
        <f>IFERROR(VLOOKUP(B16,CODE!$B:$D,3,0),"-")</f>
        <v>SNS</v>
      </c>
      <c r="B16" s="2" t="str">
        <f>IF(L16="-",VLOOKUP(J16,CODE!$B:$D,2,0),L16)</f>
        <v>SNS</v>
      </c>
      <c r="C16" s="2" t="s">
        <v>266</v>
      </c>
      <c r="D16" s="2" t="s">
        <v>277</v>
      </c>
      <c r="E16" s="2" t="s">
        <v>296</v>
      </c>
      <c r="F16" s="2" t="s">
        <v>268</v>
      </c>
      <c r="G16" s="2" t="s">
        <v>269</v>
      </c>
      <c r="H16" s="2" t="s">
        <v>297</v>
      </c>
      <c r="I16" s="2" t="s">
        <v>163</v>
      </c>
      <c r="J16" s="2" t="s">
        <v>4</v>
      </c>
      <c r="K16" s="2" t="s">
        <v>164</v>
      </c>
      <c r="L16" s="2" t="s">
        <v>82</v>
      </c>
      <c r="M16" s="38" t="str">
        <f t="shared" si="2"/>
        <v>24</v>
      </c>
      <c r="N16" s="38" t="str">
        <f t="shared" si="3"/>
        <v>12</v>
      </c>
      <c r="O16" s="50" t="s">
        <v>308</v>
      </c>
      <c r="P16" s="50" t="s">
        <v>309</v>
      </c>
      <c r="Q16" s="50">
        <v>123</v>
      </c>
      <c r="R16" s="23"/>
    </row>
    <row r="17" spans="1:18" ht="16" x14ac:dyDescent="0.45">
      <c r="A17" s="2" t="str">
        <f>IFERROR(VLOOKUP(B17,CODE!$B:$D,3,0),"-")</f>
        <v>SNS</v>
      </c>
      <c r="B17" s="2" t="str">
        <f>IF(L17="-",VLOOKUP(J17,CODE!$B:$D,2,0),L17)</f>
        <v>SNS</v>
      </c>
      <c r="C17" s="2" t="s">
        <v>266</v>
      </c>
      <c r="D17" s="2" t="s">
        <v>277</v>
      </c>
      <c r="E17" s="2" t="s">
        <v>296</v>
      </c>
      <c r="F17" s="2" t="s">
        <v>268</v>
      </c>
      <c r="G17" s="2" t="s">
        <v>269</v>
      </c>
      <c r="H17" s="2" t="s">
        <v>297</v>
      </c>
      <c r="I17" s="2" t="s">
        <v>163</v>
      </c>
      <c r="J17" s="2" t="s">
        <v>4</v>
      </c>
      <c r="K17" s="2" t="s">
        <v>164</v>
      </c>
      <c r="L17" s="2" t="s">
        <v>82</v>
      </c>
      <c r="M17" s="38" t="str">
        <f t="shared" si="2"/>
        <v>24</v>
      </c>
      <c r="N17" s="38" t="str">
        <f t="shared" si="3"/>
        <v>12</v>
      </c>
      <c r="O17" s="50" t="s">
        <v>310</v>
      </c>
      <c r="P17" s="50" t="s">
        <v>311</v>
      </c>
      <c r="Q17" s="50">
        <v>3241</v>
      </c>
      <c r="R17" s="23"/>
    </row>
    <row r="18" spans="1:18" ht="16" x14ac:dyDescent="0.45">
      <c r="A18" s="2" t="str">
        <f>IFERROR(VLOOKUP(B18,CODE!$B:$D,3,0),"-")</f>
        <v>포털</v>
      </c>
      <c r="B18" s="2" t="str">
        <f>IF(L18="-",VLOOKUP(J18,CODE!$B:$D,2,0),L18)</f>
        <v>포털</v>
      </c>
      <c r="C18" s="2" t="s">
        <v>266</v>
      </c>
      <c r="D18" s="2" t="s">
        <v>955</v>
      </c>
      <c r="E18" s="2" t="s">
        <v>280</v>
      </c>
      <c r="F18" s="2" t="s">
        <v>268</v>
      </c>
      <c r="G18" s="2" t="s">
        <v>269</v>
      </c>
      <c r="H18" s="2" t="s">
        <v>279</v>
      </c>
      <c r="I18" s="2" t="s">
        <v>229</v>
      </c>
      <c r="J18" s="2" t="s">
        <v>1</v>
      </c>
      <c r="K18" s="2" t="s">
        <v>160</v>
      </c>
      <c r="L18" s="2" t="s">
        <v>82</v>
      </c>
      <c r="M18" s="38" t="str">
        <f t="shared" si="2"/>
        <v>24</v>
      </c>
      <c r="N18" s="38" t="str">
        <f t="shared" si="3"/>
        <v>08</v>
      </c>
      <c r="O18" s="50" t="s">
        <v>312</v>
      </c>
      <c r="P18" s="50" t="s">
        <v>306</v>
      </c>
      <c r="Q18" s="50">
        <v>186</v>
      </c>
      <c r="R18" s="23"/>
    </row>
    <row r="19" spans="1:18" ht="16" x14ac:dyDescent="0.45">
      <c r="A19" s="2" t="str">
        <f>IFERROR(VLOOKUP(B19,CODE!$B:$D,3,0),"-")</f>
        <v>포털</v>
      </c>
      <c r="B19" s="2" t="str">
        <f>IF(L19="-",VLOOKUP(J19,CODE!$B:$D,2,0),L19)</f>
        <v>포털</v>
      </c>
      <c r="C19" s="2" t="s">
        <v>266</v>
      </c>
      <c r="D19" s="2" t="s">
        <v>281</v>
      </c>
      <c r="E19" s="2" t="s">
        <v>282</v>
      </c>
      <c r="F19" s="2" t="s">
        <v>268</v>
      </c>
      <c r="G19" s="2" t="s">
        <v>283</v>
      </c>
      <c r="H19" s="2" t="s">
        <v>284</v>
      </c>
      <c r="I19" s="2" t="s">
        <v>229</v>
      </c>
      <c r="J19" s="2" t="s">
        <v>1</v>
      </c>
      <c r="K19" s="2" t="s">
        <v>159</v>
      </c>
      <c r="L19" s="2" t="s">
        <v>82</v>
      </c>
      <c r="M19" s="38" t="str">
        <f t="shared" ref="M19:M58" si="4">LEFT(O19,2)</f>
        <v>24</v>
      </c>
      <c r="N19" s="38" t="str">
        <f t="shared" ref="N19:N58" si="5">MID(O19,4,2)</f>
        <v>08</v>
      </c>
      <c r="O19" s="50" t="s">
        <v>313</v>
      </c>
      <c r="P19" s="50" t="s">
        <v>313</v>
      </c>
      <c r="Q19" s="50">
        <v>19782</v>
      </c>
    </row>
    <row r="20" spans="1:18" ht="16" x14ac:dyDescent="0.45">
      <c r="A20" s="2" t="s">
        <v>951</v>
      </c>
      <c r="B20" s="2" t="str">
        <f>IF(L20="-",VLOOKUP(J20,CODE!$B:$D,2,0),L20)</f>
        <v>네트워크</v>
      </c>
      <c r="C20" s="2" t="s">
        <v>266</v>
      </c>
      <c r="D20" s="2" t="s">
        <v>281</v>
      </c>
      <c r="E20" s="2" t="s">
        <v>282</v>
      </c>
      <c r="F20" s="2" t="s">
        <v>268</v>
      </c>
      <c r="G20" s="2" t="s">
        <v>283</v>
      </c>
      <c r="H20" s="2" t="s">
        <v>284</v>
      </c>
      <c r="I20" s="2" t="s">
        <v>298</v>
      </c>
      <c r="J20" s="2" t="s">
        <v>299</v>
      </c>
      <c r="K20" s="2" t="s">
        <v>159</v>
      </c>
      <c r="L20" s="2" t="s">
        <v>951</v>
      </c>
      <c r="M20" s="38" t="str">
        <f t="shared" si="4"/>
        <v>24</v>
      </c>
      <c r="N20" s="38" t="str">
        <f t="shared" si="5"/>
        <v>10</v>
      </c>
      <c r="O20" s="50" t="s">
        <v>314</v>
      </c>
      <c r="P20" s="50" t="s">
        <v>315</v>
      </c>
      <c r="Q20" s="50">
        <v>2849</v>
      </c>
    </row>
    <row r="21" spans="1:18" ht="16" x14ac:dyDescent="0.45">
      <c r="A21" s="2" t="s">
        <v>951</v>
      </c>
      <c r="B21" s="2" t="str">
        <f>IF(L21="-",VLOOKUP(J21,CODE!$B:$D,2,0),L21)</f>
        <v>네트워크</v>
      </c>
      <c r="C21" s="2" t="s">
        <v>266</v>
      </c>
      <c r="D21" s="2" t="s">
        <v>281</v>
      </c>
      <c r="E21" s="2" t="s">
        <v>282</v>
      </c>
      <c r="F21" s="2" t="s">
        <v>268</v>
      </c>
      <c r="G21" s="2" t="s">
        <v>283</v>
      </c>
      <c r="H21" s="2" t="s">
        <v>284</v>
      </c>
      <c r="I21" s="2" t="s">
        <v>298</v>
      </c>
      <c r="J21" s="2" t="s">
        <v>299</v>
      </c>
      <c r="K21" s="2" t="s">
        <v>159</v>
      </c>
      <c r="L21" s="2" t="s">
        <v>951</v>
      </c>
      <c r="M21" s="38" t="str">
        <f t="shared" si="4"/>
        <v>24</v>
      </c>
      <c r="N21" s="38" t="str">
        <f t="shared" si="5"/>
        <v>10</v>
      </c>
      <c r="O21" s="50" t="s">
        <v>316</v>
      </c>
      <c r="P21" s="50" t="s">
        <v>317</v>
      </c>
      <c r="Q21" s="50">
        <v>1899</v>
      </c>
    </row>
    <row r="22" spans="1:18" ht="16" x14ac:dyDescent="0.45">
      <c r="A22" s="2" t="s">
        <v>951</v>
      </c>
      <c r="B22" s="2" t="str">
        <f>IF(L22="-",VLOOKUP(J22,CODE!$B:$D,2,0),L22)</f>
        <v>네트워크</v>
      </c>
      <c r="C22" s="2" t="s">
        <v>266</v>
      </c>
      <c r="D22" s="2" t="s">
        <v>281</v>
      </c>
      <c r="E22" s="2" t="s">
        <v>282</v>
      </c>
      <c r="F22" s="2" t="s">
        <v>268</v>
      </c>
      <c r="G22" s="2" t="s">
        <v>283</v>
      </c>
      <c r="H22" s="2" t="s">
        <v>284</v>
      </c>
      <c r="I22" s="2" t="s">
        <v>298</v>
      </c>
      <c r="J22" s="2" t="s">
        <v>299</v>
      </c>
      <c r="K22" s="2" t="s">
        <v>300</v>
      </c>
      <c r="L22" s="2" t="s">
        <v>951</v>
      </c>
      <c r="M22" s="38" t="str">
        <f t="shared" si="4"/>
        <v>24</v>
      </c>
      <c r="N22" s="38" t="str">
        <f t="shared" si="5"/>
        <v>10</v>
      </c>
      <c r="O22" s="50" t="s">
        <v>314</v>
      </c>
      <c r="P22" s="50" t="s">
        <v>315</v>
      </c>
      <c r="Q22" s="50">
        <v>1141</v>
      </c>
    </row>
    <row r="23" spans="1:18" ht="16" x14ac:dyDescent="0.45">
      <c r="A23" s="2" t="s">
        <v>263</v>
      </c>
      <c r="B23" s="2" t="s">
        <v>262</v>
      </c>
      <c r="C23" s="2" t="s">
        <v>266</v>
      </c>
      <c r="D23" s="2" t="s">
        <v>281</v>
      </c>
      <c r="E23" s="2" t="s">
        <v>282</v>
      </c>
      <c r="F23" s="2" t="s">
        <v>268</v>
      </c>
      <c r="G23" s="2" t="s">
        <v>283</v>
      </c>
      <c r="H23" s="2" t="s">
        <v>284</v>
      </c>
      <c r="I23" s="2" t="s">
        <v>298</v>
      </c>
      <c r="J23" s="2" t="s">
        <v>299</v>
      </c>
      <c r="K23" s="2" t="s">
        <v>300</v>
      </c>
      <c r="L23" s="2" t="s">
        <v>82</v>
      </c>
      <c r="M23" s="38" t="str">
        <f t="shared" si="4"/>
        <v>24</v>
      </c>
      <c r="N23" s="38" t="str">
        <f t="shared" si="5"/>
        <v>10</v>
      </c>
      <c r="O23" s="50" t="s">
        <v>316</v>
      </c>
      <c r="P23" s="50" t="s">
        <v>317</v>
      </c>
      <c r="Q23" s="50">
        <v>761</v>
      </c>
    </row>
    <row r="24" spans="1:18" ht="16" x14ac:dyDescent="0.45">
      <c r="A24" s="2" t="s">
        <v>263</v>
      </c>
      <c r="B24" s="2" t="s">
        <v>262</v>
      </c>
      <c r="C24" s="2" t="s">
        <v>266</v>
      </c>
      <c r="D24" s="2" t="s">
        <v>281</v>
      </c>
      <c r="E24" s="2" t="s">
        <v>282</v>
      </c>
      <c r="F24" s="2" t="s">
        <v>268</v>
      </c>
      <c r="G24" s="2" t="s">
        <v>283</v>
      </c>
      <c r="H24" s="2" t="s">
        <v>284</v>
      </c>
      <c r="I24" s="2" t="s">
        <v>298</v>
      </c>
      <c r="J24" s="2" t="s">
        <v>299</v>
      </c>
      <c r="K24" s="2" t="s">
        <v>300</v>
      </c>
      <c r="L24" s="2" t="s">
        <v>82</v>
      </c>
      <c r="M24" s="38" t="str">
        <f t="shared" si="4"/>
        <v>24</v>
      </c>
      <c r="N24" s="38" t="str">
        <f t="shared" si="5"/>
        <v>10</v>
      </c>
      <c r="O24" s="50" t="s">
        <v>314</v>
      </c>
      <c r="P24" s="50" t="s">
        <v>315</v>
      </c>
      <c r="Q24" s="50">
        <v>858</v>
      </c>
    </row>
    <row r="25" spans="1:18" ht="16" x14ac:dyDescent="0.45">
      <c r="A25" s="2" t="s">
        <v>263</v>
      </c>
      <c r="B25" s="2" t="s">
        <v>262</v>
      </c>
      <c r="C25" s="2" t="s">
        <v>266</v>
      </c>
      <c r="D25" s="2" t="s">
        <v>281</v>
      </c>
      <c r="E25" s="2" t="s">
        <v>282</v>
      </c>
      <c r="F25" s="2" t="s">
        <v>268</v>
      </c>
      <c r="G25" s="2" t="s">
        <v>283</v>
      </c>
      <c r="H25" s="2" t="s">
        <v>284</v>
      </c>
      <c r="I25" s="2" t="s">
        <v>298</v>
      </c>
      <c r="J25" s="2" t="s">
        <v>299</v>
      </c>
      <c r="K25" s="2" t="s">
        <v>300</v>
      </c>
      <c r="L25" s="2" t="s">
        <v>82</v>
      </c>
      <c r="M25" s="38" t="str">
        <f t="shared" si="4"/>
        <v>24</v>
      </c>
      <c r="N25" s="38" t="str">
        <f t="shared" si="5"/>
        <v>10</v>
      </c>
      <c r="O25" s="50" t="s">
        <v>316</v>
      </c>
      <c r="P25" s="50" t="s">
        <v>317</v>
      </c>
      <c r="Q25" s="50">
        <v>572</v>
      </c>
    </row>
    <row r="26" spans="1:18" ht="16" x14ac:dyDescent="0.45">
      <c r="A26" s="2" t="str">
        <f>IFERROR(VLOOKUP(B26,CODE!$B:$D,3,0),"-")</f>
        <v>SNS</v>
      </c>
      <c r="B26" s="2" t="str">
        <f>IF(L26="-",VLOOKUP(J26,CODE!$B:$D,2,0),L26)</f>
        <v>SNS</v>
      </c>
      <c r="C26" s="2" t="s">
        <v>266</v>
      </c>
      <c r="D26" s="2" t="s">
        <v>267</v>
      </c>
      <c r="E26" s="2" t="s">
        <v>267</v>
      </c>
      <c r="F26" s="2" t="s">
        <v>268</v>
      </c>
      <c r="G26" s="2" t="s">
        <v>269</v>
      </c>
      <c r="H26" s="2" t="s">
        <v>270</v>
      </c>
      <c r="I26" s="2" t="s">
        <v>163</v>
      </c>
      <c r="J26" s="2" t="s">
        <v>4</v>
      </c>
      <c r="K26" s="2" t="s">
        <v>164</v>
      </c>
      <c r="L26" s="2" t="s">
        <v>82</v>
      </c>
      <c r="M26" s="38" t="str">
        <f t="shared" si="4"/>
        <v>25</v>
      </c>
      <c r="N26" s="38" t="str">
        <f t="shared" si="5"/>
        <v>01</v>
      </c>
      <c r="O26" s="50" t="s">
        <v>322</v>
      </c>
      <c r="P26" s="50" t="s">
        <v>322</v>
      </c>
      <c r="Q26" s="50">
        <v>62</v>
      </c>
    </row>
    <row r="27" spans="1:18" ht="16" x14ac:dyDescent="0.45">
      <c r="A27" s="2" t="str">
        <f>IFERROR(VLOOKUP(B27,CODE!$B:$D,3,0),"-")</f>
        <v>네트워크</v>
      </c>
      <c r="B27" s="2" t="str">
        <f>IF(L27="-",VLOOKUP(J27,CODE!$B:$D,2,0),L27)</f>
        <v>오픈마켓</v>
      </c>
      <c r="C27" s="2" t="s">
        <v>266</v>
      </c>
      <c r="D27" s="2" t="s">
        <v>267</v>
      </c>
      <c r="E27" s="2" t="s">
        <v>267</v>
      </c>
      <c r="F27" s="2" t="s">
        <v>268</v>
      </c>
      <c r="G27" s="2" t="s">
        <v>269</v>
      </c>
      <c r="H27" s="2" t="s">
        <v>270</v>
      </c>
      <c r="I27" s="2" t="s">
        <v>318</v>
      </c>
      <c r="J27" s="2" t="s">
        <v>3</v>
      </c>
      <c r="K27" s="2" t="s">
        <v>319</v>
      </c>
      <c r="L27" s="2" t="s">
        <v>82</v>
      </c>
      <c r="M27" s="38" t="str">
        <f t="shared" si="4"/>
        <v>25</v>
      </c>
      <c r="N27" s="38" t="str">
        <f t="shared" si="5"/>
        <v>01</v>
      </c>
      <c r="O27" s="50" t="s">
        <v>323</v>
      </c>
      <c r="P27" s="50" t="s">
        <v>324</v>
      </c>
      <c r="Q27" s="50">
        <v>47</v>
      </c>
    </row>
    <row r="28" spans="1:18" ht="16" x14ac:dyDescent="0.45">
      <c r="A28" s="2" t="str">
        <f>IFERROR(VLOOKUP(B28,CODE!$B:$D,3,0),"-")</f>
        <v>네트워크</v>
      </c>
      <c r="B28" s="2" t="str">
        <f>IF(L28="-",VLOOKUP(J28,CODE!$B:$D,2,0),L28)</f>
        <v>오픈마켓</v>
      </c>
      <c r="C28" s="2" t="s">
        <v>266</v>
      </c>
      <c r="D28" s="2" t="s">
        <v>267</v>
      </c>
      <c r="E28" s="2" t="s">
        <v>267</v>
      </c>
      <c r="F28" s="2" t="s">
        <v>268</v>
      </c>
      <c r="G28" s="2" t="s">
        <v>269</v>
      </c>
      <c r="H28" s="2" t="s">
        <v>270</v>
      </c>
      <c r="I28" s="2" t="s">
        <v>318</v>
      </c>
      <c r="J28" s="2" t="s">
        <v>3</v>
      </c>
      <c r="K28" s="2" t="s">
        <v>319</v>
      </c>
      <c r="L28" s="2" t="s">
        <v>82</v>
      </c>
      <c r="M28" s="38" t="str">
        <f t="shared" si="4"/>
        <v>25</v>
      </c>
      <c r="N28" s="38" t="str">
        <f t="shared" si="5"/>
        <v>01</v>
      </c>
      <c r="O28" s="50" t="s">
        <v>325</v>
      </c>
      <c r="P28" s="50" t="s">
        <v>325</v>
      </c>
      <c r="Q28" s="50">
        <v>16</v>
      </c>
    </row>
    <row r="29" spans="1:18" ht="16" x14ac:dyDescent="0.45">
      <c r="A29" s="2" t="str">
        <f>IFERROR(VLOOKUP(B29,CODE!$B:$D,3,0),"-")</f>
        <v>SNS</v>
      </c>
      <c r="B29" s="2" t="str">
        <f>IF(L29="-",VLOOKUP(J29,CODE!$B:$D,2,0),L29)</f>
        <v>SNS</v>
      </c>
      <c r="C29" s="2" t="s">
        <v>266</v>
      </c>
      <c r="D29" s="2" t="s">
        <v>267</v>
      </c>
      <c r="E29" s="2" t="s">
        <v>320</v>
      </c>
      <c r="F29" s="2" t="s">
        <v>217</v>
      </c>
      <c r="G29" s="2" t="s">
        <v>218</v>
      </c>
      <c r="H29" s="2" t="s">
        <v>321</v>
      </c>
      <c r="I29" s="2" t="s">
        <v>163</v>
      </c>
      <c r="J29" s="2" t="s">
        <v>4</v>
      </c>
      <c r="K29" s="2" t="s">
        <v>164</v>
      </c>
      <c r="L29" s="2" t="s">
        <v>82</v>
      </c>
      <c r="M29" s="38" t="str">
        <f t="shared" si="4"/>
        <v>25</v>
      </c>
      <c r="N29" s="38" t="str">
        <f t="shared" si="5"/>
        <v>05</v>
      </c>
      <c r="O29" s="50" t="s">
        <v>326</v>
      </c>
      <c r="P29" s="50" t="s">
        <v>326</v>
      </c>
      <c r="Q29" s="50">
        <v>62</v>
      </c>
    </row>
    <row r="30" spans="1:18" ht="16" x14ac:dyDescent="0.45">
      <c r="A30" s="2" t="str">
        <f>IFERROR(VLOOKUP(B30,CODE!$B:$D,3,0),"-")</f>
        <v>SNS</v>
      </c>
      <c r="B30" s="2" t="str">
        <f>IF(L30="-",VLOOKUP(J30,CODE!$B:$D,2,0),L30)</f>
        <v>SNS</v>
      </c>
      <c r="C30" s="2" t="s">
        <v>266</v>
      </c>
      <c r="D30" s="2" t="s">
        <v>277</v>
      </c>
      <c r="E30" s="2" t="s">
        <v>296</v>
      </c>
      <c r="F30" s="2" t="s">
        <v>268</v>
      </c>
      <c r="G30" s="2" t="s">
        <v>269</v>
      </c>
      <c r="H30" s="2" t="s">
        <v>297</v>
      </c>
      <c r="I30" s="2" t="s">
        <v>163</v>
      </c>
      <c r="J30" s="2" t="s">
        <v>4</v>
      </c>
      <c r="K30" s="2" t="s">
        <v>164</v>
      </c>
      <c r="L30" s="2" t="s">
        <v>82</v>
      </c>
      <c r="M30" s="38" t="str">
        <f t="shared" si="4"/>
        <v>25</v>
      </c>
      <c r="N30" s="38" t="str">
        <f t="shared" si="5"/>
        <v>01</v>
      </c>
      <c r="O30" s="50" t="s">
        <v>327</v>
      </c>
      <c r="P30" s="50" t="s">
        <v>328</v>
      </c>
      <c r="Q30" s="50">
        <v>123</v>
      </c>
    </row>
    <row r="31" spans="1:18" ht="16" x14ac:dyDescent="0.45">
      <c r="A31" s="2" t="str">
        <f>IFERROR(VLOOKUP(B31,CODE!$B:$D,3,0),"-")</f>
        <v>SNS</v>
      </c>
      <c r="B31" s="2" t="str">
        <f>IF(L31="-",VLOOKUP(J31,CODE!$B:$D,2,0),L31)</f>
        <v>SNS</v>
      </c>
      <c r="C31" s="2" t="s">
        <v>266</v>
      </c>
      <c r="D31" s="2" t="s">
        <v>277</v>
      </c>
      <c r="E31" s="2" t="s">
        <v>296</v>
      </c>
      <c r="F31" s="2" t="s">
        <v>268</v>
      </c>
      <c r="G31" s="2" t="s">
        <v>269</v>
      </c>
      <c r="H31" s="2" t="s">
        <v>297</v>
      </c>
      <c r="I31" s="2" t="s">
        <v>163</v>
      </c>
      <c r="J31" s="2" t="s">
        <v>4</v>
      </c>
      <c r="K31" s="2" t="s">
        <v>164</v>
      </c>
      <c r="L31" s="2" t="s">
        <v>82</v>
      </c>
      <c r="M31" s="38" t="str">
        <f t="shared" si="4"/>
        <v>25</v>
      </c>
      <c r="N31" s="38" t="str">
        <f t="shared" si="5"/>
        <v>01</v>
      </c>
      <c r="O31" s="50" t="s">
        <v>329</v>
      </c>
      <c r="P31" s="50" t="s">
        <v>330</v>
      </c>
      <c r="Q31" s="50">
        <v>123</v>
      </c>
    </row>
    <row r="32" spans="1:18" ht="16" x14ac:dyDescent="0.45">
      <c r="A32" s="2" t="str">
        <f>IFERROR(VLOOKUP(B32,CODE!$B:$D,3,0),"-")</f>
        <v>SNS</v>
      </c>
      <c r="B32" s="2" t="str">
        <f>IF(L32="-",VLOOKUP(J32,CODE!$B:$D,2,0),L32)</f>
        <v>SNS</v>
      </c>
      <c r="C32" s="2" t="s">
        <v>266</v>
      </c>
      <c r="D32" s="2" t="s">
        <v>955</v>
      </c>
      <c r="E32" s="2" t="s">
        <v>280</v>
      </c>
      <c r="F32" s="2" t="s">
        <v>268</v>
      </c>
      <c r="G32" s="2" t="s">
        <v>269</v>
      </c>
      <c r="H32" s="2" t="s">
        <v>279</v>
      </c>
      <c r="I32" s="2" t="s">
        <v>163</v>
      </c>
      <c r="J32" s="2" t="s">
        <v>4</v>
      </c>
      <c r="K32" s="2" t="s">
        <v>295</v>
      </c>
      <c r="L32" s="2" t="s">
        <v>82</v>
      </c>
      <c r="M32" s="38" t="str">
        <f t="shared" si="4"/>
        <v>25</v>
      </c>
      <c r="N32" s="38" t="str">
        <f t="shared" si="5"/>
        <v>04</v>
      </c>
      <c r="O32" s="50" t="s">
        <v>331</v>
      </c>
      <c r="P32" s="50" t="s">
        <v>331</v>
      </c>
      <c r="Q32" s="50">
        <v>62</v>
      </c>
    </row>
    <row r="33" spans="1:17" ht="16" x14ac:dyDescent="0.45">
      <c r="A33" s="2" t="str">
        <f>IFERROR(VLOOKUP(B33,CODE!$B:$D,3,0),"-")</f>
        <v>포털</v>
      </c>
      <c r="B33" s="2" t="str">
        <f>IF(L33="-",VLOOKUP(J33,CODE!$B:$D,2,0),L33)</f>
        <v>포털</v>
      </c>
      <c r="C33" s="2" t="s">
        <v>266</v>
      </c>
      <c r="D33" s="2" t="s">
        <v>281</v>
      </c>
      <c r="E33" s="2" t="s">
        <v>282</v>
      </c>
      <c r="F33" s="2" t="s">
        <v>268</v>
      </c>
      <c r="G33" s="2" t="s">
        <v>283</v>
      </c>
      <c r="H33" s="2" t="s">
        <v>284</v>
      </c>
      <c r="I33" s="2" t="s">
        <v>229</v>
      </c>
      <c r="J33" s="2" t="s">
        <v>1</v>
      </c>
      <c r="K33" s="2" t="s">
        <v>159</v>
      </c>
      <c r="L33" s="2" t="s">
        <v>82</v>
      </c>
      <c r="M33" s="38" t="str">
        <f t="shared" si="4"/>
        <v>25</v>
      </c>
      <c r="N33" s="38" t="str">
        <f t="shared" si="5"/>
        <v>02</v>
      </c>
      <c r="O33" s="50" t="s">
        <v>332</v>
      </c>
      <c r="P33" s="50" t="s">
        <v>332</v>
      </c>
      <c r="Q33" s="50">
        <v>44276</v>
      </c>
    </row>
    <row r="34" spans="1:17" ht="16" x14ac:dyDescent="0.45">
      <c r="A34" s="2" t="str">
        <f>IFERROR(VLOOKUP(B34,CODE!$B:$D,3,0),"-")</f>
        <v>포털</v>
      </c>
      <c r="B34" s="2" t="str">
        <f>IF(L34="-",VLOOKUP(J34,CODE!$B:$D,2,0),L34)</f>
        <v>포털</v>
      </c>
      <c r="C34" s="2" t="s">
        <v>266</v>
      </c>
      <c r="D34" s="2" t="s">
        <v>281</v>
      </c>
      <c r="E34" s="2" t="s">
        <v>282</v>
      </c>
      <c r="F34" s="2" t="s">
        <v>268</v>
      </c>
      <c r="G34" s="2" t="s">
        <v>283</v>
      </c>
      <c r="H34" s="2" t="s">
        <v>284</v>
      </c>
      <c r="I34" s="2" t="s">
        <v>229</v>
      </c>
      <c r="J34" s="2" t="s">
        <v>1</v>
      </c>
      <c r="K34" s="2" t="s">
        <v>159</v>
      </c>
      <c r="L34" s="2" t="s">
        <v>82</v>
      </c>
      <c r="M34" s="38" t="str">
        <f t="shared" si="4"/>
        <v>25</v>
      </c>
      <c r="N34" s="38" t="str">
        <f t="shared" si="5"/>
        <v>06</v>
      </c>
      <c r="O34" s="50" t="s">
        <v>333</v>
      </c>
      <c r="P34" s="50" t="s">
        <v>333</v>
      </c>
      <c r="Q34" s="50">
        <v>44993</v>
      </c>
    </row>
    <row r="35" spans="1:17" ht="16" x14ac:dyDescent="0.45">
      <c r="A35" s="2" t="str">
        <f>IFERROR(VLOOKUP(B35,CODE!$B:$D,3,0),"-")</f>
        <v>포털</v>
      </c>
      <c r="B35" s="2" t="str">
        <f>IF(L35="-",VLOOKUP(J35,CODE!$B:$D,2,0),L35)</f>
        <v>포털</v>
      </c>
      <c r="C35" s="2" t="s">
        <v>266</v>
      </c>
      <c r="D35" s="2" t="s">
        <v>267</v>
      </c>
      <c r="E35" s="2" t="s">
        <v>267</v>
      </c>
      <c r="F35" s="2" t="s">
        <v>268</v>
      </c>
      <c r="G35" s="2" t="s">
        <v>269</v>
      </c>
      <c r="H35" s="2" t="s">
        <v>270</v>
      </c>
      <c r="I35" s="2" t="s">
        <v>229</v>
      </c>
      <c r="J35" s="2" t="s">
        <v>1</v>
      </c>
      <c r="K35" s="2" t="s">
        <v>160</v>
      </c>
      <c r="L35" s="2" t="s">
        <v>82</v>
      </c>
      <c r="M35" s="38" t="str">
        <f t="shared" si="4"/>
        <v>26</v>
      </c>
      <c r="N35" s="38" t="str">
        <f t="shared" si="5"/>
        <v>01</v>
      </c>
      <c r="O35" s="50" t="s">
        <v>399</v>
      </c>
      <c r="P35" s="50" t="s">
        <v>399</v>
      </c>
      <c r="Q35" s="50">
        <v>31</v>
      </c>
    </row>
    <row r="36" spans="1:17" ht="16" x14ac:dyDescent="0.45">
      <c r="A36" s="2" t="str">
        <f>IFERROR(VLOOKUP(B36,CODE!$B:$D,3,0),"-")</f>
        <v>SNS</v>
      </c>
      <c r="B36" s="2" t="str">
        <f>IF(L36="-",VLOOKUP(J36,CODE!$B:$D,2,0),L36)</f>
        <v>SNS</v>
      </c>
      <c r="C36" s="2" t="s">
        <v>266</v>
      </c>
      <c r="D36" s="2" t="s">
        <v>267</v>
      </c>
      <c r="E36" s="2" t="s">
        <v>267</v>
      </c>
      <c r="F36" s="2" t="s">
        <v>268</v>
      </c>
      <c r="G36" s="2" t="s">
        <v>269</v>
      </c>
      <c r="H36" s="2" t="s">
        <v>270</v>
      </c>
      <c r="I36" s="2" t="s">
        <v>163</v>
      </c>
      <c r="J36" s="2" t="s">
        <v>4</v>
      </c>
      <c r="K36" s="2" t="s">
        <v>164</v>
      </c>
      <c r="L36" s="2" t="s">
        <v>82</v>
      </c>
      <c r="M36" s="38" t="str">
        <f t="shared" si="4"/>
        <v>26</v>
      </c>
      <c r="N36" s="38" t="str">
        <f t="shared" si="5"/>
        <v>01</v>
      </c>
      <c r="O36" s="50" t="s">
        <v>242</v>
      </c>
      <c r="P36" s="50" t="s">
        <v>242</v>
      </c>
      <c r="Q36" s="50">
        <v>62</v>
      </c>
    </row>
    <row r="37" spans="1:17" ht="16" x14ac:dyDescent="0.45">
      <c r="A37" s="2" t="str">
        <f>IFERROR(VLOOKUP(B37,CODE!$B:$D,3,0),"-")</f>
        <v>SNS</v>
      </c>
      <c r="B37" s="2" t="str">
        <f>IF(L37="-",VLOOKUP(J37,CODE!$B:$D,2,0),L37)</f>
        <v>SNS</v>
      </c>
      <c r="C37" s="2" t="s">
        <v>266</v>
      </c>
      <c r="D37" s="2" t="s">
        <v>267</v>
      </c>
      <c r="E37" s="2" t="s">
        <v>267</v>
      </c>
      <c r="F37" s="2" t="s">
        <v>268</v>
      </c>
      <c r="G37" s="2" t="s">
        <v>269</v>
      </c>
      <c r="H37" s="2" t="s">
        <v>270</v>
      </c>
      <c r="I37" s="2" t="s">
        <v>163</v>
      </c>
      <c r="J37" s="2" t="s">
        <v>4</v>
      </c>
      <c r="K37" s="2" t="s">
        <v>164</v>
      </c>
      <c r="L37" s="2" t="s">
        <v>82</v>
      </c>
      <c r="M37" s="38" t="str">
        <f t="shared" si="4"/>
        <v>25</v>
      </c>
      <c r="N37" s="38" t="str">
        <f t="shared" si="5"/>
        <v>11</v>
      </c>
      <c r="O37" s="50" t="s">
        <v>108</v>
      </c>
      <c r="P37" s="50" t="s">
        <v>400</v>
      </c>
      <c r="Q37" s="50">
        <v>5168</v>
      </c>
    </row>
    <row r="38" spans="1:17" ht="16" x14ac:dyDescent="0.45">
      <c r="A38" s="2" t="str">
        <f>IFERROR(VLOOKUP(B38,CODE!$B:$D,3,0),"-")</f>
        <v>SNS</v>
      </c>
      <c r="B38" s="2" t="str">
        <f>IF(L38="-",VLOOKUP(J38,CODE!$B:$D,2,0),L38)</f>
        <v>SNS</v>
      </c>
      <c r="C38" s="2" t="s">
        <v>266</v>
      </c>
      <c r="D38" s="2" t="s">
        <v>267</v>
      </c>
      <c r="E38" s="2" t="s">
        <v>267</v>
      </c>
      <c r="F38" s="2" t="s">
        <v>268</v>
      </c>
      <c r="G38" s="2" t="s">
        <v>269</v>
      </c>
      <c r="H38" s="2" t="s">
        <v>270</v>
      </c>
      <c r="I38" s="2" t="s">
        <v>163</v>
      </c>
      <c r="J38" s="2" t="s">
        <v>4</v>
      </c>
      <c r="K38" s="2" t="s">
        <v>164</v>
      </c>
      <c r="L38" s="2" t="s">
        <v>82</v>
      </c>
      <c r="M38" s="38" t="str">
        <f t="shared" si="4"/>
        <v>26</v>
      </c>
      <c r="N38" s="38" t="str">
        <f t="shared" si="5"/>
        <v>01</v>
      </c>
      <c r="O38" s="50" t="s">
        <v>401</v>
      </c>
      <c r="P38" s="50" t="s">
        <v>401</v>
      </c>
      <c r="Q38" s="50">
        <v>1531</v>
      </c>
    </row>
    <row r="39" spans="1:17" ht="16" x14ac:dyDescent="0.45">
      <c r="A39" s="2" t="str">
        <f>IFERROR(VLOOKUP(B39,CODE!$B:$D,3,0),"-")</f>
        <v>네트워크</v>
      </c>
      <c r="B39" s="2" t="str">
        <f>IF(L39="-",VLOOKUP(J39,CODE!$B:$D,2,0),L39)</f>
        <v>오픈마켓</v>
      </c>
      <c r="C39" s="2" t="s">
        <v>266</v>
      </c>
      <c r="D39" s="2" t="s">
        <v>267</v>
      </c>
      <c r="E39" s="2" t="s">
        <v>267</v>
      </c>
      <c r="F39" s="2" t="s">
        <v>268</v>
      </c>
      <c r="G39" s="2" t="s">
        <v>269</v>
      </c>
      <c r="H39" s="2" t="s">
        <v>270</v>
      </c>
      <c r="I39" s="2" t="s">
        <v>318</v>
      </c>
      <c r="J39" s="2" t="s">
        <v>3</v>
      </c>
      <c r="K39" s="2" t="s">
        <v>159</v>
      </c>
      <c r="L39" s="2" t="s">
        <v>82</v>
      </c>
      <c r="M39" s="38" t="str">
        <f t="shared" si="4"/>
        <v>25</v>
      </c>
      <c r="N39" s="38" t="str">
        <f t="shared" si="5"/>
        <v>11</v>
      </c>
      <c r="O39" s="50" t="s">
        <v>246</v>
      </c>
      <c r="P39" s="50" t="s">
        <v>246</v>
      </c>
      <c r="Q39" s="50">
        <v>389</v>
      </c>
    </row>
    <row r="40" spans="1:17" ht="16" x14ac:dyDescent="0.45">
      <c r="A40" s="2" t="str">
        <f>IFERROR(VLOOKUP(B40,CODE!$B:$D,3,0),"-")</f>
        <v>SNS</v>
      </c>
      <c r="B40" s="2" t="str">
        <f>IF(L40="-",VLOOKUP(J40,CODE!$B:$D,2,0),L40)</f>
        <v>SNS</v>
      </c>
      <c r="C40" s="2" t="s">
        <v>266</v>
      </c>
      <c r="D40" s="2" t="s">
        <v>267</v>
      </c>
      <c r="E40" s="2" t="s">
        <v>334</v>
      </c>
      <c r="F40" s="2" t="s">
        <v>217</v>
      </c>
      <c r="G40" s="2" t="s">
        <v>218</v>
      </c>
      <c r="H40" s="2" t="s">
        <v>321</v>
      </c>
      <c r="I40" s="2" t="s">
        <v>163</v>
      </c>
      <c r="J40" s="2" t="s">
        <v>4</v>
      </c>
      <c r="K40" s="2" t="s">
        <v>164</v>
      </c>
      <c r="L40" s="2" t="s">
        <v>82</v>
      </c>
      <c r="M40" s="38" t="str">
        <f t="shared" si="4"/>
        <v>26</v>
      </c>
      <c r="N40" s="38" t="str">
        <f t="shared" si="5"/>
        <v>01</v>
      </c>
      <c r="O40" s="50" t="s">
        <v>243</v>
      </c>
      <c r="P40" s="50" t="s">
        <v>243</v>
      </c>
      <c r="Q40" s="50">
        <v>62</v>
      </c>
    </row>
    <row r="41" spans="1:17" ht="16" x14ac:dyDescent="0.45">
      <c r="A41" s="2" t="str">
        <f>IFERROR(VLOOKUP(B41,CODE!$B:$D,3,0),"-")</f>
        <v>SNS</v>
      </c>
      <c r="B41" s="2" t="str">
        <f>IF(L41="-",VLOOKUP(J41,CODE!$B:$D,2,0),L41)</f>
        <v>SNS</v>
      </c>
      <c r="C41" s="2" t="s">
        <v>266</v>
      </c>
      <c r="D41" s="2" t="s">
        <v>267</v>
      </c>
      <c r="E41" s="2" t="s">
        <v>335</v>
      </c>
      <c r="F41" s="2" t="s">
        <v>217</v>
      </c>
      <c r="G41" s="2" t="s">
        <v>218</v>
      </c>
      <c r="H41" s="2" t="s">
        <v>219</v>
      </c>
      <c r="I41" s="2" t="s">
        <v>163</v>
      </c>
      <c r="J41" s="2" t="s">
        <v>4</v>
      </c>
      <c r="K41" s="2" t="s">
        <v>164</v>
      </c>
      <c r="L41" s="2" t="s">
        <v>82</v>
      </c>
      <c r="M41" s="38" t="str">
        <f t="shared" si="4"/>
        <v>26</v>
      </c>
      <c r="N41" s="38" t="str">
        <f t="shared" si="5"/>
        <v>01</v>
      </c>
      <c r="O41" s="50" t="s">
        <v>223</v>
      </c>
      <c r="P41" s="50" t="s">
        <v>223</v>
      </c>
      <c r="Q41" s="50">
        <v>62</v>
      </c>
    </row>
    <row r="42" spans="1:17" ht="16" x14ac:dyDescent="0.45">
      <c r="A42" s="2" t="str">
        <f>IFERROR(VLOOKUP(B42,CODE!$B:$D,3,0),"-")</f>
        <v>네트워크</v>
      </c>
      <c r="B42" s="2" t="str">
        <f>IF(L42="-",VLOOKUP(J42,CODE!$B:$D,2,0),L42)</f>
        <v>모비온</v>
      </c>
      <c r="C42" s="2" t="s">
        <v>266</v>
      </c>
      <c r="D42" s="2" t="s">
        <v>955</v>
      </c>
      <c r="E42" s="2" t="s">
        <v>280</v>
      </c>
      <c r="F42" s="2" t="s">
        <v>268</v>
      </c>
      <c r="G42" s="2" t="s">
        <v>269</v>
      </c>
      <c r="H42" s="2" t="s">
        <v>279</v>
      </c>
      <c r="I42" s="2" t="s">
        <v>336</v>
      </c>
      <c r="J42" s="2" t="s">
        <v>1</v>
      </c>
      <c r="K42" s="2" t="s">
        <v>160</v>
      </c>
      <c r="L42" s="2" t="s">
        <v>103</v>
      </c>
      <c r="M42" s="38" t="str">
        <f t="shared" si="4"/>
        <v>25</v>
      </c>
      <c r="N42" s="38" t="str">
        <f t="shared" si="5"/>
        <v>10</v>
      </c>
      <c r="O42" s="50" t="s">
        <v>402</v>
      </c>
      <c r="P42" s="50" t="s">
        <v>402</v>
      </c>
      <c r="Q42" s="50">
        <v>124</v>
      </c>
    </row>
    <row r="43" spans="1:17" ht="16" x14ac:dyDescent="0.45">
      <c r="A43" s="2" t="s">
        <v>263</v>
      </c>
      <c r="B43" s="2" t="s">
        <v>262</v>
      </c>
      <c r="C43" s="2" t="s">
        <v>266</v>
      </c>
      <c r="D43" s="2" t="s">
        <v>955</v>
      </c>
      <c r="E43" s="2" t="s">
        <v>280</v>
      </c>
      <c r="F43" s="2" t="s">
        <v>268</v>
      </c>
      <c r="G43" s="2" t="s">
        <v>269</v>
      </c>
      <c r="H43" s="2" t="s">
        <v>279</v>
      </c>
      <c r="I43" s="2" t="s">
        <v>336</v>
      </c>
      <c r="J43" s="2" t="s">
        <v>1</v>
      </c>
      <c r="K43" s="2" t="s">
        <v>273</v>
      </c>
      <c r="L43" s="2" t="s">
        <v>103</v>
      </c>
      <c r="M43" s="38" t="str">
        <f t="shared" si="4"/>
        <v>25</v>
      </c>
      <c r="N43" s="38" t="str">
        <f t="shared" si="5"/>
        <v>12</v>
      </c>
      <c r="O43" s="50" t="s">
        <v>239</v>
      </c>
      <c r="P43" s="50" t="s">
        <v>239</v>
      </c>
      <c r="Q43" s="50">
        <v>124</v>
      </c>
    </row>
    <row r="44" spans="1:17" ht="16" x14ac:dyDescent="0.45">
      <c r="A44" s="2" t="s">
        <v>263</v>
      </c>
      <c r="B44" s="2" t="s">
        <v>262</v>
      </c>
      <c r="C44" s="2" t="s">
        <v>266</v>
      </c>
      <c r="D44" s="2" t="s">
        <v>955</v>
      </c>
      <c r="E44" s="2" t="s">
        <v>280</v>
      </c>
      <c r="F44" s="2" t="s">
        <v>268</v>
      </c>
      <c r="G44" s="2" t="s">
        <v>269</v>
      </c>
      <c r="H44" s="2" t="s">
        <v>279</v>
      </c>
      <c r="I44" s="2" t="s">
        <v>337</v>
      </c>
      <c r="J44" s="2" t="s">
        <v>7</v>
      </c>
      <c r="K44" s="2" t="s">
        <v>338</v>
      </c>
      <c r="L44" s="2" t="s">
        <v>103</v>
      </c>
      <c r="M44" s="38" t="str">
        <f t="shared" si="4"/>
        <v>25</v>
      </c>
      <c r="N44" s="38" t="str">
        <f t="shared" si="5"/>
        <v>10</v>
      </c>
      <c r="O44" s="50" t="s">
        <v>403</v>
      </c>
      <c r="P44" s="50" t="s">
        <v>403</v>
      </c>
      <c r="Q44" s="50">
        <v>124</v>
      </c>
    </row>
    <row r="45" spans="1:17" ht="16" x14ac:dyDescent="0.45">
      <c r="A45" s="2" t="s">
        <v>263</v>
      </c>
      <c r="B45" s="2" t="s">
        <v>262</v>
      </c>
      <c r="C45" s="2" t="s">
        <v>266</v>
      </c>
      <c r="D45" s="2" t="s">
        <v>955</v>
      </c>
      <c r="E45" s="2" t="s">
        <v>280</v>
      </c>
      <c r="F45" s="2" t="s">
        <v>268</v>
      </c>
      <c r="G45" s="2" t="s">
        <v>269</v>
      </c>
      <c r="H45" s="2" t="s">
        <v>279</v>
      </c>
      <c r="I45" s="2" t="s">
        <v>337</v>
      </c>
      <c r="J45" s="2" t="s">
        <v>7</v>
      </c>
      <c r="K45" s="2" t="s">
        <v>339</v>
      </c>
      <c r="L45" s="2" t="s">
        <v>103</v>
      </c>
      <c r="M45" s="38" t="str">
        <f t="shared" si="4"/>
        <v>25</v>
      </c>
      <c r="N45" s="38" t="str">
        <f t="shared" si="5"/>
        <v>08</v>
      </c>
      <c r="O45" s="50" t="s">
        <v>404</v>
      </c>
      <c r="P45" s="50" t="s">
        <v>404</v>
      </c>
      <c r="Q45" s="50">
        <v>150</v>
      </c>
    </row>
    <row r="46" spans="1:17" ht="16" x14ac:dyDescent="0.45">
      <c r="A46" s="2" t="s">
        <v>263</v>
      </c>
      <c r="B46" s="2" t="s">
        <v>262</v>
      </c>
      <c r="C46" s="2" t="s">
        <v>266</v>
      </c>
      <c r="D46" s="2" t="s">
        <v>955</v>
      </c>
      <c r="E46" s="2" t="s">
        <v>280</v>
      </c>
      <c r="F46" s="2" t="s">
        <v>268</v>
      </c>
      <c r="G46" s="2" t="s">
        <v>269</v>
      </c>
      <c r="H46" s="2" t="s">
        <v>279</v>
      </c>
      <c r="I46" s="2" t="s">
        <v>337</v>
      </c>
      <c r="J46" s="2" t="s">
        <v>7</v>
      </c>
      <c r="K46" s="2" t="s">
        <v>340</v>
      </c>
      <c r="L46" s="2" t="s">
        <v>103</v>
      </c>
      <c r="M46" s="38" t="str">
        <f t="shared" si="4"/>
        <v>26</v>
      </c>
      <c r="N46" s="38" t="str">
        <f t="shared" si="5"/>
        <v>01</v>
      </c>
      <c r="O46" s="50" t="s">
        <v>399</v>
      </c>
      <c r="P46" s="50" t="s">
        <v>399</v>
      </c>
      <c r="Q46" s="50">
        <v>447</v>
      </c>
    </row>
    <row r="47" spans="1:17" ht="16" x14ac:dyDescent="0.45">
      <c r="A47" s="2" t="s">
        <v>263</v>
      </c>
      <c r="B47" s="2" t="s">
        <v>262</v>
      </c>
      <c r="C47" s="2" t="s">
        <v>266</v>
      </c>
      <c r="D47" s="2" t="s">
        <v>955</v>
      </c>
      <c r="E47" s="2" t="s">
        <v>280</v>
      </c>
      <c r="F47" s="2" t="s">
        <v>268</v>
      </c>
      <c r="G47" s="2" t="s">
        <v>269</v>
      </c>
      <c r="H47" s="2" t="s">
        <v>279</v>
      </c>
      <c r="I47" s="2" t="s">
        <v>101</v>
      </c>
      <c r="J47" s="2" t="s">
        <v>9</v>
      </c>
      <c r="K47" s="2" t="s">
        <v>341</v>
      </c>
      <c r="L47" s="2" t="s">
        <v>103</v>
      </c>
      <c r="M47" s="38" t="str">
        <f t="shared" si="4"/>
        <v>25</v>
      </c>
      <c r="N47" s="38" t="str">
        <f t="shared" si="5"/>
        <v>10</v>
      </c>
      <c r="O47" s="50" t="s">
        <v>405</v>
      </c>
      <c r="P47" s="50" t="s">
        <v>405</v>
      </c>
      <c r="Q47" s="50">
        <v>124</v>
      </c>
    </row>
    <row r="48" spans="1:17" ht="16" x14ac:dyDescent="0.45">
      <c r="A48" s="2" t="s">
        <v>263</v>
      </c>
      <c r="B48" s="2" t="s">
        <v>262</v>
      </c>
      <c r="C48" s="2" t="s">
        <v>266</v>
      </c>
      <c r="D48" s="2" t="s">
        <v>955</v>
      </c>
      <c r="E48" s="2" t="s">
        <v>280</v>
      </c>
      <c r="F48" s="2" t="s">
        <v>268</v>
      </c>
      <c r="G48" s="2" t="s">
        <v>269</v>
      </c>
      <c r="H48" s="2" t="s">
        <v>279</v>
      </c>
      <c r="I48" s="2" t="s">
        <v>101</v>
      </c>
      <c r="J48" s="2" t="s">
        <v>9</v>
      </c>
      <c r="K48" s="2" t="s">
        <v>338</v>
      </c>
      <c r="L48" s="2" t="s">
        <v>103</v>
      </c>
      <c r="M48" s="38" t="str">
        <f t="shared" si="4"/>
        <v>25</v>
      </c>
      <c r="N48" s="38" t="str">
        <f t="shared" si="5"/>
        <v>11</v>
      </c>
      <c r="O48" s="50" t="s">
        <v>207</v>
      </c>
      <c r="P48" s="50" t="s">
        <v>207</v>
      </c>
      <c r="Q48" s="50">
        <v>124</v>
      </c>
    </row>
    <row r="49" spans="1:17" ht="16" x14ac:dyDescent="0.45">
      <c r="A49" s="2" t="s">
        <v>263</v>
      </c>
      <c r="B49" s="2" t="s">
        <v>262</v>
      </c>
      <c r="C49" s="2" t="s">
        <v>266</v>
      </c>
      <c r="D49" s="2" t="s">
        <v>955</v>
      </c>
      <c r="E49" s="2" t="s">
        <v>280</v>
      </c>
      <c r="F49" s="2" t="s">
        <v>268</v>
      </c>
      <c r="G49" s="2" t="s">
        <v>269</v>
      </c>
      <c r="H49" s="2" t="s">
        <v>279</v>
      </c>
      <c r="I49" s="2" t="s">
        <v>101</v>
      </c>
      <c r="J49" s="2" t="s">
        <v>9</v>
      </c>
      <c r="K49" s="2" t="s">
        <v>338</v>
      </c>
      <c r="L49" s="2" t="s">
        <v>103</v>
      </c>
      <c r="M49" s="38" t="str">
        <f t="shared" si="4"/>
        <v>25</v>
      </c>
      <c r="N49" s="38" t="str">
        <f t="shared" si="5"/>
        <v>12</v>
      </c>
      <c r="O49" s="50" t="s">
        <v>406</v>
      </c>
      <c r="P49" s="50" t="s">
        <v>406</v>
      </c>
      <c r="Q49" s="50">
        <v>124</v>
      </c>
    </row>
    <row r="50" spans="1:17" ht="16" x14ac:dyDescent="0.45">
      <c r="A50" s="2" t="s">
        <v>263</v>
      </c>
      <c r="B50" s="2" t="s">
        <v>262</v>
      </c>
      <c r="C50" s="2" t="s">
        <v>266</v>
      </c>
      <c r="D50" s="2" t="s">
        <v>955</v>
      </c>
      <c r="E50" s="2" t="s">
        <v>280</v>
      </c>
      <c r="F50" s="2" t="s">
        <v>268</v>
      </c>
      <c r="G50" s="2" t="s">
        <v>269</v>
      </c>
      <c r="H50" s="2" t="s">
        <v>279</v>
      </c>
      <c r="I50" s="2" t="s">
        <v>101</v>
      </c>
      <c r="J50" s="2" t="s">
        <v>9</v>
      </c>
      <c r="K50" s="2" t="s">
        <v>338</v>
      </c>
      <c r="L50" s="2" t="s">
        <v>103</v>
      </c>
      <c r="M50" s="38" t="str">
        <f t="shared" si="4"/>
        <v>25</v>
      </c>
      <c r="N50" s="38" t="str">
        <f t="shared" si="5"/>
        <v>12</v>
      </c>
      <c r="O50" s="50" t="s">
        <v>234</v>
      </c>
      <c r="P50" s="50" t="s">
        <v>234</v>
      </c>
      <c r="Q50" s="50">
        <v>124</v>
      </c>
    </row>
    <row r="51" spans="1:17" ht="16" x14ac:dyDescent="0.45">
      <c r="A51" s="2" t="s">
        <v>263</v>
      </c>
      <c r="B51" s="2" t="s">
        <v>262</v>
      </c>
      <c r="C51" s="2" t="s">
        <v>266</v>
      </c>
      <c r="D51" s="2" t="s">
        <v>955</v>
      </c>
      <c r="E51" s="2" t="s">
        <v>280</v>
      </c>
      <c r="F51" s="2" t="s">
        <v>268</v>
      </c>
      <c r="G51" s="2" t="s">
        <v>269</v>
      </c>
      <c r="H51" s="2" t="s">
        <v>279</v>
      </c>
      <c r="I51" s="2" t="s">
        <v>101</v>
      </c>
      <c r="J51" s="2" t="s">
        <v>9</v>
      </c>
      <c r="K51" s="2" t="s">
        <v>165</v>
      </c>
      <c r="L51" s="2" t="s">
        <v>103</v>
      </c>
      <c r="M51" s="38" t="str">
        <f t="shared" si="4"/>
        <v>25</v>
      </c>
      <c r="N51" s="38" t="str">
        <f t="shared" si="5"/>
        <v>10</v>
      </c>
      <c r="O51" s="50" t="s">
        <v>407</v>
      </c>
      <c r="P51" s="50" t="s">
        <v>407</v>
      </c>
      <c r="Q51" s="50">
        <v>124</v>
      </c>
    </row>
    <row r="52" spans="1:17" ht="16" x14ac:dyDescent="0.45">
      <c r="A52" s="2" t="s">
        <v>263</v>
      </c>
      <c r="B52" s="2" t="s">
        <v>262</v>
      </c>
      <c r="C52" s="2" t="s">
        <v>266</v>
      </c>
      <c r="D52" s="2" t="s">
        <v>955</v>
      </c>
      <c r="E52" s="2" t="s">
        <v>280</v>
      </c>
      <c r="F52" s="2" t="s">
        <v>268</v>
      </c>
      <c r="G52" s="2" t="s">
        <v>269</v>
      </c>
      <c r="H52" s="2" t="s">
        <v>279</v>
      </c>
      <c r="I52" s="2" t="s">
        <v>101</v>
      </c>
      <c r="J52" s="2" t="s">
        <v>9</v>
      </c>
      <c r="K52" s="2" t="s">
        <v>165</v>
      </c>
      <c r="L52" s="2" t="s">
        <v>103</v>
      </c>
      <c r="M52" s="38" t="str">
        <f t="shared" si="4"/>
        <v>25</v>
      </c>
      <c r="N52" s="38" t="str">
        <f t="shared" si="5"/>
        <v>10</v>
      </c>
      <c r="O52" s="50" t="s">
        <v>408</v>
      </c>
      <c r="P52" s="50" t="s">
        <v>408</v>
      </c>
      <c r="Q52" s="50">
        <v>124</v>
      </c>
    </row>
    <row r="53" spans="1:17" ht="16" x14ac:dyDescent="0.45">
      <c r="A53" s="2" t="s">
        <v>263</v>
      </c>
      <c r="B53" s="2" t="s">
        <v>262</v>
      </c>
      <c r="C53" s="2" t="s">
        <v>266</v>
      </c>
      <c r="D53" s="2" t="s">
        <v>955</v>
      </c>
      <c r="E53" s="2" t="s">
        <v>280</v>
      </c>
      <c r="F53" s="2" t="s">
        <v>268</v>
      </c>
      <c r="G53" s="2" t="s">
        <v>269</v>
      </c>
      <c r="H53" s="2" t="s">
        <v>279</v>
      </c>
      <c r="I53" s="2" t="s">
        <v>101</v>
      </c>
      <c r="J53" s="2" t="s">
        <v>9</v>
      </c>
      <c r="K53" s="2" t="s">
        <v>165</v>
      </c>
      <c r="L53" s="2" t="s">
        <v>103</v>
      </c>
      <c r="M53" s="38" t="str">
        <f t="shared" si="4"/>
        <v>25</v>
      </c>
      <c r="N53" s="38" t="str">
        <f t="shared" si="5"/>
        <v>11</v>
      </c>
      <c r="O53" s="50" t="s">
        <v>409</v>
      </c>
      <c r="P53" s="50" t="s">
        <v>409</v>
      </c>
      <c r="Q53" s="50">
        <v>124</v>
      </c>
    </row>
    <row r="54" spans="1:17" ht="16" x14ac:dyDescent="0.45">
      <c r="A54" s="2" t="str">
        <f>IFERROR(VLOOKUP(B54,CODE!$B:$D,3,0),"-")</f>
        <v>네트워크</v>
      </c>
      <c r="B54" s="2" t="str">
        <f>IF(L54="-",VLOOKUP(J54,CODE!$B:$D,2,0),L54)</f>
        <v>모비온</v>
      </c>
      <c r="C54" s="2" t="s">
        <v>266</v>
      </c>
      <c r="D54" s="2" t="s">
        <v>955</v>
      </c>
      <c r="E54" s="2" t="s">
        <v>280</v>
      </c>
      <c r="F54" s="2" t="s">
        <v>268</v>
      </c>
      <c r="G54" s="2" t="s">
        <v>269</v>
      </c>
      <c r="H54" s="2" t="s">
        <v>279</v>
      </c>
      <c r="I54" s="2" t="s">
        <v>101</v>
      </c>
      <c r="J54" s="2" t="s">
        <v>9</v>
      </c>
      <c r="K54" s="2" t="s">
        <v>161</v>
      </c>
      <c r="L54" s="2" t="s">
        <v>103</v>
      </c>
      <c r="M54" s="38" t="str">
        <f t="shared" si="4"/>
        <v>25</v>
      </c>
      <c r="N54" s="38" t="str">
        <f t="shared" si="5"/>
        <v>10</v>
      </c>
      <c r="O54" s="50" t="s">
        <v>257</v>
      </c>
      <c r="P54" s="50" t="s">
        <v>257</v>
      </c>
      <c r="Q54" s="50">
        <v>124</v>
      </c>
    </row>
    <row r="55" spans="1:17" ht="16" x14ac:dyDescent="0.45">
      <c r="A55" s="2" t="str">
        <f>IFERROR(VLOOKUP(B55,CODE!$B:$D,3,0),"-")</f>
        <v>네트워크</v>
      </c>
      <c r="B55" s="2" t="str">
        <f>IF(L55="-",VLOOKUP(J55,CODE!$B:$D,2,0),L55)</f>
        <v>모비온</v>
      </c>
      <c r="C55" s="2" t="s">
        <v>266</v>
      </c>
      <c r="D55" s="2" t="s">
        <v>955</v>
      </c>
      <c r="E55" s="2" t="s">
        <v>280</v>
      </c>
      <c r="F55" s="2" t="s">
        <v>268</v>
      </c>
      <c r="G55" s="2" t="s">
        <v>269</v>
      </c>
      <c r="H55" s="2" t="s">
        <v>279</v>
      </c>
      <c r="I55" s="2" t="s">
        <v>342</v>
      </c>
      <c r="J55" s="2" t="s">
        <v>9</v>
      </c>
      <c r="K55" s="2" t="s">
        <v>341</v>
      </c>
      <c r="L55" s="2" t="s">
        <v>103</v>
      </c>
      <c r="M55" s="38" t="str">
        <f t="shared" si="4"/>
        <v>25</v>
      </c>
      <c r="N55" s="38" t="str">
        <f t="shared" si="5"/>
        <v>09</v>
      </c>
      <c r="O55" s="50" t="s">
        <v>410</v>
      </c>
      <c r="P55" s="50" t="s">
        <v>410</v>
      </c>
      <c r="Q55" s="50">
        <v>150</v>
      </c>
    </row>
    <row r="56" spans="1:17" ht="16" x14ac:dyDescent="0.45">
      <c r="A56" s="2" t="str">
        <f>IFERROR(VLOOKUP(B56,CODE!$B:$D,3,0),"-")</f>
        <v>네트워크</v>
      </c>
      <c r="B56" s="2" t="str">
        <f>IF(L56="-",VLOOKUP(J56,CODE!$B:$D,2,0),L56)</f>
        <v>모비온</v>
      </c>
      <c r="C56" s="2" t="s">
        <v>266</v>
      </c>
      <c r="D56" s="2" t="s">
        <v>955</v>
      </c>
      <c r="E56" s="2" t="s">
        <v>280</v>
      </c>
      <c r="F56" s="2" t="s">
        <v>268</v>
      </c>
      <c r="G56" s="2" t="s">
        <v>269</v>
      </c>
      <c r="H56" s="2" t="s">
        <v>279</v>
      </c>
      <c r="I56" s="2" t="s">
        <v>342</v>
      </c>
      <c r="J56" s="2" t="s">
        <v>9</v>
      </c>
      <c r="K56" s="2" t="s">
        <v>338</v>
      </c>
      <c r="L56" s="2" t="s">
        <v>103</v>
      </c>
      <c r="M56" s="38" t="str">
        <f t="shared" si="4"/>
        <v>25</v>
      </c>
      <c r="N56" s="38" t="str">
        <f t="shared" si="5"/>
        <v>12</v>
      </c>
      <c r="O56" s="50" t="s">
        <v>236</v>
      </c>
      <c r="P56" s="50" t="s">
        <v>241</v>
      </c>
      <c r="Q56" s="50">
        <v>247</v>
      </c>
    </row>
    <row r="57" spans="1:17" ht="16" x14ac:dyDescent="0.45">
      <c r="A57" s="2" t="s">
        <v>263</v>
      </c>
      <c r="B57" s="2" t="s">
        <v>262</v>
      </c>
      <c r="C57" s="2" t="s">
        <v>266</v>
      </c>
      <c r="D57" s="2" t="s">
        <v>955</v>
      </c>
      <c r="E57" s="2" t="s">
        <v>280</v>
      </c>
      <c r="F57" s="2" t="s">
        <v>268</v>
      </c>
      <c r="G57" s="2" t="s">
        <v>269</v>
      </c>
      <c r="H57" s="2" t="s">
        <v>279</v>
      </c>
      <c r="I57" s="2" t="s">
        <v>342</v>
      </c>
      <c r="J57" s="2" t="s">
        <v>9</v>
      </c>
      <c r="K57" s="2" t="s">
        <v>273</v>
      </c>
      <c r="L57" s="2" t="s">
        <v>103</v>
      </c>
      <c r="M57" s="38" t="str">
        <f t="shared" si="4"/>
        <v>25</v>
      </c>
      <c r="N57" s="38" t="str">
        <f t="shared" si="5"/>
        <v>12</v>
      </c>
      <c r="O57" s="50" t="s">
        <v>235</v>
      </c>
      <c r="P57" s="50" t="s">
        <v>235</v>
      </c>
      <c r="Q57" s="50">
        <v>124</v>
      </c>
    </row>
    <row r="58" spans="1:17" ht="16" x14ac:dyDescent="0.45">
      <c r="A58" s="2" t="str">
        <f>IFERROR(VLOOKUP(B58,CODE!$B:$D,3,0),"-")</f>
        <v>네트워크</v>
      </c>
      <c r="B58" s="2" t="str">
        <f>IF(L58="-",VLOOKUP(J58,CODE!$B:$D,2,0),L58)</f>
        <v>모비온</v>
      </c>
      <c r="C58" s="2" t="s">
        <v>266</v>
      </c>
      <c r="D58" s="2" t="s">
        <v>955</v>
      </c>
      <c r="E58" s="2" t="s">
        <v>280</v>
      </c>
      <c r="F58" s="2" t="s">
        <v>268</v>
      </c>
      <c r="G58" s="2" t="s">
        <v>269</v>
      </c>
      <c r="H58" s="2" t="s">
        <v>279</v>
      </c>
      <c r="I58" s="2" t="s">
        <v>343</v>
      </c>
      <c r="J58" s="2" t="s">
        <v>7</v>
      </c>
      <c r="K58" s="2" t="s">
        <v>338</v>
      </c>
      <c r="L58" s="2" t="s">
        <v>103</v>
      </c>
      <c r="M58" s="38" t="str">
        <f t="shared" si="4"/>
        <v>25</v>
      </c>
      <c r="N58" s="38" t="str">
        <f t="shared" si="5"/>
        <v>07</v>
      </c>
      <c r="O58" s="50" t="s">
        <v>411</v>
      </c>
      <c r="P58" s="50" t="s">
        <v>411</v>
      </c>
      <c r="Q58" s="50">
        <v>150</v>
      </c>
    </row>
    <row r="59" spans="1:17" ht="16" x14ac:dyDescent="0.45">
      <c r="A59" s="2" t="str">
        <f>IFERROR(VLOOKUP(B59,CODE!$B:$D,3,0),"-")</f>
        <v>네트워크</v>
      </c>
      <c r="B59" s="2" t="str">
        <f>IF(L59="-",VLOOKUP(J59,CODE!$B:$D,2,0),L59)</f>
        <v>모비온</v>
      </c>
      <c r="C59" s="2" t="s">
        <v>266</v>
      </c>
      <c r="D59" s="2" t="s">
        <v>955</v>
      </c>
      <c r="E59" s="2" t="s">
        <v>280</v>
      </c>
      <c r="F59" s="2" t="s">
        <v>268</v>
      </c>
      <c r="G59" s="2" t="s">
        <v>269</v>
      </c>
      <c r="H59" s="2" t="s">
        <v>279</v>
      </c>
      <c r="I59" s="2" t="s">
        <v>343</v>
      </c>
      <c r="J59" s="2" t="s">
        <v>7</v>
      </c>
      <c r="K59" s="2" t="s">
        <v>344</v>
      </c>
      <c r="L59" s="2" t="s">
        <v>103</v>
      </c>
      <c r="M59" s="38" t="str">
        <f t="shared" ref="M59:M122" si="6">LEFT(O59,2)</f>
        <v>25</v>
      </c>
      <c r="N59" s="38" t="str">
        <f t="shared" ref="N59:N122" si="7">MID(O59,4,2)</f>
        <v>11</v>
      </c>
      <c r="O59" s="50" t="s">
        <v>110</v>
      </c>
      <c r="P59" s="50" t="s">
        <v>110</v>
      </c>
      <c r="Q59" s="50">
        <v>124</v>
      </c>
    </row>
    <row r="60" spans="1:17" ht="16" x14ac:dyDescent="0.45">
      <c r="A60" s="2" t="str">
        <f>IFERROR(VLOOKUP(B60,CODE!$B:$D,3,0),"-")</f>
        <v>네트워크</v>
      </c>
      <c r="B60" s="2" t="str">
        <f>IF(L60="-",VLOOKUP(J60,CODE!$B:$D,2,0),L60)</f>
        <v>모비온</v>
      </c>
      <c r="C60" s="2" t="s">
        <v>266</v>
      </c>
      <c r="D60" s="2" t="s">
        <v>955</v>
      </c>
      <c r="E60" s="2" t="s">
        <v>280</v>
      </c>
      <c r="F60" s="2" t="s">
        <v>268</v>
      </c>
      <c r="G60" s="2" t="s">
        <v>269</v>
      </c>
      <c r="H60" s="2" t="s">
        <v>279</v>
      </c>
      <c r="I60" s="2" t="s">
        <v>343</v>
      </c>
      <c r="J60" s="2" t="s">
        <v>7</v>
      </c>
      <c r="K60" s="2" t="s">
        <v>345</v>
      </c>
      <c r="L60" s="2" t="s">
        <v>103</v>
      </c>
      <c r="M60" s="38" t="str">
        <f t="shared" si="6"/>
        <v>25</v>
      </c>
      <c r="N60" s="38" t="str">
        <f t="shared" si="7"/>
        <v>10</v>
      </c>
      <c r="O60" s="50" t="s">
        <v>412</v>
      </c>
      <c r="P60" s="50" t="s">
        <v>412</v>
      </c>
      <c r="Q60" s="50">
        <v>124</v>
      </c>
    </row>
    <row r="61" spans="1:17" ht="16" x14ac:dyDescent="0.45">
      <c r="A61" s="2" t="str">
        <f>IFERROR(VLOOKUP(B61,CODE!$B:$D,3,0),"-")</f>
        <v>네트워크</v>
      </c>
      <c r="B61" s="2" t="str">
        <f>IF(L61="-",VLOOKUP(J61,CODE!$B:$D,2,0),L61)</f>
        <v>모비온</v>
      </c>
      <c r="C61" s="2" t="s">
        <v>266</v>
      </c>
      <c r="D61" s="2" t="s">
        <v>955</v>
      </c>
      <c r="E61" s="2" t="s">
        <v>280</v>
      </c>
      <c r="F61" s="2" t="s">
        <v>268</v>
      </c>
      <c r="G61" s="2" t="s">
        <v>269</v>
      </c>
      <c r="H61" s="2" t="s">
        <v>279</v>
      </c>
      <c r="I61" s="2" t="s">
        <v>346</v>
      </c>
      <c r="J61" s="2" t="s">
        <v>7</v>
      </c>
      <c r="K61" s="2" t="s">
        <v>347</v>
      </c>
      <c r="L61" s="2" t="s">
        <v>103</v>
      </c>
      <c r="M61" s="38" t="str">
        <f t="shared" si="6"/>
        <v>25</v>
      </c>
      <c r="N61" s="38" t="str">
        <f t="shared" si="7"/>
        <v>11</v>
      </c>
      <c r="O61" s="50" t="s">
        <v>248</v>
      </c>
      <c r="P61" s="50" t="s">
        <v>248</v>
      </c>
      <c r="Q61" s="50">
        <v>124</v>
      </c>
    </row>
    <row r="62" spans="1:17" ht="16" x14ac:dyDescent="0.45">
      <c r="A62" s="2" t="str">
        <f>IFERROR(VLOOKUP(B62,CODE!$B:$D,3,0),"-")</f>
        <v>네트워크</v>
      </c>
      <c r="B62" s="2" t="str">
        <f>IF(L62="-",VLOOKUP(J62,CODE!$B:$D,2,0),L62)</f>
        <v>모비온</v>
      </c>
      <c r="C62" s="2" t="s">
        <v>266</v>
      </c>
      <c r="D62" s="2" t="s">
        <v>955</v>
      </c>
      <c r="E62" s="2" t="s">
        <v>280</v>
      </c>
      <c r="F62" s="2" t="s">
        <v>268</v>
      </c>
      <c r="G62" s="2" t="s">
        <v>269</v>
      </c>
      <c r="H62" s="2" t="s">
        <v>279</v>
      </c>
      <c r="I62" s="2" t="s">
        <v>346</v>
      </c>
      <c r="J62" s="2" t="s">
        <v>7</v>
      </c>
      <c r="K62" s="2" t="s">
        <v>347</v>
      </c>
      <c r="L62" s="2" t="s">
        <v>103</v>
      </c>
      <c r="M62" s="38" t="str">
        <f t="shared" si="6"/>
        <v>25</v>
      </c>
      <c r="N62" s="38" t="str">
        <f t="shared" si="7"/>
        <v>11</v>
      </c>
      <c r="O62" s="50" t="s">
        <v>249</v>
      </c>
      <c r="P62" s="50" t="s">
        <v>249</v>
      </c>
      <c r="Q62" s="50">
        <v>124</v>
      </c>
    </row>
    <row r="63" spans="1:17" ht="16" x14ac:dyDescent="0.45">
      <c r="A63" s="2" t="str">
        <f>IFERROR(VLOOKUP(B63,CODE!$B:$D,3,0),"-")</f>
        <v>네트워크</v>
      </c>
      <c r="B63" s="2" t="str">
        <f>IF(L63="-",VLOOKUP(J63,CODE!$B:$D,2,0),L63)</f>
        <v>모비온</v>
      </c>
      <c r="C63" s="2" t="s">
        <v>266</v>
      </c>
      <c r="D63" s="2" t="s">
        <v>955</v>
      </c>
      <c r="E63" s="2" t="s">
        <v>280</v>
      </c>
      <c r="F63" s="2" t="s">
        <v>268</v>
      </c>
      <c r="G63" s="2" t="s">
        <v>269</v>
      </c>
      <c r="H63" s="2" t="s">
        <v>279</v>
      </c>
      <c r="I63" s="2" t="s">
        <v>348</v>
      </c>
      <c r="J63" s="2" t="s">
        <v>7</v>
      </c>
      <c r="K63" s="2" t="s">
        <v>349</v>
      </c>
      <c r="L63" s="2" t="s">
        <v>103</v>
      </c>
      <c r="M63" s="38" t="str">
        <f t="shared" si="6"/>
        <v>25</v>
      </c>
      <c r="N63" s="38" t="str">
        <f t="shared" si="7"/>
        <v>12</v>
      </c>
      <c r="O63" s="50" t="s">
        <v>413</v>
      </c>
      <c r="P63" s="50" t="s">
        <v>413</v>
      </c>
      <c r="Q63" s="50">
        <v>124</v>
      </c>
    </row>
    <row r="64" spans="1:17" ht="16" x14ac:dyDescent="0.45">
      <c r="A64" s="2" t="str">
        <f>IFERROR(VLOOKUP(B64,CODE!$B:$D,3,0),"-")</f>
        <v>네트워크</v>
      </c>
      <c r="B64" s="2" t="str">
        <f>IF(L64="-",VLOOKUP(J64,CODE!$B:$D,2,0),L64)</f>
        <v>모비온</v>
      </c>
      <c r="C64" s="2" t="s">
        <v>266</v>
      </c>
      <c r="D64" s="2" t="s">
        <v>955</v>
      </c>
      <c r="E64" s="2" t="s">
        <v>280</v>
      </c>
      <c r="F64" s="2" t="s">
        <v>268</v>
      </c>
      <c r="G64" s="2" t="s">
        <v>269</v>
      </c>
      <c r="H64" s="2" t="s">
        <v>279</v>
      </c>
      <c r="I64" s="2" t="s">
        <v>350</v>
      </c>
      <c r="J64" s="2" t="s">
        <v>104</v>
      </c>
      <c r="K64" s="2" t="s">
        <v>351</v>
      </c>
      <c r="L64" s="2" t="s">
        <v>103</v>
      </c>
      <c r="M64" s="38" t="str">
        <f t="shared" si="6"/>
        <v>25</v>
      </c>
      <c r="N64" s="38" t="str">
        <f t="shared" si="7"/>
        <v>10</v>
      </c>
      <c r="O64" s="50" t="s">
        <v>412</v>
      </c>
      <c r="P64" s="50" t="s">
        <v>412</v>
      </c>
      <c r="Q64" s="50">
        <v>124</v>
      </c>
    </row>
    <row r="65" spans="1:17" ht="16" x14ac:dyDescent="0.45">
      <c r="A65" s="2" t="str">
        <f>IFERROR(VLOOKUP(B65,CODE!$B:$D,3,0),"-")</f>
        <v>네트워크</v>
      </c>
      <c r="B65" s="2" t="str">
        <f>IF(L65="-",VLOOKUP(J65,CODE!$B:$D,2,0),L65)</f>
        <v>모비온</v>
      </c>
      <c r="C65" s="2" t="s">
        <v>266</v>
      </c>
      <c r="D65" s="2" t="s">
        <v>955</v>
      </c>
      <c r="E65" s="2" t="s">
        <v>280</v>
      </c>
      <c r="F65" s="2" t="s">
        <v>268</v>
      </c>
      <c r="G65" s="2" t="s">
        <v>269</v>
      </c>
      <c r="H65" s="2" t="s">
        <v>279</v>
      </c>
      <c r="I65" s="2" t="s">
        <v>350</v>
      </c>
      <c r="J65" s="2" t="s">
        <v>104</v>
      </c>
      <c r="K65" s="2" t="s">
        <v>352</v>
      </c>
      <c r="L65" s="2" t="s">
        <v>103</v>
      </c>
      <c r="M65" s="38" t="str">
        <f t="shared" si="6"/>
        <v>25</v>
      </c>
      <c r="N65" s="38" t="str">
        <f t="shared" si="7"/>
        <v>08</v>
      </c>
      <c r="O65" s="50" t="s">
        <v>414</v>
      </c>
      <c r="P65" s="50" t="s">
        <v>414</v>
      </c>
      <c r="Q65" s="50">
        <v>150</v>
      </c>
    </row>
    <row r="66" spans="1:17" ht="16" x14ac:dyDescent="0.45">
      <c r="A66" s="2" t="str">
        <f>IFERROR(VLOOKUP(B66,CODE!$B:$D,3,0),"-")</f>
        <v>네트워크</v>
      </c>
      <c r="B66" s="2" t="str">
        <f>IF(L66="-",VLOOKUP(J66,CODE!$B:$D,2,0),L66)</f>
        <v>모비온</v>
      </c>
      <c r="C66" s="2" t="s">
        <v>266</v>
      </c>
      <c r="D66" s="2" t="s">
        <v>955</v>
      </c>
      <c r="E66" s="2" t="s">
        <v>280</v>
      </c>
      <c r="F66" s="2" t="s">
        <v>268</v>
      </c>
      <c r="G66" s="2" t="s">
        <v>269</v>
      </c>
      <c r="H66" s="2" t="s">
        <v>279</v>
      </c>
      <c r="I66" s="2" t="s">
        <v>350</v>
      </c>
      <c r="J66" s="2" t="s">
        <v>104</v>
      </c>
      <c r="K66" s="2" t="s">
        <v>353</v>
      </c>
      <c r="L66" s="2" t="s">
        <v>103</v>
      </c>
      <c r="M66" s="38" t="str">
        <f t="shared" si="6"/>
        <v>25</v>
      </c>
      <c r="N66" s="38" t="str">
        <f t="shared" si="7"/>
        <v>10</v>
      </c>
      <c r="O66" s="50" t="s">
        <v>250</v>
      </c>
      <c r="P66" s="50" t="s">
        <v>250</v>
      </c>
      <c r="Q66" s="50">
        <v>124</v>
      </c>
    </row>
    <row r="67" spans="1:17" ht="16" x14ac:dyDescent="0.45">
      <c r="A67" s="2" t="str">
        <f>IFERROR(VLOOKUP(B67,CODE!$B:$D,3,0),"-")</f>
        <v>네트워크</v>
      </c>
      <c r="B67" s="2" t="str">
        <f>IF(L67="-",VLOOKUP(J67,CODE!$B:$D,2,0),L67)</f>
        <v>모비온</v>
      </c>
      <c r="C67" s="2" t="s">
        <v>266</v>
      </c>
      <c r="D67" s="2" t="s">
        <v>955</v>
      </c>
      <c r="E67" s="2" t="s">
        <v>280</v>
      </c>
      <c r="F67" s="2" t="s">
        <v>268</v>
      </c>
      <c r="G67" s="2" t="s">
        <v>269</v>
      </c>
      <c r="H67" s="2" t="s">
        <v>279</v>
      </c>
      <c r="I67" s="2" t="s">
        <v>354</v>
      </c>
      <c r="J67" s="2" t="s">
        <v>60</v>
      </c>
      <c r="K67" s="2" t="s">
        <v>355</v>
      </c>
      <c r="L67" s="2" t="s">
        <v>103</v>
      </c>
      <c r="M67" s="38" t="str">
        <f t="shared" si="6"/>
        <v>25</v>
      </c>
      <c r="N67" s="38" t="str">
        <f t="shared" si="7"/>
        <v>10</v>
      </c>
      <c r="O67" s="50" t="s">
        <v>415</v>
      </c>
      <c r="P67" s="50" t="s">
        <v>415</v>
      </c>
      <c r="Q67" s="50">
        <v>124</v>
      </c>
    </row>
    <row r="68" spans="1:17" ht="16" x14ac:dyDescent="0.45">
      <c r="A68" s="2" t="str">
        <f>IFERROR(VLOOKUP(B68,CODE!$B:$D,3,0),"-")</f>
        <v>네트워크</v>
      </c>
      <c r="B68" s="2" t="str">
        <f>IF(L68="-",VLOOKUP(J68,CODE!$B:$D,2,0),L68)</f>
        <v>모비온</v>
      </c>
      <c r="C68" s="2" t="s">
        <v>266</v>
      </c>
      <c r="D68" s="2" t="s">
        <v>955</v>
      </c>
      <c r="E68" s="2" t="s">
        <v>280</v>
      </c>
      <c r="F68" s="2" t="s">
        <v>268</v>
      </c>
      <c r="G68" s="2" t="s">
        <v>269</v>
      </c>
      <c r="H68" s="2" t="s">
        <v>279</v>
      </c>
      <c r="I68" s="2" t="s">
        <v>354</v>
      </c>
      <c r="J68" s="2" t="s">
        <v>60</v>
      </c>
      <c r="K68" s="2" t="s">
        <v>356</v>
      </c>
      <c r="L68" s="2" t="s">
        <v>103</v>
      </c>
      <c r="M68" s="38" t="str">
        <f t="shared" si="6"/>
        <v>25</v>
      </c>
      <c r="N68" s="38" t="str">
        <f t="shared" si="7"/>
        <v>10</v>
      </c>
      <c r="O68" s="50" t="s">
        <v>257</v>
      </c>
      <c r="P68" s="50" t="s">
        <v>257</v>
      </c>
      <c r="Q68" s="50">
        <v>124</v>
      </c>
    </row>
    <row r="69" spans="1:17" ht="16" x14ac:dyDescent="0.45">
      <c r="A69" s="2" t="str">
        <f>IFERROR(VLOOKUP(B69,CODE!$B:$D,3,0),"-")</f>
        <v>네트워크</v>
      </c>
      <c r="B69" s="2" t="str">
        <f>IF(L69="-",VLOOKUP(J69,CODE!$B:$D,2,0),L69)</f>
        <v>모비온</v>
      </c>
      <c r="C69" s="2" t="s">
        <v>266</v>
      </c>
      <c r="D69" s="2" t="s">
        <v>955</v>
      </c>
      <c r="E69" s="2" t="s">
        <v>280</v>
      </c>
      <c r="F69" s="2" t="s">
        <v>268</v>
      </c>
      <c r="G69" s="2" t="s">
        <v>269</v>
      </c>
      <c r="H69" s="2" t="s">
        <v>279</v>
      </c>
      <c r="I69" s="2" t="s">
        <v>354</v>
      </c>
      <c r="J69" s="2" t="s">
        <v>60</v>
      </c>
      <c r="K69" s="2" t="s">
        <v>356</v>
      </c>
      <c r="L69" s="2" t="s">
        <v>103</v>
      </c>
      <c r="M69" s="38" t="str">
        <f t="shared" si="6"/>
        <v>25</v>
      </c>
      <c r="N69" s="38" t="str">
        <f t="shared" si="7"/>
        <v>11</v>
      </c>
      <c r="O69" s="50" t="s">
        <v>416</v>
      </c>
      <c r="P69" s="50" t="s">
        <v>416</v>
      </c>
      <c r="Q69" s="50">
        <v>124</v>
      </c>
    </row>
    <row r="70" spans="1:17" ht="16" x14ac:dyDescent="0.45">
      <c r="A70" s="2" t="str">
        <f>IFERROR(VLOOKUP(B70,CODE!$B:$D,3,0),"-")</f>
        <v>네트워크</v>
      </c>
      <c r="B70" s="2" t="str">
        <f>IF(L70="-",VLOOKUP(J70,CODE!$B:$D,2,0),L70)</f>
        <v>모비온</v>
      </c>
      <c r="C70" s="2" t="s">
        <v>266</v>
      </c>
      <c r="D70" s="2" t="s">
        <v>955</v>
      </c>
      <c r="E70" s="2" t="s">
        <v>280</v>
      </c>
      <c r="F70" s="2" t="s">
        <v>268</v>
      </c>
      <c r="G70" s="2" t="s">
        <v>269</v>
      </c>
      <c r="H70" s="2" t="s">
        <v>279</v>
      </c>
      <c r="I70" s="2" t="s">
        <v>354</v>
      </c>
      <c r="J70" s="2" t="s">
        <v>60</v>
      </c>
      <c r="K70" s="2" t="s">
        <v>357</v>
      </c>
      <c r="L70" s="2" t="s">
        <v>103</v>
      </c>
      <c r="M70" s="38" t="str">
        <f t="shared" si="6"/>
        <v>25</v>
      </c>
      <c r="N70" s="38" t="str">
        <f t="shared" si="7"/>
        <v>10</v>
      </c>
      <c r="O70" s="50" t="s">
        <v>417</v>
      </c>
      <c r="P70" s="50" t="s">
        <v>417</v>
      </c>
      <c r="Q70" s="50">
        <v>124</v>
      </c>
    </row>
    <row r="71" spans="1:17" ht="16" x14ac:dyDescent="0.45">
      <c r="A71" s="2" t="str">
        <f>IFERROR(VLOOKUP(B71,CODE!$B:$D,3,0),"-")</f>
        <v>네트워크</v>
      </c>
      <c r="B71" s="2" t="str">
        <f>IF(L71="-",VLOOKUP(J71,CODE!$B:$D,2,0),L71)</f>
        <v>모비온</v>
      </c>
      <c r="C71" s="2" t="s">
        <v>266</v>
      </c>
      <c r="D71" s="2" t="s">
        <v>955</v>
      </c>
      <c r="E71" s="2" t="s">
        <v>280</v>
      </c>
      <c r="F71" s="2" t="s">
        <v>268</v>
      </c>
      <c r="G71" s="2" t="s">
        <v>269</v>
      </c>
      <c r="H71" s="2" t="s">
        <v>279</v>
      </c>
      <c r="I71" s="2" t="s">
        <v>354</v>
      </c>
      <c r="J71" s="2" t="s">
        <v>60</v>
      </c>
      <c r="K71" s="2" t="s">
        <v>358</v>
      </c>
      <c r="L71" s="2" t="s">
        <v>103</v>
      </c>
      <c r="M71" s="38" t="str">
        <f t="shared" si="6"/>
        <v>25</v>
      </c>
      <c r="N71" s="38" t="str">
        <f t="shared" si="7"/>
        <v>10</v>
      </c>
      <c r="O71" s="50" t="s">
        <v>402</v>
      </c>
      <c r="P71" s="50" t="s">
        <v>402</v>
      </c>
      <c r="Q71" s="50">
        <v>124</v>
      </c>
    </row>
    <row r="72" spans="1:17" ht="16" x14ac:dyDescent="0.45">
      <c r="A72" s="2" t="str">
        <f>IFERROR(VLOOKUP(B72,CODE!$B:$D,3,0),"-")</f>
        <v>네트워크</v>
      </c>
      <c r="B72" s="2" t="str">
        <f>IF(L72="-",VLOOKUP(J72,CODE!$B:$D,2,0),L72)</f>
        <v>모비온</v>
      </c>
      <c r="C72" s="2" t="s">
        <v>266</v>
      </c>
      <c r="D72" s="2" t="s">
        <v>955</v>
      </c>
      <c r="E72" s="2" t="s">
        <v>280</v>
      </c>
      <c r="F72" s="2" t="s">
        <v>268</v>
      </c>
      <c r="G72" s="2" t="s">
        <v>269</v>
      </c>
      <c r="H72" s="2" t="s">
        <v>279</v>
      </c>
      <c r="I72" s="2" t="s">
        <v>359</v>
      </c>
      <c r="J72" s="2" t="s">
        <v>59</v>
      </c>
      <c r="K72" s="2" t="s">
        <v>160</v>
      </c>
      <c r="L72" s="2" t="s">
        <v>103</v>
      </c>
      <c r="M72" s="38" t="str">
        <f t="shared" si="6"/>
        <v>25</v>
      </c>
      <c r="N72" s="38" t="str">
        <f t="shared" si="7"/>
        <v>09</v>
      </c>
      <c r="O72" s="50" t="s">
        <v>418</v>
      </c>
      <c r="P72" s="50" t="s">
        <v>418</v>
      </c>
      <c r="Q72" s="50">
        <v>150</v>
      </c>
    </row>
    <row r="73" spans="1:17" ht="16" x14ac:dyDescent="0.45">
      <c r="A73" s="2" t="str">
        <f>IFERROR(VLOOKUP(B73,CODE!$B:$D,3,0),"-")</f>
        <v>네트워크</v>
      </c>
      <c r="B73" s="2" t="str">
        <f>IF(L73="-",VLOOKUP(J73,CODE!$B:$D,2,0),L73)</f>
        <v>모비온</v>
      </c>
      <c r="C73" s="2" t="s">
        <v>266</v>
      </c>
      <c r="D73" s="2" t="s">
        <v>955</v>
      </c>
      <c r="E73" s="2" t="s">
        <v>280</v>
      </c>
      <c r="F73" s="2" t="s">
        <v>268</v>
      </c>
      <c r="G73" s="2" t="s">
        <v>269</v>
      </c>
      <c r="H73" s="2" t="s">
        <v>279</v>
      </c>
      <c r="I73" s="2" t="s">
        <v>359</v>
      </c>
      <c r="J73" s="2" t="s">
        <v>59</v>
      </c>
      <c r="K73" s="2" t="s">
        <v>160</v>
      </c>
      <c r="L73" s="2" t="s">
        <v>103</v>
      </c>
      <c r="M73" s="38" t="str">
        <f t="shared" si="6"/>
        <v>25</v>
      </c>
      <c r="N73" s="38" t="str">
        <f t="shared" si="7"/>
        <v>12</v>
      </c>
      <c r="O73" s="50" t="s">
        <v>419</v>
      </c>
      <c r="P73" s="50" t="s">
        <v>419</v>
      </c>
      <c r="Q73" s="50">
        <v>124</v>
      </c>
    </row>
    <row r="74" spans="1:17" ht="16" x14ac:dyDescent="0.45">
      <c r="A74" s="2" t="str">
        <f>IFERROR(VLOOKUP(B74,CODE!$B:$D,3,0),"-")</f>
        <v>네트워크</v>
      </c>
      <c r="B74" s="2" t="str">
        <f>IF(L74="-",VLOOKUP(J74,CODE!$B:$D,2,0),L74)</f>
        <v>모비온</v>
      </c>
      <c r="C74" s="2" t="s">
        <v>266</v>
      </c>
      <c r="D74" s="2" t="s">
        <v>955</v>
      </c>
      <c r="E74" s="2" t="s">
        <v>280</v>
      </c>
      <c r="F74" s="2" t="s">
        <v>268</v>
      </c>
      <c r="G74" s="2" t="s">
        <v>269</v>
      </c>
      <c r="H74" s="2" t="s">
        <v>279</v>
      </c>
      <c r="I74" s="2" t="s">
        <v>96</v>
      </c>
      <c r="J74" s="2" t="s">
        <v>60</v>
      </c>
      <c r="K74" s="2" t="s">
        <v>162</v>
      </c>
      <c r="L74" s="2" t="s">
        <v>103</v>
      </c>
      <c r="M74" s="38" t="str">
        <f t="shared" si="6"/>
        <v>25</v>
      </c>
      <c r="N74" s="38" t="str">
        <f t="shared" si="7"/>
        <v>09</v>
      </c>
      <c r="O74" s="50" t="s">
        <v>420</v>
      </c>
      <c r="P74" s="50" t="s">
        <v>420</v>
      </c>
      <c r="Q74" s="50">
        <v>150</v>
      </c>
    </row>
    <row r="75" spans="1:17" ht="16" x14ac:dyDescent="0.45">
      <c r="A75" s="2" t="str">
        <f>IFERROR(VLOOKUP(B75,CODE!$B:$D,3,0),"-")</f>
        <v>네트워크</v>
      </c>
      <c r="B75" s="2" t="str">
        <f>IF(L75="-",VLOOKUP(J75,CODE!$B:$D,2,0),L75)</f>
        <v>모비온</v>
      </c>
      <c r="C75" s="2" t="s">
        <v>266</v>
      </c>
      <c r="D75" s="2" t="s">
        <v>955</v>
      </c>
      <c r="E75" s="2" t="s">
        <v>280</v>
      </c>
      <c r="F75" s="2" t="s">
        <v>268</v>
      </c>
      <c r="G75" s="2" t="s">
        <v>269</v>
      </c>
      <c r="H75" s="2" t="s">
        <v>279</v>
      </c>
      <c r="I75" s="2" t="s">
        <v>96</v>
      </c>
      <c r="J75" s="2" t="s">
        <v>60</v>
      </c>
      <c r="K75" s="2" t="s">
        <v>360</v>
      </c>
      <c r="L75" s="2" t="s">
        <v>103</v>
      </c>
      <c r="M75" s="38" t="str">
        <f t="shared" si="6"/>
        <v>25</v>
      </c>
      <c r="N75" s="38" t="str">
        <f t="shared" si="7"/>
        <v>11</v>
      </c>
      <c r="O75" s="50" t="s">
        <v>244</v>
      </c>
      <c r="P75" s="50" t="s">
        <v>245</v>
      </c>
      <c r="Q75" s="50">
        <v>864</v>
      </c>
    </row>
    <row r="76" spans="1:17" ht="16" x14ac:dyDescent="0.45">
      <c r="A76" s="2" t="str">
        <f>IFERROR(VLOOKUP(B76,CODE!$B:$D,3,0),"-")</f>
        <v>네트워크</v>
      </c>
      <c r="B76" s="2" t="str">
        <f>IF(L76="-",VLOOKUP(J76,CODE!$B:$D,2,0),L76)</f>
        <v>모비온</v>
      </c>
      <c r="C76" s="2" t="s">
        <v>266</v>
      </c>
      <c r="D76" s="2" t="s">
        <v>955</v>
      </c>
      <c r="E76" s="2" t="s">
        <v>280</v>
      </c>
      <c r="F76" s="2" t="s">
        <v>268</v>
      </c>
      <c r="G76" s="2" t="s">
        <v>269</v>
      </c>
      <c r="H76" s="2" t="s">
        <v>279</v>
      </c>
      <c r="I76" s="2" t="s">
        <v>96</v>
      </c>
      <c r="J76" s="2" t="s">
        <v>60</v>
      </c>
      <c r="K76" s="2" t="s">
        <v>361</v>
      </c>
      <c r="L76" s="2" t="s">
        <v>103</v>
      </c>
      <c r="M76" s="38" t="str">
        <f t="shared" si="6"/>
        <v>25</v>
      </c>
      <c r="N76" s="38" t="str">
        <f t="shared" si="7"/>
        <v>12</v>
      </c>
      <c r="O76" s="50" t="s">
        <v>406</v>
      </c>
      <c r="P76" s="50" t="s">
        <v>406</v>
      </c>
      <c r="Q76" s="50">
        <v>124</v>
      </c>
    </row>
    <row r="77" spans="1:17" ht="16" x14ac:dyDescent="0.45">
      <c r="A77" s="2" t="str">
        <f>IFERROR(VLOOKUP(B77,CODE!$B:$D,3,0),"-")</f>
        <v>네트워크</v>
      </c>
      <c r="B77" s="2" t="str">
        <f>IF(L77="-",VLOOKUP(J77,CODE!$B:$D,2,0),L77)</f>
        <v>모비온</v>
      </c>
      <c r="C77" s="2" t="s">
        <v>266</v>
      </c>
      <c r="D77" s="2" t="s">
        <v>955</v>
      </c>
      <c r="E77" s="2" t="s">
        <v>280</v>
      </c>
      <c r="F77" s="2" t="s">
        <v>268</v>
      </c>
      <c r="G77" s="2" t="s">
        <v>269</v>
      </c>
      <c r="H77" s="2" t="s">
        <v>279</v>
      </c>
      <c r="I77" s="2" t="s">
        <v>96</v>
      </c>
      <c r="J77" s="2" t="s">
        <v>60</v>
      </c>
      <c r="K77" s="2" t="s">
        <v>362</v>
      </c>
      <c r="L77" s="2" t="s">
        <v>103</v>
      </c>
      <c r="M77" s="38" t="str">
        <f t="shared" si="6"/>
        <v>25</v>
      </c>
      <c r="N77" s="38" t="str">
        <f t="shared" si="7"/>
        <v>10</v>
      </c>
      <c r="O77" s="50" t="s">
        <v>421</v>
      </c>
      <c r="P77" s="50" t="s">
        <v>421</v>
      </c>
      <c r="Q77" s="50">
        <v>124</v>
      </c>
    </row>
    <row r="78" spans="1:17" ht="16" x14ac:dyDescent="0.45">
      <c r="A78" s="2" t="str">
        <f>IFERROR(VLOOKUP(B78,CODE!$B:$D,3,0),"-")</f>
        <v>네트워크</v>
      </c>
      <c r="B78" s="2" t="str">
        <f>IF(L78="-",VLOOKUP(J78,CODE!$B:$D,2,0),L78)</f>
        <v>모비온</v>
      </c>
      <c r="C78" s="2" t="s">
        <v>266</v>
      </c>
      <c r="D78" s="2" t="s">
        <v>955</v>
      </c>
      <c r="E78" s="2" t="s">
        <v>280</v>
      </c>
      <c r="F78" s="2" t="s">
        <v>268</v>
      </c>
      <c r="G78" s="2" t="s">
        <v>269</v>
      </c>
      <c r="H78" s="2" t="s">
        <v>279</v>
      </c>
      <c r="I78" s="2" t="s">
        <v>96</v>
      </c>
      <c r="J78" s="2" t="s">
        <v>60</v>
      </c>
      <c r="K78" s="2" t="s">
        <v>363</v>
      </c>
      <c r="L78" s="2" t="s">
        <v>103</v>
      </c>
      <c r="M78" s="38" t="str">
        <f t="shared" si="6"/>
        <v>25</v>
      </c>
      <c r="N78" s="38" t="str">
        <f t="shared" si="7"/>
        <v>09</v>
      </c>
      <c r="O78" s="50" t="s">
        <v>418</v>
      </c>
      <c r="P78" s="50" t="s">
        <v>418</v>
      </c>
      <c r="Q78" s="50">
        <v>150</v>
      </c>
    </row>
    <row r="79" spans="1:17" ht="16" x14ac:dyDescent="0.45">
      <c r="A79" s="2" t="str">
        <f>IFERROR(VLOOKUP(B79,CODE!$B:$D,3,0),"-")</f>
        <v>네트워크</v>
      </c>
      <c r="B79" s="2" t="str">
        <f>IF(L79="-",VLOOKUP(J79,CODE!$B:$D,2,0),L79)</f>
        <v>모비온</v>
      </c>
      <c r="C79" s="2" t="s">
        <v>266</v>
      </c>
      <c r="D79" s="2" t="s">
        <v>955</v>
      </c>
      <c r="E79" s="2" t="s">
        <v>280</v>
      </c>
      <c r="F79" s="2" t="s">
        <v>268</v>
      </c>
      <c r="G79" s="2" t="s">
        <v>269</v>
      </c>
      <c r="H79" s="2" t="s">
        <v>279</v>
      </c>
      <c r="I79" s="2" t="s">
        <v>96</v>
      </c>
      <c r="J79" s="2" t="s">
        <v>60</v>
      </c>
      <c r="K79" s="2" t="s">
        <v>363</v>
      </c>
      <c r="L79" s="2" t="s">
        <v>103</v>
      </c>
      <c r="M79" s="38" t="str">
        <f t="shared" si="6"/>
        <v>25</v>
      </c>
      <c r="N79" s="38" t="str">
        <f t="shared" si="7"/>
        <v>12</v>
      </c>
      <c r="O79" s="50" t="s">
        <v>235</v>
      </c>
      <c r="P79" s="50" t="s">
        <v>235</v>
      </c>
      <c r="Q79" s="50">
        <v>124</v>
      </c>
    </row>
    <row r="80" spans="1:17" ht="16" x14ac:dyDescent="0.45">
      <c r="A80" s="2" t="str">
        <f>IFERROR(VLOOKUP(B80,CODE!$B:$D,3,0),"-")</f>
        <v>네트워크</v>
      </c>
      <c r="B80" s="2" t="str">
        <f>IF(L80="-",VLOOKUP(J80,CODE!$B:$D,2,0),L80)</f>
        <v>모비온</v>
      </c>
      <c r="C80" s="2" t="s">
        <v>266</v>
      </c>
      <c r="D80" s="2" t="s">
        <v>955</v>
      </c>
      <c r="E80" s="2" t="s">
        <v>280</v>
      </c>
      <c r="F80" s="2" t="s">
        <v>268</v>
      </c>
      <c r="G80" s="2" t="s">
        <v>269</v>
      </c>
      <c r="H80" s="2" t="s">
        <v>279</v>
      </c>
      <c r="I80" s="2" t="s">
        <v>364</v>
      </c>
      <c r="J80" s="2" t="s">
        <v>7</v>
      </c>
      <c r="K80" s="2" t="s">
        <v>365</v>
      </c>
      <c r="L80" s="2" t="s">
        <v>103</v>
      </c>
      <c r="M80" s="38" t="str">
        <f t="shared" si="6"/>
        <v>25</v>
      </c>
      <c r="N80" s="38" t="str">
        <f t="shared" si="7"/>
        <v>09</v>
      </c>
      <c r="O80" s="50" t="s">
        <v>420</v>
      </c>
      <c r="P80" s="50" t="s">
        <v>420</v>
      </c>
      <c r="Q80" s="50">
        <v>150</v>
      </c>
    </row>
    <row r="81" spans="1:17" ht="16" x14ac:dyDescent="0.45">
      <c r="A81" s="2" t="str">
        <f>IFERROR(VLOOKUP(B81,CODE!$B:$D,3,0),"-")</f>
        <v>네트워크</v>
      </c>
      <c r="B81" s="2" t="str">
        <f>IF(L81="-",VLOOKUP(J81,CODE!$B:$D,2,0),L81)</f>
        <v>모비온</v>
      </c>
      <c r="C81" s="2" t="s">
        <v>266</v>
      </c>
      <c r="D81" s="2" t="s">
        <v>955</v>
      </c>
      <c r="E81" s="2" t="s">
        <v>280</v>
      </c>
      <c r="F81" s="2" t="s">
        <v>268</v>
      </c>
      <c r="G81" s="2" t="s">
        <v>269</v>
      </c>
      <c r="H81" s="2" t="s">
        <v>279</v>
      </c>
      <c r="I81" s="2" t="s">
        <v>364</v>
      </c>
      <c r="J81" s="2" t="s">
        <v>7</v>
      </c>
      <c r="K81" s="2" t="s">
        <v>365</v>
      </c>
      <c r="L81" s="2" t="s">
        <v>103</v>
      </c>
      <c r="M81" s="38" t="str">
        <f t="shared" si="6"/>
        <v>25</v>
      </c>
      <c r="N81" s="38" t="str">
        <f t="shared" si="7"/>
        <v>11</v>
      </c>
      <c r="O81" s="50" t="s">
        <v>422</v>
      </c>
      <c r="P81" s="50" t="s">
        <v>422</v>
      </c>
      <c r="Q81" s="50">
        <v>124</v>
      </c>
    </row>
    <row r="82" spans="1:17" ht="16" x14ac:dyDescent="0.45">
      <c r="A82" s="2" t="str">
        <f>IFERROR(VLOOKUP(B82,CODE!$B:$D,3,0),"-")</f>
        <v>네트워크</v>
      </c>
      <c r="B82" s="2" t="str">
        <f>IF(L82="-",VLOOKUP(J82,CODE!$B:$D,2,0),L82)</f>
        <v>모비온</v>
      </c>
      <c r="C82" s="2" t="s">
        <v>266</v>
      </c>
      <c r="D82" s="2" t="s">
        <v>955</v>
      </c>
      <c r="E82" s="2" t="s">
        <v>280</v>
      </c>
      <c r="F82" s="2" t="s">
        <v>268</v>
      </c>
      <c r="G82" s="2" t="s">
        <v>269</v>
      </c>
      <c r="H82" s="2" t="s">
        <v>279</v>
      </c>
      <c r="I82" s="2" t="s">
        <v>364</v>
      </c>
      <c r="J82" s="2" t="s">
        <v>7</v>
      </c>
      <c r="K82" s="2" t="s">
        <v>349</v>
      </c>
      <c r="L82" s="2" t="s">
        <v>103</v>
      </c>
      <c r="M82" s="38" t="str">
        <f t="shared" si="6"/>
        <v>25</v>
      </c>
      <c r="N82" s="38" t="str">
        <f t="shared" si="7"/>
        <v>12</v>
      </c>
      <c r="O82" s="50" t="s">
        <v>423</v>
      </c>
      <c r="P82" s="50" t="s">
        <v>423</v>
      </c>
      <c r="Q82" s="50">
        <v>124</v>
      </c>
    </row>
    <row r="83" spans="1:17" ht="16" x14ac:dyDescent="0.45">
      <c r="A83" s="2" t="str">
        <f>IFERROR(VLOOKUP(B83,CODE!$B:$D,3,0),"-")</f>
        <v>네트워크</v>
      </c>
      <c r="B83" s="2" t="str">
        <f>IF(L83="-",VLOOKUP(J83,CODE!$B:$D,2,0),L83)</f>
        <v>모비온</v>
      </c>
      <c r="C83" s="2" t="s">
        <v>266</v>
      </c>
      <c r="D83" s="2" t="s">
        <v>955</v>
      </c>
      <c r="E83" s="2" t="s">
        <v>280</v>
      </c>
      <c r="F83" s="2" t="s">
        <v>268</v>
      </c>
      <c r="G83" s="2" t="s">
        <v>269</v>
      </c>
      <c r="H83" s="2" t="s">
        <v>279</v>
      </c>
      <c r="I83" s="2" t="s">
        <v>364</v>
      </c>
      <c r="J83" s="2" t="s">
        <v>7</v>
      </c>
      <c r="K83" s="2" t="s">
        <v>340</v>
      </c>
      <c r="L83" s="2" t="s">
        <v>103</v>
      </c>
      <c r="M83" s="38" t="str">
        <f t="shared" si="6"/>
        <v>25</v>
      </c>
      <c r="N83" s="38" t="str">
        <f t="shared" si="7"/>
        <v>11</v>
      </c>
      <c r="O83" s="50" t="s">
        <v>424</v>
      </c>
      <c r="P83" s="50" t="s">
        <v>424</v>
      </c>
      <c r="Q83" s="50">
        <v>124</v>
      </c>
    </row>
    <row r="84" spans="1:17" ht="16" x14ac:dyDescent="0.45">
      <c r="A84" s="2" t="str">
        <f>IFERROR(VLOOKUP(B84,CODE!$B:$D,3,0),"-")</f>
        <v>네트워크</v>
      </c>
      <c r="B84" s="2" t="str">
        <f>IF(L84="-",VLOOKUP(J84,CODE!$B:$D,2,0),L84)</f>
        <v>모비온</v>
      </c>
      <c r="C84" s="2" t="s">
        <v>266</v>
      </c>
      <c r="D84" s="2" t="s">
        <v>955</v>
      </c>
      <c r="E84" s="2" t="s">
        <v>280</v>
      </c>
      <c r="F84" s="2" t="s">
        <v>268</v>
      </c>
      <c r="G84" s="2" t="s">
        <v>269</v>
      </c>
      <c r="H84" s="2" t="s">
        <v>279</v>
      </c>
      <c r="I84" s="2" t="s">
        <v>364</v>
      </c>
      <c r="J84" s="2" t="s">
        <v>7</v>
      </c>
      <c r="K84" s="2" t="s">
        <v>161</v>
      </c>
      <c r="L84" s="2" t="s">
        <v>103</v>
      </c>
      <c r="M84" s="38" t="str">
        <f t="shared" si="6"/>
        <v>25</v>
      </c>
      <c r="N84" s="38" t="str">
        <f t="shared" si="7"/>
        <v>10</v>
      </c>
      <c r="O84" s="50" t="s">
        <v>407</v>
      </c>
      <c r="P84" s="50" t="s">
        <v>407</v>
      </c>
      <c r="Q84" s="50">
        <v>124</v>
      </c>
    </row>
    <row r="85" spans="1:17" ht="16" x14ac:dyDescent="0.45">
      <c r="A85" s="2" t="str">
        <f>IFERROR(VLOOKUP(B85,CODE!$B:$D,3,0),"-")</f>
        <v>네트워크</v>
      </c>
      <c r="B85" s="2" t="str">
        <f>IF(L85="-",VLOOKUP(J85,CODE!$B:$D,2,0),L85)</f>
        <v>모비온</v>
      </c>
      <c r="C85" s="2" t="s">
        <v>266</v>
      </c>
      <c r="D85" s="2" t="s">
        <v>955</v>
      </c>
      <c r="E85" s="2" t="s">
        <v>280</v>
      </c>
      <c r="F85" s="2" t="s">
        <v>268</v>
      </c>
      <c r="G85" s="2" t="s">
        <v>269</v>
      </c>
      <c r="H85" s="2" t="s">
        <v>279</v>
      </c>
      <c r="I85" s="2" t="s">
        <v>364</v>
      </c>
      <c r="J85" s="2" t="s">
        <v>7</v>
      </c>
      <c r="K85" s="2" t="s">
        <v>357</v>
      </c>
      <c r="L85" s="2" t="s">
        <v>103</v>
      </c>
      <c r="M85" s="38" t="str">
        <f t="shared" si="6"/>
        <v>25</v>
      </c>
      <c r="N85" s="38" t="str">
        <f t="shared" si="7"/>
        <v>10</v>
      </c>
      <c r="O85" s="50" t="s">
        <v>402</v>
      </c>
      <c r="P85" s="50" t="s">
        <v>402</v>
      </c>
      <c r="Q85" s="50">
        <v>124</v>
      </c>
    </row>
    <row r="86" spans="1:17" ht="16" x14ac:dyDescent="0.45">
      <c r="A86" s="2" t="str">
        <f>IFERROR(VLOOKUP(B86,CODE!$B:$D,3,0),"-")</f>
        <v>네트워크</v>
      </c>
      <c r="B86" s="2" t="str">
        <f>IF(L86="-",VLOOKUP(J86,CODE!$B:$D,2,0),L86)</f>
        <v>모비온</v>
      </c>
      <c r="C86" s="2" t="s">
        <v>266</v>
      </c>
      <c r="D86" s="2" t="s">
        <v>955</v>
      </c>
      <c r="E86" s="2" t="s">
        <v>280</v>
      </c>
      <c r="F86" s="2" t="s">
        <v>268</v>
      </c>
      <c r="G86" s="2" t="s">
        <v>269</v>
      </c>
      <c r="H86" s="2" t="s">
        <v>279</v>
      </c>
      <c r="I86" s="2" t="s">
        <v>366</v>
      </c>
      <c r="J86" s="2" t="s">
        <v>59</v>
      </c>
      <c r="K86" s="2" t="s">
        <v>367</v>
      </c>
      <c r="L86" s="2" t="s">
        <v>103</v>
      </c>
      <c r="M86" s="38" t="str">
        <f t="shared" si="6"/>
        <v>25</v>
      </c>
      <c r="N86" s="38" t="str">
        <f t="shared" si="7"/>
        <v>11</v>
      </c>
      <c r="O86" s="50" t="s">
        <v>424</v>
      </c>
      <c r="P86" s="50" t="s">
        <v>424</v>
      </c>
      <c r="Q86" s="50">
        <v>124</v>
      </c>
    </row>
    <row r="87" spans="1:17" ht="16" x14ac:dyDescent="0.45">
      <c r="A87" s="2" t="str">
        <f>IFERROR(VLOOKUP(B87,CODE!$B:$D,3,0),"-")</f>
        <v>네트워크</v>
      </c>
      <c r="B87" s="2" t="str">
        <f>IF(L87="-",VLOOKUP(J87,CODE!$B:$D,2,0),L87)</f>
        <v>모비온</v>
      </c>
      <c r="C87" s="2" t="s">
        <v>266</v>
      </c>
      <c r="D87" s="2" t="s">
        <v>955</v>
      </c>
      <c r="E87" s="2" t="s">
        <v>280</v>
      </c>
      <c r="F87" s="2" t="s">
        <v>268</v>
      </c>
      <c r="G87" s="2" t="s">
        <v>269</v>
      </c>
      <c r="H87" s="2" t="s">
        <v>279</v>
      </c>
      <c r="I87" s="2" t="s">
        <v>366</v>
      </c>
      <c r="J87" s="2" t="s">
        <v>59</v>
      </c>
      <c r="K87" s="2" t="s">
        <v>368</v>
      </c>
      <c r="L87" s="2" t="s">
        <v>103</v>
      </c>
      <c r="M87" s="38" t="str">
        <f t="shared" si="6"/>
        <v>25</v>
      </c>
      <c r="N87" s="38" t="str">
        <f t="shared" si="7"/>
        <v>10</v>
      </c>
      <c r="O87" s="50" t="s">
        <v>415</v>
      </c>
      <c r="P87" s="50" t="s">
        <v>415</v>
      </c>
      <c r="Q87" s="50">
        <v>124</v>
      </c>
    </row>
    <row r="88" spans="1:17" ht="16" x14ac:dyDescent="0.45">
      <c r="A88" s="2" t="str">
        <f>IFERROR(VLOOKUP(B88,CODE!$B:$D,3,0),"-")</f>
        <v>네트워크</v>
      </c>
      <c r="B88" s="2" t="str">
        <f>IF(L88="-",VLOOKUP(J88,CODE!$B:$D,2,0),L88)</f>
        <v>모비온</v>
      </c>
      <c r="C88" s="2" t="s">
        <v>266</v>
      </c>
      <c r="D88" s="2" t="s">
        <v>955</v>
      </c>
      <c r="E88" s="2" t="s">
        <v>280</v>
      </c>
      <c r="F88" s="2" t="s">
        <v>268</v>
      </c>
      <c r="G88" s="2" t="s">
        <v>269</v>
      </c>
      <c r="H88" s="2" t="s">
        <v>279</v>
      </c>
      <c r="I88" s="2" t="s">
        <v>366</v>
      </c>
      <c r="J88" s="2" t="s">
        <v>59</v>
      </c>
      <c r="K88" s="2" t="s">
        <v>360</v>
      </c>
      <c r="L88" s="2" t="s">
        <v>103</v>
      </c>
      <c r="M88" s="38" t="str">
        <f t="shared" si="6"/>
        <v>25</v>
      </c>
      <c r="N88" s="38" t="str">
        <f t="shared" si="7"/>
        <v>09</v>
      </c>
      <c r="O88" s="50" t="s">
        <v>425</v>
      </c>
      <c r="P88" s="50" t="s">
        <v>425</v>
      </c>
      <c r="Q88" s="50">
        <v>150</v>
      </c>
    </row>
    <row r="89" spans="1:17" ht="16" x14ac:dyDescent="0.45">
      <c r="A89" s="2" t="str">
        <f>IFERROR(VLOOKUP(B89,CODE!$B:$D,3,0),"-")</f>
        <v>네트워크</v>
      </c>
      <c r="B89" s="2" t="str">
        <f>IF(L89="-",VLOOKUP(J89,CODE!$B:$D,2,0),L89)</f>
        <v>모비온</v>
      </c>
      <c r="C89" s="2" t="s">
        <v>266</v>
      </c>
      <c r="D89" s="2" t="s">
        <v>955</v>
      </c>
      <c r="E89" s="2" t="s">
        <v>280</v>
      </c>
      <c r="F89" s="2" t="s">
        <v>268</v>
      </c>
      <c r="G89" s="2" t="s">
        <v>269</v>
      </c>
      <c r="H89" s="2" t="s">
        <v>279</v>
      </c>
      <c r="I89" s="2" t="s">
        <v>366</v>
      </c>
      <c r="J89" s="2" t="s">
        <v>59</v>
      </c>
      <c r="K89" s="2" t="s">
        <v>338</v>
      </c>
      <c r="L89" s="2" t="s">
        <v>103</v>
      </c>
      <c r="M89" s="38" t="str">
        <f t="shared" si="6"/>
        <v>25</v>
      </c>
      <c r="N89" s="38" t="str">
        <f t="shared" si="7"/>
        <v>10</v>
      </c>
      <c r="O89" s="50" t="s">
        <v>402</v>
      </c>
      <c r="P89" s="50" t="s">
        <v>402</v>
      </c>
      <c r="Q89" s="50">
        <v>124</v>
      </c>
    </row>
    <row r="90" spans="1:17" ht="16" x14ac:dyDescent="0.45">
      <c r="A90" s="2" t="str">
        <f>IFERROR(VLOOKUP(B90,CODE!$B:$D,3,0),"-")</f>
        <v>네트워크</v>
      </c>
      <c r="B90" s="2" t="str">
        <f>IF(L90="-",VLOOKUP(J90,CODE!$B:$D,2,0),L90)</f>
        <v>모비온</v>
      </c>
      <c r="C90" s="2" t="s">
        <v>266</v>
      </c>
      <c r="D90" s="2" t="s">
        <v>955</v>
      </c>
      <c r="E90" s="2" t="s">
        <v>280</v>
      </c>
      <c r="F90" s="2" t="s">
        <v>268</v>
      </c>
      <c r="G90" s="2" t="s">
        <v>269</v>
      </c>
      <c r="H90" s="2" t="s">
        <v>279</v>
      </c>
      <c r="I90" s="2" t="s">
        <v>366</v>
      </c>
      <c r="J90" s="2" t="s">
        <v>59</v>
      </c>
      <c r="K90" s="2" t="s">
        <v>340</v>
      </c>
      <c r="L90" s="2" t="s">
        <v>103</v>
      </c>
      <c r="M90" s="38" t="str">
        <f t="shared" si="6"/>
        <v>25</v>
      </c>
      <c r="N90" s="38" t="str">
        <f t="shared" si="7"/>
        <v>10</v>
      </c>
      <c r="O90" s="50" t="s">
        <v>257</v>
      </c>
      <c r="P90" s="50" t="s">
        <v>257</v>
      </c>
      <c r="Q90" s="50">
        <v>124</v>
      </c>
    </row>
    <row r="91" spans="1:17" ht="16" x14ac:dyDescent="0.45">
      <c r="A91" s="2" t="str">
        <f>IFERROR(VLOOKUP(B91,CODE!$B:$D,3,0),"-")</f>
        <v>네트워크</v>
      </c>
      <c r="B91" s="2" t="str">
        <f>IF(L91="-",VLOOKUP(J91,CODE!$B:$D,2,0),L91)</f>
        <v>모비온</v>
      </c>
      <c r="C91" s="2" t="s">
        <v>266</v>
      </c>
      <c r="D91" s="2" t="s">
        <v>955</v>
      </c>
      <c r="E91" s="2" t="s">
        <v>280</v>
      </c>
      <c r="F91" s="2" t="s">
        <v>268</v>
      </c>
      <c r="G91" s="2" t="s">
        <v>269</v>
      </c>
      <c r="H91" s="2" t="s">
        <v>279</v>
      </c>
      <c r="I91" s="2" t="s">
        <v>366</v>
      </c>
      <c r="J91" s="2" t="s">
        <v>59</v>
      </c>
      <c r="K91" s="2" t="s">
        <v>340</v>
      </c>
      <c r="L91" s="2" t="s">
        <v>103</v>
      </c>
      <c r="M91" s="38" t="str">
        <f t="shared" si="6"/>
        <v>25</v>
      </c>
      <c r="N91" s="38" t="str">
        <f t="shared" si="7"/>
        <v>12</v>
      </c>
      <c r="O91" s="50" t="s">
        <v>237</v>
      </c>
      <c r="P91" s="50" t="s">
        <v>237</v>
      </c>
      <c r="Q91" s="50">
        <v>124</v>
      </c>
    </row>
    <row r="92" spans="1:17" ht="16" x14ac:dyDescent="0.45">
      <c r="A92" s="2" t="str">
        <f>IFERROR(VLOOKUP(B92,CODE!$B:$D,3,0),"-")</f>
        <v>네트워크</v>
      </c>
      <c r="B92" s="2" t="str">
        <f>IF(L92="-",VLOOKUP(J92,CODE!$B:$D,2,0),L92)</f>
        <v>모비온</v>
      </c>
      <c r="C92" s="2" t="s">
        <v>266</v>
      </c>
      <c r="D92" s="2" t="s">
        <v>955</v>
      </c>
      <c r="E92" s="2" t="s">
        <v>280</v>
      </c>
      <c r="F92" s="2" t="s">
        <v>268</v>
      </c>
      <c r="G92" s="2" t="s">
        <v>269</v>
      </c>
      <c r="H92" s="2" t="s">
        <v>279</v>
      </c>
      <c r="I92" s="2" t="s">
        <v>366</v>
      </c>
      <c r="J92" s="2" t="s">
        <v>59</v>
      </c>
      <c r="K92" s="2" t="s">
        <v>161</v>
      </c>
      <c r="L92" s="2" t="s">
        <v>103</v>
      </c>
      <c r="M92" s="38" t="str">
        <f t="shared" si="6"/>
        <v>25</v>
      </c>
      <c r="N92" s="38" t="str">
        <f t="shared" si="7"/>
        <v>11</v>
      </c>
      <c r="O92" s="50" t="s">
        <v>426</v>
      </c>
      <c r="P92" s="50" t="s">
        <v>426</v>
      </c>
      <c r="Q92" s="50">
        <v>124</v>
      </c>
    </row>
    <row r="93" spans="1:17" ht="16" x14ac:dyDescent="0.45">
      <c r="A93" s="2" t="str">
        <f>IFERROR(VLOOKUP(B93,CODE!$B:$D,3,0),"-")</f>
        <v>네트워크</v>
      </c>
      <c r="B93" s="2" t="str">
        <f>IF(L93="-",VLOOKUP(J93,CODE!$B:$D,2,0),L93)</f>
        <v>모비온</v>
      </c>
      <c r="C93" s="2" t="s">
        <v>266</v>
      </c>
      <c r="D93" s="2" t="s">
        <v>955</v>
      </c>
      <c r="E93" s="2" t="s">
        <v>280</v>
      </c>
      <c r="F93" s="2" t="s">
        <v>268</v>
      </c>
      <c r="G93" s="2" t="s">
        <v>269</v>
      </c>
      <c r="H93" s="2" t="s">
        <v>279</v>
      </c>
      <c r="I93" s="2" t="s">
        <v>366</v>
      </c>
      <c r="J93" s="2" t="s">
        <v>59</v>
      </c>
      <c r="K93" s="2" t="s">
        <v>369</v>
      </c>
      <c r="L93" s="2" t="s">
        <v>103</v>
      </c>
      <c r="M93" s="38" t="str">
        <f t="shared" si="6"/>
        <v>25</v>
      </c>
      <c r="N93" s="38" t="str">
        <f t="shared" si="7"/>
        <v>12</v>
      </c>
      <c r="O93" s="50" t="s">
        <v>427</v>
      </c>
      <c r="P93" s="50" t="s">
        <v>427</v>
      </c>
      <c r="Q93" s="50">
        <v>124</v>
      </c>
    </row>
    <row r="94" spans="1:17" ht="16" x14ac:dyDescent="0.45">
      <c r="A94" s="2" t="str">
        <f>IFERROR(VLOOKUP(B94,CODE!$B:$D,3,0),"-")</f>
        <v>네트워크</v>
      </c>
      <c r="B94" s="2" t="str">
        <f>IF(L94="-",VLOOKUP(J94,CODE!$B:$D,2,0),L94)</f>
        <v>모비온</v>
      </c>
      <c r="C94" s="2" t="s">
        <v>266</v>
      </c>
      <c r="D94" s="2" t="s">
        <v>955</v>
      </c>
      <c r="E94" s="2" t="s">
        <v>280</v>
      </c>
      <c r="F94" s="2" t="s">
        <v>268</v>
      </c>
      <c r="G94" s="2" t="s">
        <v>269</v>
      </c>
      <c r="H94" s="2" t="s">
        <v>279</v>
      </c>
      <c r="I94" s="2" t="s">
        <v>370</v>
      </c>
      <c r="J94" s="2" t="s">
        <v>7</v>
      </c>
      <c r="K94" s="2" t="s">
        <v>371</v>
      </c>
      <c r="L94" s="2" t="s">
        <v>103</v>
      </c>
      <c r="M94" s="38" t="str">
        <f t="shared" si="6"/>
        <v>26</v>
      </c>
      <c r="N94" s="38" t="str">
        <f t="shared" si="7"/>
        <v>01</v>
      </c>
      <c r="O94" s="50" t="s">
        <v>220</v>
      </c>
      <c r="P94" s="50" t="s">
        <v>220</v>
      </c>
      <c r="Q94" s="50">
        <v>447</v>
      </c>
    </row>
    <row r="95" spans="1:17" ht="16" x14ac:dyDescent="0.45">
      <c r="A95" s="2" t="str">
        <f>IFERROR(VLOOKUP(B95,CODE!$B:$D,3,0),"-")</f>
        <v>네트워크</v>
      </c>
      <c r="B95" s="2" t="str">
        <f>IF(L95="-",VLOOKUP(J95,CODE!$B:$D,2,0),L95)</f>
        <v>모비온</v>
      </c>
      <c r="C95" s="2" t="s">
        <v>266</v>
      </c>
      <c r="D95" s="2" t="s">
        <v>955</v>
      </c>
      <c r="E95" s="2" t="s">
        <v>280</v>
      </c>
      <c r="F95" s="2" t="s">
        <v>268</v>
      </c>
      <c r="G95" s="2" t="s">
        <v>269</v>
      </c>
      <c r="H95" s="2" t="s">
        <v>279</v>
      </c>
      <c r="I95" s="2" t="s">
        <v>370</v>
      </c>
      <c r="J95" s="2" t="s">
        <v>7</v>
      </c>
      <c r="K95" s="2" t="s">
        <v>273</v>
      </c>
      <c r="L95" s="2" t="s">
        <v>103</v>
      </c>
      <c r="M95" s="38" t="str">
        <f t="shared" si="6"/>
        <v>25</v>
      </c>
      <c r="N95" s="38" t="str">
        <f t="shared" si="7"/>
        <v>12</v>
      </c>
      <c r="O95" s="50" t="s">
        <v>427</v>
      </c>
      <c r="P95" s="50" t="s">
        <v>427</v>
      </c>
      <c r="Q95" s="50">
        <v>124</v>
      </c>
    </row>
    <row r="96" spans="1:17" ht="16" x14ac:dyDescent="0.45">
      <c r="A96" s="2" t="str">
        <f>IFERROR(VLOOKUP(B96,CODE!$B:$D,3,0),"-")</f>
        <v>네트워크</v>
      </c>
      <c r="B96" s="2" t="str">
        <f>IF(L96="-",VLOOKUP(J96,CODE!$B:$D,2,0),L96)</f>
        <v>모비온</v>
      </c>
      <c r="C96" s="2" t="s">
        <v>266</v>
      </c>
      <c r="D96" s="2" t="s">
        <v>955</v>
      </c>
      <c r="E96" s="2" t="s">
        <v>280</v>
      </c>
      <c r="F96" s="2" t="s">
        <v>268</v>
      </c>
      <c r="G96" s="2" t="s">
        <v>269</v>
      </c>
      <c r="H96" s="2" t="s">
        <v>279</v>
      </c>
      <c r="I96" s="2" t="s">
        <v>372</v>
      </c>
      <c r="J96" s="2" t="s">
        <v>59</v>
      </c>
      <c r="K96" s="2" t="s">
        <v>160</v>
      </c>
      <c r="L96" s="2" t="s">
        <v>103</v>
      </c>
      <c r="M96" s="38" t="str">
        <f t="shared" si="6"/>
        <v>25</v>
      </c>
      <c r="N96" s="38" t="str">
        <f t="shared" si="7"/>
        <v>10</v>
      </c>
      <c r="O96" s="50" t="s">
        <v>257</v>
      </c>
      <c r="P96" s="50" t="s">
        <v>257</v>
      </c>
      <c r="Q96" s="50">
        <v>124</v>
      </c>
    </row>
    <row r="97" spans="1:17" ht="16" x14ac:dyDescent="0.45">
      <c r="A97" s="2" t="str">
        <f>IFERROR(VLOOKUP(B97,CODE!$B:$D,3,0),"-")</f>
        <v>네트워크</v>
      </c>
      <c r="B97" s="2" t="str">
        <f>IF(L97="-",VLOOKUP(J97,CODE!$B:$D,2,0),L97)</f>
        <v>모비온</v>
      </c>
      <c r="C97" s="2" t="s">
        <v>266</v>
      </c>
      <c r="D97" s="2" t="s">
        <v>955</v>
      </c>
      <c r="E97" s="2" t="s">
        <v>280</v>
      </c>
      <c r="F97" s="2" t="s">
        <v>268</v>
      </c>
      <c r="G97" s="2" t="s">
        <v>269</v>
      </c>
      <c r="H97" s="2" t="s">
        <v>279</v>
      </c>
      <c r="I97" s="2" t="s">
        <v>373</v>
      </c>
      <c r="J97" s="2" t="s">
        <v>99</v>
      </c>
      <c r="K97" s="2" t="s">
        <v>162</v>
      </c>
      <c r="L97" s="2" t="s">
        <v>103</v>
      </c>
      <c r="M97" s="38" t="str">
        <f t="shared" si="6"/>
        <v>25</v>
      </c>
      <c r="N97" s="38" t="str">
        <f t="shared" si="7"/>
        <v>10</v>
      </c>
      <c r="O97" s="50" t="s">
        <v>428</v>
      </c>
      <c r="P97" s="50" t="s">
        <v>428</v>
      </c>
      <c r="Q97" s="50">
        <v>124</v>
      </c>
    </row>
    <row r="98" spans="1:17" ht="16" x14ac:dyDescent="0.45">
      <c r="A98" s="2" t="str">
        <f>IFERROR(VLOOKUP(B98,CODE!$B:$D,3,0),"-")</f>
        <v>네트워크</v>
      </c>
      <c r="B98" s="2" t="str">
        <f>IF(L98="-",VLOOKUP(J98,CODE!$B:$D,2,0),L98)</f>
        <v>모비온</v>
      </c>
      <c r="C98" s="2" t="s">
        <v>266</v>
      </c>
      <c r="D98" s="2" t="s">
        <v>955</v>
      </c>
      <c r="E98" s="2" t="s">
        <v>280</v>
      </c>
      <c r="F98" s="2" t="s">
        <v>268</v>
      </c>
      <c r="G98" s="2" t="s">
        <v>269</v>
      </c>
      <c r="H98" s="2" t="s">
        <v>279</v>
      </c>
      <c r="I98" s="2" t="s">
        <v>373</v>
      </c>
      <c r="J98" s="2" t="s">
        <v>99</v>
      </c>
      <c r="K98" s="2" t="s">
        <v>162</v>
      </c>
      <c r="L98" s="2" t="s">
        <v>103</v>
      </c>
      <c r="M98" s="38" t="str">
        <f t="shared" si="6"/>
        <v>25</v>
      </c>
      <c r="N98" s="38" t="str">
        <f t="shared" si="7"/>
        <v>11</v>
      </c>
      <c r="O98" s="50" t="s">
        <v>424</v>
      </c>
      <c r="P98" s="50" t="s">
        <v>424</v>
      </c>
      <c r="Q98" s="50">
        <v>124</v>
      </c>
    </row>
    <row r="99" spans="1:17" ht="16" x14ac:dyDescent="0.45">
      <c r="A99" s="2" t="str">
        <f>IFERROR(VLOOKUP(B99,CODE!$B:$D,3,0),"-")</f>
        <v>네트워크</v>
      </c>
      <c r="B99" s="2" t="str">
        <f>IF(L99="-",VLOOKUP(J99,CODE!$B:$D,2,0),L99)</f>
        <v>모비온</v>
      </c>
      <c r="C99" s="2" t="s">
        <v>266</v>
      </c>
      <c r="D99" s="2" t="s">
        <v>955</v>
      </c>
      <c r="E99" s="2" t="s">
        <v>280</v>
      </c>
      <c r="F99" s="2" t="s">
        <v>268</v>
      </c>
      <c r="G99" s="2" t="s">
        <v>269</v>
      </c>
      <c r="H99" s="2" t="s">
        <v>279</v>
      </c>
      <c r="I99" s="2" t="s">
        <v>373</v>
      </c>
      <c r="J99" s="2" t="s">
        <v>99</v>
      </c>
      <c r="K99" s="2" t="s">
        <v>374</v>
      </c>
      <c r="L99" s="2" t="s">
        <v>103</v>
      </c>
      <c r="M99" s="38" t="str">
        <f t="shared" si="6"/>
        <v>25</v>
      </c>
      <c r="N99" s="38" t="str">
        <f t="shared" si="7"/>
        <v>10</v>
      </c>
      <c r="O99" s="50" t="s">
        <v>408</v>
      </c>
      <c r="P99" s="50" t="s">
        <v>408</v>
      </c>
      <c r="Q99" s="50">
        <v>124</v>
      </c>
    </row>
    <row r="100" spans="1:17" ht="16" x14ac:dyDescent="0.45">
      <c r="A100" s="2" t="str">
        <f>IFERROR(VLOOKUP(B100,CODE!$B:$D,3,0),"-")</f>
        <v>네트워크</v>
      </c>
      <c r="B100" s="2" t="str">
        <f>IF(L100="-",VLOOKUP(J100,CODE!$B:$D,2,0),L100)</f>
        <v>모비온</v>
      </c>
      <c r="C100" s="2" t="s">
        <v>266</v>
      </c>
      <c r="D100" s="2" t="s">
        <v>955</v>
      </c>
      <c r="E100" s="2" t="s">
        <v>280</v>
      </c>
      <c r="F100" s="2" t="s">
        <v>268</v>
      </c>
      <c r="G100" s="2" t="s">
        <v>269</v>
      </c>
      <c r="H100" s="2" t="s">
        <v>279</v>
      </c>
      <c r="I100" s="2" t="s">
        <v>373</v>
      </c>
      <c r="J100" s="2" t="s">
        <v>99</v>
      </c>
      <c r="K100" s="2" t="s">
        <v>375</v>
      </c>
      <c r="L100" s="2" t="s">
        <v>103</v>
      </c>
      <c r="M100" s="38" t="str">
        <f t="shared" si="6"/>
        <v>25</v>
      </c>
      <c r="N100" s="38" t="str">
        <f t="shared" si="7"/>
        <v>10</v>
      </c>
      <c r="O100" s="50" t="s">
        <v>429</v>
      </c>
      <c r="P100" s="50" t="s">
        <v>429</v>
      </c>
      <c r="Q100" s="50">
        <v>124</v>
      </c>
    </row>
    <row r="101" spans="1:17" ht="16" x14ac:dyDescent="0.45">
      <c r="A101" s="2" t="str">
        <f>IFERROR(VLOOKUP(B101,CODE!$B:$D,3,0),"-")</f>
        <v>네트워크</v>
      </c>
      <c r="B101" s="2" t="str">
        <f>IF(L101="-",VLOOKUP(J101,CODE!$B:$D,2,0),L101)</f>
        <v>모비온</v>
      </c>
      <c r="C101" s="2" t="s">
        <v>266</v>
      </c>
      <c r="D101" s="2" t="s">
        <v>955</v>
      </c>
      <c r="E101" s="2" t="s">
        <v>280</v>
      </c>
      <c r="F101" s="2" t="s">
        <v>268</v>
      </c>
      <c r="G101" s="2" t="s">
        <v>269</v>
      </c>
      <c r="H101" s="2" t="s">
        <v>279</v>
      </c>
      <c r="I101" s="2" t="s">
        <v>373</v>
      </c>
      <c r="J101" s="2" t="s">
        <v>99</v>
      </c>
      <c r="K101" s="2" t="s">
        <v>159</v>
      </c>
      <c r="L101" s="2" t="s">
        <v>103</v>
      </c>
      <c r="M101" s="38" t="str">
        <f t="shared" si="6"/>
        <v>25</v>
      </c>
      <c r="N101" s="38" t="str">
        <f t="shared" si="7"/>
        <v>08</v>
      </c>
      <c r="O101" s="50" t="s">
        <v>430</v>
      </c>
      <c r="P101" s="50" t="s">
        <v>430</v>
      </c>
      <c r="Q101" s="50">
        <v>150</v>
      </c>
    </row>
    <row r="102" spans="1:17" ht="16" x14ac:dyDescent="0.45">
      <c r="A102" s="2" t="str">
        <f>IFERROR(VLOOKUP(B102,CODE!$B:$D,3,0),"-")</f>
        <v>네트워크</v>
      </c>
      <c r="B102" s="2" t="str">
        <f>IF(L102="-",VLOOKUP(J102,CODE!$B:$D,2,0),L102)</f>
        <v>모비온</v>
      </c>
      <c r="C102" s="2" t="s">
        <v>266</v>
      </c>
      <c r="D102" s="2" t="s">
        <v>955</v>
      </c>
      <c r="E102" s="2" t="s">
        <v>280</v>
      </c>
      <c r="F102" s="2" t="s">
        <v>268</v>
      </c>
      <c r="G102" s="2" t="s">
        <v>269</v>
      </c>
      <c r="H102" s="2" t="s">
        <v>279</v>
      </c>
      <c r="I102" s="2" t="s">
        <v>376</v>
      </c>
      <c r="J102" s="2" t="s">
        <v>8</v>
      </c>
      <c r="K102" s="2" t="s">
        <v>377</v>
      </c>
      <c r="L102" s="2" t="s">
        <v>103</v>
      </c>
      <c r="M102" s="38" t="str">
        <f t="shared" si="6"/>
        <v>26</v>
      </c>
      <c r="N102" s="38" t="str">
        <f t="shared" si="7"/>
        <v>01</v>
      </c>
      <c r="O102" s="50" t="s">
        <v>220</v>
      </c>
      <c r="P102" s="50" t="s">
        <v>220</v>
      </c>
      <c r="Q102" s="50">
        <v>447</v>
      </c>
    </row>
    <row r="103" spans="1:17" ht="16" x14ac:dyDescent="0.45">
      <c r="A103" s="2" t="str">
        <f>IFERROR(VLOOKUP(B103,CODE!$B:$D,3,0),"-")</f>
        <v>네트워크</v>
      </c>
      <c r="B103" s="2" t="str">
        <f>IF(L103="-",VLOOKUP(J103,CODE!$B:$D,2,0),L103)</f>
        <v>모비온</v>
      </c>
      <c r="C103" s="2" t="s">
        <v>266</v>
      </c>
      <c r="D103" s="2" t="s">
        <v>955</v>
      </c>
      <c r="E103" s="2" t="s">
        <v>280</v>
      </c>
      <c r="F103" s="2" t="s">
        <v>268</v>
      </c>
      <c r="G103" s="2" t="s">
        <v>269</v>
      </c>
      <c r="H103" s="2" t="s">
        <v>279</v>
      </c>
      <c r="I103" s="2" t="s">
        <v>376</v>
      </c>
      <c r="J103" s="2" t="s">
        <v>8</v>
      </c>
      <c r="K103" s="2" t="s">
        <v>273</v>
      </c>
      <c r="L103" s="2" t="s">
        <v>103</v>
      </c>
      <c r="M103" s="38" t="str">
        <f t="shared" si="6"/>
        <v>25</v>
      </c>
      <c r="N103" s="38" t="str">
        <f t="shared" si="7"/>
        <v>12</v>
      </c>
      <c r="O103" s="50" t="s">
        <v>431</v>
      </c>
      <c r="P103" s="50" t="s">
        <v>431</v>
      </c>
      <c r="Q103" s="50">
        <v>124</v>
      </c>
    </row>
    <row r="104" spans="1:17" ht="16" x14ac:dyDescent="0.45">
      <c r="A104" s="2" t="str">
        <f>IFERROR(VLOOKUP(B104,CODE!$B:$D,3,0),"-")</f>
        <v>네트워크</v>
      </c>
      <c r="B104" s="2" t="str">
        <f>IF(L104="-",VLOOKUP(J104,CODE!$B:$D,2,0),L104)</f>
        <v>모비온</v>
      </c>
      <c r="C104" s="2" t="s">
        <v>266</v>
      </c>
      <c r="D104" s="2" t="s">
        <v>955</v>
      </c>
      <c r="E104" s="2" t="s">
        <v>280</v>
      </c>
      <c r="F104" s="2" t="s">
        <v>268</v>
      </c>
      <c r="G104" s="2" t="s">
        <v>269</v>
      </c>
      <c r="H104" s="2" t="s">
        <v>279</v>
      </c>
      <c r="I104" s="2" t="s">
        <v>376</v>
      </c>
      <c r="J104" s="2" t="s">
        <v>8</v>
      </c>
      <c r="K104" s="2" t="s">
        <v>340</v>
      </c>
      <c r="L104" s="2" t="s">
        <v>103</v>
      </c>
      <c r="M104" s="38" t="str">
        <f t="shared" si="6"/>
        <v>25</v>
      </c>
      <c r="N104" s="38" t="str">
        <f t="shared" si="7"/>
        <v>11</v>
      </c>
      <c r="O104" s="50" t="s">
        <v>207</v>
      </c>
      <c r="P104" s="50" t="s">
        <v>207</v>
      </c>
      <c r="Q104" s="50">
        <v>124</v>
      </c>
    </row>
    <row r="105" spans="1:17" ht="16" x14ac:dyDescent="0.45">
      <c r="A105" s="2" t="str">
        <f>IFERROR(VLOOKUP(B105,CODE!$B:$D,3,0),"-")</f>
        <v>네트워크</v>
      </c>
      <c r="B105" s="2" t="str">
        <f>IF(L105="-",VLOOKUP(J105,CODE!$B:$D,2,0),L105)</f>
        <v>모비온</v>
      </c>
      <c r="C105" s="2" t="s">
        <v>266</v>
      </c>
      <c r="D105" s="2" t="s">
        <v>955</v>
      </c>
      <c r="E105" s="2" t="s">
        <v>280</v>
      </c>
      <c r="F105" s="2" t="s">
        <v>268</v>
      </c>
      <c r="G105" s="2" t="s">
        <v>269</v>
      </c>
      <c r="H105" s="2" t="s">
        <v>279</v>
      </c>
      <c r="I105" s="2" t="s">
        <v>378</v>
      </c>
      <c r="J105" s="2" t="s">
        <v>60</v>
      </c>
      <c r="K105" s="2" t="s">
        <v>160</v>
      </c>
      <c r="L105" s="2" t="s">
        <v>103</v>
      </c>
      <c r="M105" s="38" t="str">
        <f t="shared" si="6"/>
        <v>25</v>
      </c>
      <c r="N105" s="38" t="str">
        <f t="shared" si="7"/>
        <v>07</v>
      </c>
      <c r="O105" s="50" t="s">
        <v>432</v>
      </c>
      <c r="P105" s="50" t="s">
        <v>432</v>
      </c>
      <c r="Q105" s="50">
        <v>150</v>
      </c>
    </row>
    <row r="106" spans="1:17" ht="16" x14ac:dyDescent="0.45">
      <c r="A106" s="2" t="str">
        <f>IFERROR(VLOOKUP(B106,CODE!$B:$D,3,0),"-")</f>
        <v>네트워크</v>
      </c>
      <c r="B106" s="2" t="str">
        <f>IF(L106="-",VLOOKUP(J106,CODE!$B:$D,2,0),L106)</f>
        <v>모비온</v>
      </c>
      <c r="C106" s="2" t="s">
        <v>266</v>
      </c>
      <c r="D106" s="2" t="s">
        <v>955</v>
      </c>
      <c r="E106" s="2" t="s">
        <v>280</v>
      </c>
      <c r="F106" s="2" t="s">
        <v>268</v>
      </c>
      <c r="G106" s="2" t="s">
        <v>269</v>
      </c>
      <c r="H106" s="2" t="s">
        <v>279</v>
      </c>
      <c r="I106" s="2" t="s">
        <v>378</v>
      </c>
      <c r="J106" s="2" t="s">
        <v>60</v>
      </c>
      <c r="K106" s="2" t="s">
        <v>340</v>
      </c>
      <c r="L106" s="2" t="s">
        <v>103</v>
      </c>
      <c r="M106" s="38" t="str">
        <f t="shared" si="6"/>
        <v>25</v>
      </c>
      <c r="N106" s="38" t="str">
        <f t="shared" si="7"/>
        <v>07</v>
      </c>
      <c r="O106" s="50" t="s">
        <v>433</v>
      </c>
      <c r="P106" s="50" t="s">
        <v>434</v>
      </c>
      <c r="Q106" s="50">
        <v>450</v>
      </c>
    </row>
    <row r="107" spans="1:17" ht="16" x14ac:dyDescent="0.45">
      <c r="A107" s="2" t="str">
        <f>IFERROR(VLOOKUP(B107,CODE!$B:$D,3,0),"-")</f>
        <v>네트워크</v>
      </c>
      <c r="B107" s="2" t="str">
        <f>IF(L107="-",VLOOKUP(J107,CODE!$B:$D,2,0),L107)</f>
        <v>모비온</v>
      </c>
      <c r="C107" s="2" t="s">
        <v>266</v>
      </c>
      <c r="D107" s="2" t="s">
        <v>955</v>
      </c>
      <c r="E107" s="2" t="s">
        <v>280</v>
      </c>
      <c r="F107" s="2" t="s">
        <v>268</v>
      </c>
      <c r="G107" s="2" t="s">
        <v>269</v>
      </c>
      <c r="H107" s="2" t="s">
        <v>279</v>
      </c>
      <c r="I107" s="2" t="s">
        <v>379</v>
      </c>
      <c r="J107" s="2" t="s">
        <v>74</v>
      </c>
      <c r="K107" s="2" t="s">
        <v>161</v>
      </c>
      <c r="L107" s="2" t="s">
        <v>103</v>
      </c>
      <c r="M107" s="38" t="str">
        <f t="shared" si="6"/>
        <v>25</v>
      </c>
      <c r="N107" s="38" t="str">
        <f t="shared" si="7"/>
        <v>12</v>
      </c>
      <c r="O107" s="50" t="s">
        <v>238</v>
      </c>
      <c r="P107" s="50" t="s">
        <v>238</v>
      </c>
      <c r="Q107" s="50">
        <v>124</v>
      </c>
    </row>
    <row r="108" spans="1:17" ht="16" x14ac:dyDescent="0.45">
      <c r="A108" s="2" t="str">
        <f>IFERROR(VLOOKUP(B108,CODE!$B:$D,3,0),"-")</f>
        <v>네트워크</v>
      </c>
      <c r="B108" s="2" t="str">
        <f>IF(L108="-",VLOOKUP(J108,CODE!$B:$D,2,0),L108)</f>
        <v>모비온</v>
      </c>
      <c r="C108" s="2" t="s">
        <v>266</v>
      </c>
      <c r="D108" s="2" t="s">
        <v>955</v>
      </c>
      <c r="E108" s="2" t="s">
        <v>280</v>
      </c>
      <c r="F108" s="2" t="s">
        <v>268</v>
      </c>
      <c r="G108" s="2" t="s">
        <v>269</v>
      </c>
      <c r="H108" s="2" t="s">
        <v>279</v>
      </c>
      <c r="I108" s="2" t="s">
        <v>380</v>
      </c>
      <c r="J108" s="2" t="s">
        <v>58</v>
      </c>
      <c r="K108" s="2" t="s">
        <v>381</v>
      </c>
      <c r="L108" s="2" t="s">
        <v>103</v>
      </c>
      <c r="M108" s="38" t="str">
        <f t="shared" si="6"/>
        <v>25</v>
      </c>
      <c r="N108" s="38" t="str">
        <f t="shared" si="7"/>
        <v>08</v>
      </c>
      <c r="O108" s="50" t="s">
        <v>435</v>
      </c>
      <c r="P108" s="50" t="s">
        <v>435</v>
      </c>
      <c r="Q108" s="50">
        <v>150</v>
      </c>
    </row>
    <row r="109" spans="1:17" ht="16" x14ac:dyDescent="0.45">
      <c r="A109" s="2" t="str">
        <f>IFERROR(VLOOKUP(B109,CODE!$B:$D,3,0),"-")</f>
        <v>네트워크</v>
      </c>
      <c r="B109" s="2" t="str">
        <f>IF(L109="-",VLOOKUP(J109,CODE!$B:$D,2,0),L109)</f>
        <v>모비온</v>
      </c>
      <c r="C109" s="2" t="s">
        <v>266</v>
      </c>
      <c r="D109" s="2" t="s">
        <v>955</v>
      </c>
      <c r="E109" s="2" t="s">
        <v>280</v>
      </c>
      <c r="F109" s="2" t="s">
        <v>268</v>
      </c>
      <c r="G109" s="2" t="s">
        <v>269</v>
      </c>
      <c r="H109" s="2" t="s">
        <v>279</v>
      </c>
      <c r="I109" s="2" t="s">
        <v>382</v>
      </c>
      <c r="J109" s="2" t="s">
        <v>59</v>
      </c>
      <c r="K109" s="2" t="s">
        <v>162</v>
      </c>
      <c r="L109" s="2" t="s">
        <v>103</v>
      </c>
      <c r="M109" s="38" t="str">
        <f t="shared" si="6"/>
        <v>25</v>
      </c>
      <c r="N109" s="38" t="str">
        <f t="shared" si="7"/>
        <v>11</v>
      </c>
      <c r="O109" s="50" t="s">
        <v>245</v>
      </c>
      <c r="P109" s="50" t="s">
        <v>245</v>
      </c>
      <c r="Q109" s="50">
        <v>53</v>
      </c>
    </row>
    <row r="110" spans="1:17" ht="16" x14ac:dyDescent="0.45">
      <c r="A110" s="2" t="str">
        <f>IFERROR(VLOOKUP(B110,CODE!$B:$D,3,0),"-")</f>
        <v>네트워크</v>
      </c>
      <c r="B110" s="2" t="str">
        <f>IF(L110="-",VLOOKUP(J110,CODE!$B:$D,2,0),L110)</f>
        <v>모비온</v>
      </c>
      <c r="C110" s="2" t="s">
        <v>266</v>
      </c>
      <c r="D110" s="2" t="s">
        <v>955</v>
      </c>
      <c r="E110" s="2" t="s">
        <v>280</v>
      </c>
      <c r="F110" s="2" t="s">
        <v>268</v>
      </c>
      <c r="G110" s="2" t="s">
        <v>269</v>
      </c>
      <c r="H110" s="2" t="s">
        <v>279</v>
      </c>
      <c r="I110" s="2" t="s">
        <v>382</v>
      </c>
      <c r="J110" s="2" t="s">
        <v>59</v>
      </c>
      <c r="K110" s="2" t="s">
        <v>383</v>
      </c>
      <c r="L110" s="2" t="s">
        <v>103</v>
      </c>
      <c r="M110" s="38" t="str">
        <f t="shared" si="6"/>
        <v>25</v>
      </c>
      <c r="N110" s="38" t="str">
        <f t="shared" si="7"/>
        <v>10</v>
      </c>
      <c r="O110" s="50" t="s">
        <v>436</v>
      </c>
      <c r="P110" s="50" t="s">
        <v>436</v>
      </c>
      <c r="Q110" s="50">
        <v>53</v>
      </c>
    </row>
    <row r="111" spans="1:17" ht="16" x14ac:dyDescent="0.45">
      <c r="A111" s="2" t="str">
        <f>IFERROR(VLOOKUP(B111,CODE!$B:$D,3,0),"-")</f>
        <v>네트워크</v>
      </c>
      <c r="B111" s="2" t="str">
        <f>IF(L111="-",VLOOKUP(J111,CODE!$B:$D,2,0),L111)</f>
        <v>모비온</v>
      </c>
      <c r="C111" s="2" t="s">
        <v>266</v>
      </c>
      <c r="D111" s="2" t="s">
        <v>955</v>
      </c>
      <c r="E111" s="2" t="s">
        <v>280</v>
      </c>
      <c r="F111" s="2" t="s">
        <v>268</v>
      </c>
      <c r="G111" s="2" t="s">
        <v>269</v>
      </c>
      <c r="H111" s="2" t="s">
        <v>279</v>
      </c>
      <c r="I111" s="2" t="s">
        <v>382</v>
      </c>
      <c r="J111" s="2" t="s">
        <v>59</v>
      </c>
      <c r="K111" s="2" t="s">
        <v>383</v>
      </c>
      <c r="L111" s="2" t="s">
        <v>103</v>
      </c>
      <c r="M111" s="38" t="str">
        <f t="shared" si="6"/>
        <v>25</v>
      </c>
      <c r="N111" s="38" t="str">
        <f t="shared" si="7"/>
        <v>11</v>
      </c>
      <c r="O111" s="50" t="s">
        <v>246</v>
      </c>
      <c r="P111" s="50" t="s">
        <v>400</v>
      </c>
      <c r="Q111" s="50">
        <v>372</v>
      </c>
    </row>
    <row r="112" spans="1:17" ht="16" x14ac:dyDescent="0.45">
      <c r="A112" s="2" t="str">
        <f>IFERROR(VLOOKUP(B112,CODE!$B:$D,3,0),"-")</f>
        <v>네트워크</v>
      </c>
      <c r="B112" s="2" t="str">
        <f>IF(L112="-",VLOOKUP(J112,CODE!$B:$D,2,0),L112)</f>
        <v>모비온</v>
      </c>
      <c r="C112" s="2" t="s">
        <v>266</v>
      </c>
      <c r="D112" s="2" t="s">
        <v>955</v>
      </c>
      <c r="E112" s="2" t="s">
        <v>280</v>
      </c>
      <c r="F112" s="2" t="s">
        <v>268</v>
      </c>
      <c r="G112" s="2" t="s">
        <v>269</v>
      </c>
      <c r="H112" s="2" t="s">
        <v>279</v>
      </c>
      <c r="I112" s="2" t="s">
        <v>382</v>
      </c>
      <c r="J112" s="2" t="s">
        <v>59</v>
      </c>
      <c r="K112" s="2" t="s">
        <v>384</v>
      </c>
      <c r="L112" s="2" t="s">
        <v>103</v>
      </c>
      <c r="M112" s="38" t="str">
        <f t="shared" si="6"/>
        <v>25</v>
      </c>
      <c r="N112" s="38" t="str">
        <f t="shared" si="7"/>
        <v>12</v>
      </c>
      <c r="O112" s="50" t="s">
        <v>239</v>
      </c>
      <c r="P112" s="50" t="s">
        <v>437</v>
      </c>
      <c r="Q112" s="50">
        <v>212</v>
      </c>
    </row>
    <row r="113" spans="1:17" ht="16" x14ac:dyDescent="0.45">
      <c r="A113" s="2" t="str">
        <f>IFERROR(VLOOKUP(B113,CODE!$B:$D,3,0),"-")</f>
        <v>네트워크</v>
      </c>
      <c r="B113" s="2" t="str">
        <f>IF(L113="-",VLOOKUP(J113,CODE!$B:$D,2,0),L113)</f>
        <v>모비온</v>
      </c>
      <c r="C113" s="2" t="s">
        <v>266</v>
      </c>
      <c r="D113" s="2" t="s">
        <v>955</v>
      </c>
      <c r="E113" s="2" t="s">
        <v>280</v>
      </c>
      <c r="F113" s="2" t="s">
        <v>268</v>
      </c>
      <c r="G113" s="2" t="s">
        <v>269</v>
      </c>
      <c r="H113" s="2" t="s">
        <v>279</v>
      </c>
      <c r="I113" s="2" t="s">
        <v>382</v>
      </c>
      <c r="J113" s="2" t="s">
        <v>59</v>
      </c>
      <c r="K113" s="2" t="s">
        <v>161</v>
      </c>
      <c r="L113" s="2" t="s">
        <v>103</v>
      </c>
      <c r="M113" s="38" t="str">
        <f t="shared" si="6"/>
        <v>25</v>
      </c>
      <c r="N113" s="38" t="str">
        <f t="shared" si="7"/>
        <v>11</v>
      </c>
      <c r="O113" s="50" t="s">
        <v>109</v>
      </c>
      <c r="P113" s="50" t="s">
        <v>109</v>
      </c>
      <c r="Q113" s="50">
        <v>53</v>
      </c>
    </row>
    <row r="114" spans="1:17" ht="16" x14ac:dyDescent="0.45">
      <c r="A114" s="2" t="str">
        <f>IFERROR(VLOOKUP(B114,CODE!$B:$D,3,0),"-")</f>
        <v>네트워크</v>
      </c>
      <c r="B114" s="2" t="str">
        <f>IF(L114="-",VLOOKUP(J114,CODE!$B:$D,2,0),L114)</f>
        <v>모비온</v>
      </c>
      <c r="C114" s="2" t="s">
        <v>266</v>
      </c>
      <c r="D114" s="2" t="s">
        <v>955</v>
      </c>
      <c r="E114" s="2" t="s">
        <v>280</v>
      </c>
      <c r="F114" s="2" t="s">
        <v>268</v>
      </c>
      <c r="G114" s="2" t="s">
        <v>269</v>
      </c>
      <c r="H114" s="2" t="s">
        <v>279</v>
      </c>
      <c r="I114" s="2" t="s">
        <v>382</v>
      </c>
      <c r="J114" s="2" t="s">
        <v>59</v>
      </c>
      <c r="K114" s="2" t="s">
        <v>161</v>
      </c>
      <c r="L114" s="2" t="s">
        <v>103</v>
      </c>
      <c r="M114" s="38" t="str">
        <f t="shared" si="6"/>
        <v>25</v>
      </c>
      <c r="N114" s="38" t="str">
        <f t="shared" si="7"/>
        <v>12</v>
      </c>
      <c r="O114" s="50" t="s">
        <v>438</v>
      </c>
      <c r="P114" s="50" t="s">
        <v>438</v>
      </c>
      <c r="Q114" s="50">
        <v>53</v>
      </c>
    </row>
    <row r="115" spans="1:17" ht="16" x14ac:dyDescent="0.45">
      <c r="A115" s="2" t="str">
        <f>IFERROR(VLOOKUP(B115,CODE!$B:$D,3,0),"-")</f>
        <v>네트워크</v>
      </c>
      <c r="B115" s="2" t="str">
        <f>IF(L115="-",VLOOKUP(J115,CODE!$B:$D,2,0),L115)</f>
        <v>모비온</v>
      </c>
      <c r="C115" s="2" t="s">
        <v>266</v>
      </c>
      <c r="D115" s="2" t="s">
        <v>955</v>
      </c>
      <c r="E115" s="2" t="s">
        <v>280</v>
      </c>
      <c r="F115" s="2" t="s">
        <v>268</v>
      </c>
      <c r="G115" s="2" t="s">
        <v>269</v>
      </c>
      <c r="H115" s="2" t="s">
        <v>279</v>
      </c>
      <c r="I115" s="2" t="s">
        <v>382</v>
      </c>
      <c r="J115" s="2" t="s">
        <v>59</v>
      </c>
      <c r="K115" s="2" t="s">
        <v>385</v>
      </c>
      <c r="L115" s="2" t="s">
        <v>103</v>
      </c>
      <c r="M115" s="38" t="str">
        <f t="shared" si="6"/>
        <v>25</v>
      </c>
      <c r="N115" s="38" t="str">
        <f t="shared" si="7"/>
        <v>09</v>
      </c>
      <c r="O115" s="50" t="s">
        <v>439</v>
      </c>
      <c r="P115" s="50" t="s">
        <v>439</v>
      </c>
      <c r="Q115" s="50">
        <v>65</v>
      </c>
    </row>
    <row r="116" spans="1:17" ht="16" x14ac:dyDescent="0.45">
      <c r="A116" s="2" t="str">
        <f>IFERROR(VLOOKUP(B116,CODE!$B:$D,3,0),"-")</f>
        <v>네트워크</v>
      </c>
      <c r="B116" s="2" t="str">
        <f>IF(L116="-",VLOOKUP(J116,CODE!$B:$D,2,0),L116)</f>
        <v>모비온</v>
      </c>
      <c r="C116" s="2" t="s">
        <v>266</v>
      </c>
      <c r="D116" s="2" t="s">
        <v>955</v>
      </c>
      <c r="E116" s="2" t="s">
        <v>280</v>
      </c>
      <c r="F116" s="2" t="s">
        <v>268</v>
      </c>
      <c r="G116" s="2" t="s">
        <v>269</v>
      </c>
      <c r="H116" s="2" t="s">
        <v>279</v>
      </c>
      <c r="I116" s="2" t="s">
        <v>106</v>
      </c>
      <c r="J116" s="2" t="s">
        <v>107</v>
      </c>
      <c r="K116" s="2" t="s">
        <v>159</v>
      </c>
      <c r="L116" s="2" t="s">
        <v>103</v>
      </c>
      <c r="M116" s="38" t="str">
        <f t="shared" si="6"/>
        <v>25</v>
      </c>
      <c r="N116" s="38" t="str">
        <f t="shared" si="7"/>
        <v>09</v>
      </c>
      <c r="O116" s="50" t="s">
        <v>410</v>
      </c>
      <c r="P116" s="50" t="s">
        <v>410</v>
      </c>
      <c r="Q116" s="50">
        <v>150</v>
      </c>
    </row>
    <row r="117" spans="1:17" ht="16" x14ac:dyDescent="0.45">
      <c r="A117" s="2" t="str">
        <f>IFERROR(VLOOKUP(B117,CODE!$B:$D,3,0),"-")</f>
        <v>네트워크</v>
      </c>
      <c r="B117" s="2" t="str">
        <f>IF(L117="-",VLOOKUP(J117,CODE!$B:$D,2,0),L117)</f>
        <v>모비온</v>
      </c>
      <c r="C117" s="2" t="s">
        <v>266</v>
      </c>
      <c r="D117" s="2" t="s">
        <v>955</v>
      </c>
      <c r="E117" s="2" t="s">
        <v>280</v>
      </c>
      <c r="F117" s="2" t="s">
        <v>268</v>
      </c>
      <c r="G117" s="2" t="s">
        <v>269</v>
      </c>
      <c r="H117" s="2" t="s">
        <v>279</v>
      </c>
      <c r="I117" s="2" t="s">
        <v>106</v>
      </c>
      <c r="J117" s="2" t="s">
        <v>107</v>
      </c>
      <c r="K117" s="2" t="s">
        <v>159</v>
      </c>
      <c r="L117" s="2" t="s">
        <v>103</v>
      </c>
      <c r="M117" s="38" t="str">
        <f t="shared" si="6"/>
        <v>25</v>
      </c>
      <c r="N117" s="38" t="str">
        <f t="shared" si="7"/>
        <v>12</v>
      </c>
      <c r="O117" s="50" t="s">
        <v>423</v>
      </c>
      <c r="P117" s="50" t="s">
        <v>423</v>
      </c>
      <c r="Q117" s="50">
        <v>124</v>
      </c>
    </row>
    <row r="118" spans="1:17" ht="16" x14ac:dyDescent="0.45">
      <c r="A118" s="2" t="str">
        <f>IFERROR(VLOOKUP(B118,CODE!$B:$D,3,0),"-")</f>
        <v>네트워크</v>
      </c>
      <c r="B118" s="2" t="str">
        <f>IF(L118="-",VLOOKUP(J118,CODE!$B:$D,2,0),L118)</f>
        <v>모비온</v>
      </c>
      <c r="C118" s="2" t="s">
        <v>266</v>
      </c>
      <c r="D118" s="2" t="s">
        <v>955</v>
      </c>
      <c r="E118" s="2" t="s">
        <v>280</v>
      </c>
      <c r="F118" s="2" t="s">
        <v>268</v>
      </c>
      <c r="G118" s="2" t="s">
        <v>269</v>
      </c>
      <c r="H118" s="2" t="s">
        <v>279</v>
      </c>
      <c r="I118" s="2" t="s">
        <v>106</v>
      </c>
      <c r="J118" s="2" t="s">
        <v>107</v>
      </c>
      <c r="K118" s="2" t="s">
        <v>386</v>
      </c>
      <c r="L118" s="2" t="s">
        <v>103</v>
      </c>
      <c r="M118" s="38" t="str">
        <f t="shared" si="6"/>
        <v>25</v>
      </c>
      <c r="N118" s="38" t="str">
        <f t="shared" si="7"/>
        <v>10</v>
      </c>
      <c r="O118" s="50" t="s">
        <v>440</v>
      </c>
      <c r="P118" s="50" t="s">
        <v>440</v>
      </c>
      <c r="Q118" s="50">
        <v>124</v>
      </c>
    </row>
    <row r="119" spans="1:17" ht="16" x14ac:dyDescent="0.45">
      <c r="A119" s="2" t="str">
        <f>IFERROR(VLOOKUP(B119,CODE!$B:$D,3,0),"-")</f>
        <v>네트워크</v>
      </c>
      <c r="B119" s="2" t="str">
        <f>IF(L119="-",VLOOKUP(J119,CODE!$B:$D,2,0),L119)</f>
        <v>모비온</v>
      </c>
      <c r="C119" s="2" t="s">
        <v>266</v>
      </c>
      <c r="D119" s="2" t="s">
        <v>955</v>
      </c>
      <c r="E119" s="2" t="s">
        <v>280</v>
      </c>
      <c r="F119" s="2" t="s">
        <v>268</v>
      </c>
      <c r="G119" s="2" t="s">
        <v>269</v>
      </c>
      <c r="H119" s="2" t="s">
        <v>279</v>
      </c>
      <c r="I119" s="2" t="s">
        <v>387</v>
      </c>
      <c r="J119" s="2" t="s">
        <v>73</v>
      </c>
      <c r="K119" s="2" t="s">
        <v>388</v>
      </c>
      <c r="L119" s="2" t="s">
        <v>103</v>
      </c>
      <c r="M119" s="38" t="str">
        <f t="shared" si="6"/>
        <v>25</v>
      </c>
      <c r="N119" s="38" t="str">
        <f t="shared" si="7"/>
        <v>11</v>
      </c>
      <c r="O119" s="50" t="s">
        <v>246</v>
      </c>
      <c r="P119" s="50" t="s">
        <v>248</v>
      </c>
      <c r="Q119" s="50">
        <v>371</v>
      </c>
    </row>
    <row r="120" spans="1:17" ht="16" x14ac:dyDescent="0.45">
      <c r="A120" s="2" t="str">
        <f>IFERROR(VLOOKUP(B120,CODE!$B:$D,3,0),"-")</f>
        <v>네트워크</v>
      </c>
      <c r="B120" s="2" t="str">
        <f>IF(L120="-",VLOOKUP(J120,CODE!$B:$D,2,0),L120)</f>
        <v>모비온</v>
      </c>
      <c r="C120" s="2" t="s">
        <v>266</v>
      </c>
      <c r="D120" s="2" t="s">
        <v>955</v>
      </c>
      <c r="E120" s="2" t="s">
        <v>280</v>
      </c>
      <c r="F120" s="2" t="s">
        <v>268</v>
      </c>
      <c r="G120" s="2" t="s">
        <v>269</v>
      </c>
      <c r="H120" s="2" t="s">
        <v>279</v>
      </c>
      <c r="I120" s="2" t="s">
        <v>387</v>
      </c>
      <c r="J120" s="2" t="s">
        <v>73</v>
      </c>
      <c r="K120" s="2" t="s">
        <v>388</v>
      </c>
      <c r="L120" s="2" t="s">
        <v>103</v>
      </c>
      <c r="M120" s="38" t="str">
        <f t="shared" si="6"/>
        <v>25</v>
      </c>
      <c r="N120" s="38" t="str">
        <f t="shared" si="7"/>
        <v>12</v>
      </c>
      <c r="O120" s="50" t="s">
        <v>419</v>
      </c>
      <c r="P120" s="50" t="s">
        <v>419</v>
      </c>
      <c r="Q120" s="50">
        <v>124</v>
      </c>
    </row>
    <row r="121" spans="1:17" ht="16" x14ac:dyDescent="0.45">
      <c r="A121" s="2" t="str">
        <f>IFERROR(VLOOKUP(B121,CODE!$B:$D,3,0),"-")</f>
        <v>네트워크</v>
      </c>
      <c r="B121" s="2" t="str">
        <f>IF(L121="-",VLOOKUP(J121,CODE!$B:$D,2,0),L121)</f>
        <v>모비온</v>
      </c>
      <c r="C121" s="2" t="s">
        <v>266</v>
      </c>
      <c r="D121" s="2" t="s">
        <v>955</v>
      </c>
      <c r="E121" s="2" t="s">
        <v>280</v>
      </c>
      <c r="F121" s="2" t="s">
        <v>268</v>
      </c>
      <c r="G121" s="2" t="s">
        <v>269</v>
      </c>
      <c r="H121" s="2" t="s">
        <v>279</v>
      </c>
      <c r="I121" s="2" t="s">
        <v>387</v>
      </c>
      <c r="J121" s="2" t="s">
        <v>73</v>
      </c>
      <c r="K121" s="2" t="s">
        <v>159</v>
      </c>
      <c r="L121" s="2" t="s">
        <v>103</v>
      </c>
      <c r="M121" s="38" t="str">
        <f t="shared" si="6"/>
        <v>25</v>
      </c>
      <c r="N121" s="38" t="str">
        <f t="shared" si="7"/>
        <v>09</v>
      </c>
      <c r="O121" s="50" t="s">
        <v>441</v>
      </c>
      <c r="P121" s="50" t="s">
        <v>441</v>
      </c>
      <c r="Q121" s="50">
        <v>150</v>
      </c>
    </row>
    <row r="122" spans="1:17" ht="16" x14ac:dyDescent="0.45">
      <c r="A122" s="2" t="str">
        <f>IFERROR(VLOOKUP(B122,CODE!$B:$D,3,0),"-")</f>
        <v>네트워크</v>
      </c>
      <c r="B122" s="2" t="str">
        <f>IF(L122="-",VLOOKUP(J122,CODE!$B:$D,2,0),L122)</f>
        <v>모비온</v>
      </c>
      <c r="C122" s="2" t="s">
        <v>266</v>
      </c>
      <c r="D122" s="2" t="s">
        <v>955</v>
      </c>
      <c r="E122" s="2" t="s">
        <v>280</v>
      </c>
      <c r="F122" s="2" t="s">
        <v>268</v>
      </c>
      <c r="G122" s="2" t="s">
        <v>269</v>
      </c>
      <c r="H122" s="2" t="s">
        <v>279</v>
      </c>
      <c r="I122" s="2" t="s">
        <v>389</v>
      </c>
      <c r="J122" s="2" t="s">
        <v>60</v>
      </c>
      <c r="K122" s="2" t="s">
        <v>390</v>
      </c>
      <c r="L122" s="2" t="s">
        <v>103</v>
      </c>
      <c r="M122" s="38" t="str">
        <f t="shared" si="6"/>
        <v>25</v>
      </c>
      <c r="N122" s="38" t="str">
        <f t="shared" si="7"/>
        <v>12</v>
      </c>
      <c r="O122" s="50" t="s">
        <v>237</v>
      </c>
      <c r="P122" s="50" t="s">
        <v>237</v>
      </c>
      <c r="Q122" s="50">
        <v>124</v>
      </c>
    </row>
    <row r="123" spans="1:17" ht="16" x14ac:dyDescent="0.45">
      <c r="A123" s="2" t="str">
        <f>IFERROR(VLOOKUP(B123,CODE!$B:$D,3,0),"-")</f>
        <v>네트워크</v>
      </c>
      <c r="B123" s="2" t="str">
        <f>IF(L123="-",VLOOKUP(J123,CODE!$B:$D,2,0),L123)</f>
        <v>모비온</v>
      </c>
      <c r="C123" s="2" t="s">
        <v>266</v>
      </c>
      <c r="D123" s="2" t="s">
        <v>955</v>
      </c>
      <c r="E123" s="2" t="s">
        <v>280</v>
      </c>
      <c r="F123" s="2" t="s">
        <v>268</v>
      </c>
      <c r="G123" s="2" t="s">
        <v>269</v>
      </c>
      <c r="H123" s="2" t="s">
        <v>279</v>
      </c>
      <c r="I123" s="2" t="s">
        <v>389</v>
      </c>
      <c r="J123" s="2" t="s">
        <v>60</v>
      </c>
      <c r="K123" s="2" t="s">
        <v>377</v>
      </c>
      <c r="L123" s="2" t="s">
        <v>103</v>
      </c>
      <c r="M123" s="38" t="str">
        <f t="shared" ref="M123:M186" si="8">LEFT(O123,2)</f>
        <v>25</v>
      </c>
      <c r="N123" s="38" t="str">
        <f t="shared" ref="N123:N186" si="9">MID(O123,4,2)</f>
        <v>12</v>
      </c>
      <c r="O123" s="50" t="s">
        <v>442</v>
      </c>
      <c r="P123" s="50" t="s">
        <v>442</v>
      </c>
      <c r="Q123" s="50">
        <v>124</v>
      </c>
    </row>
    <row r="124" spans="1:17" ht="16" x14ac:dyDescent="0.45">
      <c r="A124" s="2" t="str">
        <f>IFERROR(VLOOKUP(B124,CODE!$B:$D,3,0),"-")</f>
        <v>네트워크</v>
      </c>
      <c r="B124" s="2" t="str">
        <f>IF(L124="-",VLOOKUP(J124,CODE!$B:$D,2,0),L124)</f>
        <v>모비온</v>
      </c>
      <c r="C124" s="2" t="s">
        <v>266</v>
      </c>
      <c r="D124" s="2" t="s">
        <v>955</v>
      </c>
      <c r="E124" s="2" t="s">
        <v>280</v>
      </c>
      <c r="F124" s="2" t="s">
        <v>268</v>
      </c>
      <c r="G124" s="2" t="s">
        <v>269</v>
      </c>
      <c r="H124" s="2" t="s">
        <v>279</v>
      </c>
      <c r="I124" s="2" t="s">
        <v>389</v>
      </c>
      <c r="J124" s="2" t="s">
        <v>60</v>
      </c>
      <c r="K124" s="2" t="s">
        <v>360</v>
      </c>
      <c r="L124" s="2" t="s">
        <v>103</v>
      </c>
      <c r="M124" s="38" t="str">
        <f t="shared" si="8"/>
        <v>25</v>
      </c>
      <c r="N124" s="38" t="str">
        <f t="shared" si="9"/>
        <v>10</v>
      </c>
      <c r="O124" s="50" t="s">
        <v>405</v>
      </c>
      <c r="P124" s="50" t="s">
        <v>405</v>
      </c>
      <c r="Q124" s="50">
        <v>124</v>
      </c>
    </row>
    <row r="125" spans="1:17" ht="16" x14ac:dyDescent="0.45">
      <c r="A125" s="2" t="str">
        <f>IFERROR(VLOOKUP(B125,CODE!$B:$D,3,0),"-")</f>
        <v>네트워크</v>
      </c>
      <c r="B125" s="2" t="str">
        <f>IF(L125="-",VLOOKUP(J125,CODE!$B:$D,2,0),L125)</f>
        <v>모비온</v>
      </c>
      <c r="C125" s="2" t="s">
        <v>266</v>
      </c>
      <c r="D125" s="2" t="s">
        <v>955</v>
      </c>
      <c r="E125" s="2" t="s">
        <v>280</v>
      </c>
      <c r="F125" s="2" t="s">
        <v>268</v>
      </c>
      <c r="G125" s="2" t="s">
        <v>269</v>
      </c>
      <c r="H125" s="2" t="s">
        <v>279</v>
      </c>
      <c r="I125" s="2" t="s">
        <v>389</v>
      </c>
      <c r="J125" s="2" t="s">
        <v>60</v>
      </c>
      <c r="K125" s="2" t="s">
        <v>360</v>
      </c>
      <c r="L125" s="2" t="s">
        <v>103</v>
      </c>
      <c r="M125" s="38" t="str">
        <f t="shared" si="8"/>
        <v>26</v>
      </c>
      <c r="N125" s="38" t="str">
        <f t="shared" si="9"/>
        <v>01</v>
      </c>
      <c r="O125" s="50" t="s">
        <v>399</v>
      </c>
      <c r="P125" s="50" t="s">
        <v>399</v>
      </c>
      <c r="Q125" s="50">
        <v>447</v>
      </c>
    </row>
    <row r="126" spans="1:17" ht="16" x14ac:dyDescent="0.45">
      <c r="A126" s="2" t="str">
        <f>IFERROR(VLOOKUP(B126,CODE!$B:$D,3,0),"-")</f>
        <v>네트워크</v>
      </c>
      <c r="B126" s="2" t="str">
        <f>IF(L126="-",VLOOKUP(J126,CODE!$B:$D,2,0),L126)</f>
        <v>모비온</v>
      </c>
      <c r="C126" s="2" t="s">
        <v>266</v>
      </c>
      <c r="D126" s="2" t="s">
        <v>955</v>
      </c>
      <c r="E126" s="2" t="s">
        <v>280</v>
      </c>
      <c r="F126" s="2" t="s">
        <v>268</v>
      </c>
      <c r="G126" s="2" t="s">
        <v>269</v>
      </c>
      <c r="H126" s="2" t="s">
        <v>279</v>
      </c>
      <c r="I126" s="2" t="s">
        <v>389</v>
      </c>
      <c r="J126" s="2" t="s">
        <v>60</v>
      </c>
      <c r="K126" s="2" t="s">
        <v>391</v>
      </c>
      <c r="L126" s="2" t="s">
        <v>103</v>
      </c>
      <c r="M126" s="38" t="str">
        <f t="shared" si="8"/>
        <v>25</v>
      </c>
      <c r="N126" s="38" t="str">
        <f t="shared" si="9"/>
        <v>10</v>
      </c>
      <c r="O126" s="50" t="s">
        <v>402</v>
      </c>
      <c r="P126" s="50" t="s">
        <v>402</v>
      </c>
      <c r="Q126" s="50">
        <v>124</v>
      </c>
    </row>
    <row r="127" spans="1:17" ht="16" x14ac:dyDescent="0.45">
      <c r="A127" s="2" t="str">
        <f>IFERROR(VLOOKUP(B127,CODE!$B:$D,3,0),"-")</f>
        <v>네트워크</v>
      </c>
      <c r="B127" s="2" t="str">
        <f>IF(L127="-",VLOOKUP(J127,CODE!$B:$D,2,0),L127)</f>
        <v>모비온</v>
      </c>
      <c r="C127" s="2" t="s">
        <v>266</v>
      </c>
      <c r="D127" s="2" t="s">
        <v>955</v>
      </c>
      <c r="E127" s="2" t="s">
        <v>280</v>
      </c>
      <c r="F127" s="2" t="s">
        <v>268</v>
      </c>
      <c r="G127" s="2" t="s">
        <v>269</v>
      </c>
      <c r="H127" s="2" t="s">
        <v>279</v>
      </c>
      <c r="I127" s="2" t="s">
        <v>389</v>
      </c>
      <c r="J127" s="2" t="s">
        <v>60</v>
      </c>
      <c r="K127" s="2" t="s">
        <v>161</v>
      </c>
      <c r="L127" s="2" t="s">
        <v>103</v>
      </c>
      <c r="M127" s="38" t="str">
        <f t="shared" si="8"/>
        <v>25</v>
      </c>
      <c r="N127" s="38" t="str">
        <f t="shared" si="9"/>
        <v>11</v>
      </c>
      <c r="O127" s="50" t="s">
        <v>246</v>
      </c>
      <c r="P127" s="50" t="s">
        <v>246</v>
      </c>
      <c r="Q127" s="50">
        <v>124</v>
      </c>
    </row>
    <row r="128" spans="1:17" ht="16" x14ac:dyDescent="0.45">
      <c r="A128" s="2" t="str">
        <f>IFERROR(VLOOKUP(B128,CODE!$B:$D,3,0),"-")</f>
        <v>네트워크</v>
      </c>
      <c r="B128" s="2" t="str">
        <f>IF(L128="-",VLOOKUP(J128,CODE!$B:$D,2,0),L128)</f>
        <v>모비온</v>
      </c>
      <c r="C128" s="2" t="s">
        <v>266</v>
      </c>
      <c r="D128" s="2" t="s">
        <v>955</v>
      </c>
      <c r="E128" s="2" t="s">
        <v>280</v>
      </c>
      <c r="F128" s="2" t="s">
        <v>268</v>
      </c>
      <c r="G128" s="2" t="s">
        <v>269</v>
      </c>
      <c r="H128" s="2" t="s">
        <v>279</v>
      </c>
      <c r="I128" s="2" t="s">
        <v>392</v>
      </c>
      <c r="J128" s="2" t="s">
        <v>7</v>
      </c>
      <c r="K128" s="2" t="s">
        <v>393</v>
      </c>
      <c r="L128" s="2" t="s">
        <v>103</v>
      </c>
      <c r="M128" s="38" t="str">
        <f t="shared" si="8"/>
        <v>25</v>
      </c>
      <c r="N128" s="38" t="str">
        <f t="shared" si="9"/>
        <v>11</v>
      </c>
      <c r="O128" s="50" t="s">
        <v>254</v>
      </c>
      <c r="P128" s="50" t="s">
        <v>254</v>
      </c>
      <c r="Q128" s="50">
        <v>124</v>
      </c>
    </row>
    <row r="129" spans="1:17" ht="16" x14ac:dyDescent="0.45">
      <c r="A129" s="2" t="str">
        <f>IFERROR(VLOOKUP(B129,CODE!$B:$D,3,0),"-")</f>
        <v>네트워크</v>
      </c>
      <c r="B129" s="2" t="str">
        <f>IF(L129="-",VLOOKUP(J129,CODE!$B:$D,2,0),L129)</f>
        <v>모비온</v>
      </c>
      <c r="C129" s="2" t="s">
        <v>266</v>
      </c>
      <c r="D129" s="2" t="s">
        <v>955</v>
      </c>
      <c r="E129" s="2" t="s">
        <v>280</v>
      </c>
      <c r="F129" s="2" t="s">
        <v>268</v>
      </c>
      <c r="G129" s="2" t="s">
        <v>269</v>
      </c>
      <c r="H129" s="2" t="s">
        <v>279</v>
      </c>
      <c r="I129" s="2" t="s">
        <v>392</v>
      </c>
      <c r="J129" s="2" t="s">
        <v>7</v>
      </c>
      <c r="K129" s="2" t="s">
        <v>394</v>
      </c>
      <c r="L129" s="2" t="s">
        <v>103</v>
      </c>
      <c r="M129" s="38" t="str">
        <f t="shared" si="8"/>
        <v>25</v>
      </c>
      <c r="N129" s="38" t="str">
        <f t="shared" si="9"/>
        <v>12</v>
      </c>
      <c r="O129" s="50" t="s">
        <v>443</v>
      </c>
      <c r="P129" s="50" t="s">
        <v>443</v>
      </c>
      <c r="Q129" s="50">
        <v>124</v>
      </c>
    </row>
    <row r="130" spans="1:17" ht="16" x14ac:dyDescent="0.45">
      <c r="A130" s="2" t="str">
        <f>IFERROR(VLOOKUP(B130,CODE!$B:$D,3,0),"-")</f>
        <v>네트워크</v>
      </c>
      <c r="B130" s="2" t="str">
        <f>IF(L130="-",VLOOKUP(J130,CODE!$B:$D,2,0),L130)</f>
        <v>모비온</v>
      </c>
      <c r="C130" s="2" t="s">
        <v>266</v>
      </c>
      <c r="D130" s="2" t="s">
        <v>955</v>
      </c>
      <c r="E130" s="2" t="s">
        <v>280</v>
      </c>
      <c r="F130" s="2" t="s">
        <v>268</v>
      </c>
      <c r="G130" s="2" t="s">
        <v>269</v>
      </c>
      <c r="H130" s="2" t="s">
        <v>279</v>
      </c>
      <c r="I130" s="2" t="s">
        <v>392</v>
      </c>
      <c r="J130" s="2" t="s">
        <v>7</v>
      </c>
      <c r="K130" s="2" t="s">
        <v>394</v>
      </c>
      <c r="L130" s="2" t="s">
        <v>103</v>
      </c>
      <c r="M130" s="38" t="str">
        <f t="shared" si="8"/>
        <v>25</v>
      </c>
      <c r="N130" s="38" t="str">
        <f t="shared" si="9"/>
        <v>12</v>
      </c>
      <c r="O130" s="50" t="s">
        <v>423</v>
      </c>
      <c r="P130" s="50" t="s">
        <v>423</v>
      </c>
      <c r="Q130" s="50">
        <v>124</v>
      </c>
    </row>
    <row r="131" spans="1:17" ht="16" x14ac:dyDescent="0.45">
      <c r="A131" s="2" t="str">
        <f>IFERROR(VLOOKUP(B131,CODE!$B:$D,3,0),"-")</f>
        <v>네트워크</v>
      </c>
      <c r="B131" s="2" t="str">
        <f>IF(L131="-",VLOOKUP(J131,CODE!$B:$D,2,0),L131)</f>
        <v>모비온</v>
      </c>
      <c r="C131" s="2" t="s">
        <v>266</v>
      </c>
      <c r="D131" s="2" t="s">
        <v>955</v>
      </c>
      <c r="E131" s="2" t="s">
        <v>280</v>
      </c>
      <c r="F131" s="2" t="s">
        <v>268</v>
      </c>
      <c r="G131" s="2" t="s">
        <v>269</v>
      </c>
      <c r="H131" s="2" t="s">
        <v>279</v>
      </c>
      <c r="I131" s="2" t="s">
        <v>392</v>
      </c>
      <c r="J131" s="2" t="s">
        <v>7</v>
      </c>
      <c r="K131" s="2" t="s">
        <v>395</v>
      </c>
      <c r="L131" s="2" t="s">
        <v>103</v>
      </c>
      <c r="M131" s="38" t="str">
        <f t="shared" si="8"/>
        <v>25</v>
      </c>
      <c r="N131" s="38" t="str">
        <f t="shared" si="9"/>
        <v>09</v>
      </c>
      <c r="O131" s="50" t="s">
        <v>444</v>
      </c>
      <c r="P131" s="50" t="s">
        <v>444</v>
      </c>
      <c r="Q131" s="50">
        <v>150</v>
      </c>
    </row>
    <row r="132" spans="1:17" ht="16" x14ac:dyDescent="0.45">
      <c r="A132" s="2" t="s">
        <v>951</v>
      </c>
      <c r="B132" s="2" t="str">
        <f>IF(L132="-",VLOOKUP(J132,CODE!$B:$D,2,0),L132)</f>
        <v>Taboola</v>
      </c>
      <c r="C132" s="2" t="s">
        <v>266</v>
      </c>
      <c r="D132" s="2" t="s">
        <v>955</v>
      </c>
      <c r="E132" s="2" t="s">
        <v>280</v>
      </c>
      <c r="F132" s="2" t="s">
        <v>268</v>
      </c>
      <c r="G132" s="2" t="s">
        <v>269</v>
      </c>
      <c r="H132" s="2" t="s">
        <v>279</v>
      </c>
      <c r="I132" s="2" t="s">
        <v>396</v>
      </c>
      <c r="J132" s="2" t="s">
        <v>74</v>
      </c>
      <c r="K132" s="2" t="s">
        <v>397</v>
      </c>
      <c r="L132" s="2" t="s">
        <v>274</v>
      </c>
      <c r="M132" s="38" t="str">
        <f t="shared" si="8"/>
        <v>25</v>
      </c>
      <c r="N132" s="38" t="str">
        <f t="shared" si="9"/>
        <v>11</v>
      </c>
      <c r="O132" s="50" t="s">
        <v>109</v>
      </c>
      <c r="P132" s="50" t="s">
        <v>109</v>
      </c>
      <c r="Q132" s="50">
        <v>93</v>
      </c>
    </row>
    <row r="133" spans="1:17" ht="16" x14ac:dyDescent="0.45">
      <c r="A133" s="2" t="str">
        <f>IFERROR(VLOOKUP(B133,CODE!$B:$D,3,0),"-")</f>
        <v>네트워크</v>
      </c>
      <c r="B133" s="2" t="str">
        <f>IF(L133="-",VLOOKUP(J133,CODE!$B:$D,2,0),L133)</f>
        <v>모비온</v>
      </c>
      <c r="C133" s="2" t="s">
        <v>266</v>
      </c>
      <c r="D133" s="2" t="s">
        <v>955</v>
      </c>
      <c r="E133" s="2" t="s">
        <v>398</v>
      </c>
      <c r="F133" s="2" t="s">
        <v>268</v>
      </c>
      <c r="G133" s="2" t="s">
        <v>269</v>
      </c>
      <c r="H133" s="2" t="s">
        <v>279</v>
      </c>
      <c r="I133" s="2" t="s">
        <v>96</v>
      </c>
      <c r="J133" s="2" t="s">
        <v>60</v>
      </c>
      <c r="K133" s="2" t="s">
        <v>363</v>
      </c>
      <c r="L133" s="2" t="s">
        <v>103</v>
      </c>
      <c r="M133" s="38" t="str">
        <f t="shared" si="8"/>
        <v>25</v>
      </c>
      <c r="N133" s="38" t="str">
        <f t="shared" si="9"/>
        <v>12</v>
      </c>
      <c r="O133" s="50" t="s">
        <v>406</v>
      </c>
      <c r="P133" s="50" t="s">
        <v>406</v>
      </c>
      <c r="Q133" s="50">
        <v>124</v>
      </c>
    </row>
    <row r="134" spans="1:17" ht="16" x14ac:dyDescent="0.45">
      <c r="A134" s="2" t="str">
        <f>IFERROR(VLOOKUP(B134,CODE!$B:$D,3,0),"-")</f>
        <v>포털</v>
      </c>
      <c r="B134" s="2" t="str">
        <f>IF(L134="-",VLOOKUP(J134,CODE!$B:$D,2,0),L134)</f>
        <v>포털</v>
      </c>
      <c r="C134" s="2" t="s">
        <v>445</v>
      </c>
      <c r="D134" s="2" t="s">
        <v>267</v>
      </c>
      <c r="E134" s="2" t="s">
        <v>267</v>
      </c>
      <c r="F134" s="2" t="s">
        <v>268</v>
      </c>
      <c r="G134" s="2" t="s">
        <v>269</v>
      </c>
      <c r="H134" s="2" t="s">
        <v>270</v>
      </c>
      <c r="I134" s="2" t="s">
        <v>229</v>
      </c>
      <c r="J134" s="2" t="s">
        <v>1</v>
      </c>
      <c r="K134" s="2" t="s">
        <v>228</v>
      </c>
      <c r="L134" s="2" t="s">
        <v>82</v>
      </c>
      <c r="M134" s="38" t="str">
        <f t="shared" si="8"/>
        <v>25</v>
      </c>
      <c r="N134" s="38" t="str">
        <f t="shared" si="9"/>
        <v>07</v>
      </c>
      <c r="O134" s="50" t="s">
        <v>477</v>
      </c>
      <c r="P134" s="50" t="s">
        <v>478</v>
      </c>
      <c r="Q134" s="50">
        <v>18392</v>
      </c>
    </row>
    <row r="135" spans="1:17" ht="16" x14ac:dyDescent="0.45">
      <c r="A135" s="2" t="str">
        <f>IFERROR(VLOOKUP(B135,CODE!$B:$D,3,0),"-")</f>
        <v>포털</v>
      </c>
      <c r="B135" s="2" t="str">
        <f>IF(L135="-",VLOOKUP(J135,CODE!$B:$D,2,0),L135)</f>
        <v>포털</v>
      </c>
      <c r="C135" s="2" t="s">
        <v>445</v>
      </c>
      <c r="D135" s="2" t="s">
        <v>267</v>
      </c>
      <c r="E135" s="2" t="s">
        <v>267</v>
      </c>
      <c r="F135" s="2" t="s">
        <v>268</v>
      </c>
      <c r="G135" s="2" t="s">
        <v>269</v>
      </c>
      <c r="H135" s="2" t="s">
        <v>270</v>
      </c>
      <c r="I135" s="2" t="s">
        <v>229</v>
      </c>
      <c r="J135" s="2" t="s">
        <v>1</v>
      </c>
      <c r="K135" s="2" t="s">
        <v>228</v>
      </c>
      <c r="L135" s="2" t="s">
        <v>82</v>
      </c>
      <c r="M135" s="38" t="str">
        <f t="shared" si="8"/>
        <v>25</v>
      </c>
      <c r="N135" s="38" t="str">
        <f t="shared" si="9"/>
        <v>07</v>
      </c>
      <c r="O135" s="50" t="s">
        <v>479</v>
      </c>
      <c r="P135" s="50" t="s">
        <v>479</v>
      </c>
      <c r="Q135" s="50">
        <v>3065</v>
      </c>
    </row>
    <row r="136" spans="1:17" ht="16" x14ac:dyDescent="0.45">
      <c r="A136" s="2" t="str">
        <f>IFERROR(VLOOKUP(B136,CODE!$B:$D,3,0),"-")</f>
        <v>포털</v>
      </c>
      <c r="B136" s="2" t="str">
        <f>IF(L136="-",VLOOKUP(J136,CODE!$B:$D,2,0),L136)</f>
        <v>포털</v>
      </c>
      <c r="C136" s="2" t="s">
        <v>445</v>
      </c>
      <c r="D136" s="2" t="s">
        <v>267</v>
      </c>
      <c r="E136" s="2" t="s">
        <v>267</v>
      </c>
      <c r="F136" s="2" t="s">
        <v>268</v>
      </c>
      <c r="G136" s="2" t="s">
        <v>269</v>
      </c>
      <c r="H136" s="2" t="s">
        <v>270</v>
      </c>
      <c r="I136" s="2" t="s">
        <v>229</v>
      </c>
      <c r="J136" s="2" t="s">
        <v>1</v>
      </c>
      <c r="K136" s="2" t="s">
        <v>228</v>
      </c>
      <c r="L136" s="2" t="s">
        <v>82</v>
      </c>
      <c r="M136" s="38" t="str">
        <f t="shared" si="8"/>
        <v>25</v>
      </c>
      <c r="N136" s="38" t="str">
        <f t="shared" si="9"/>
        <v>07</v>
      </c>
      <c r="O136" s="50" t="s">
        <v>479</v>
      </c>
      <c r="P136" s="50" t="s">
        <v>480</v>
      </c>
      <c r="Q136" s="50">
        <v>21458</v>
      </c>
    </row>
    <row r="137" spans="1:17" ht="16" x14ac:dyDescent="0.45">
      <c r="A137" s="2" t="str">
        <f>IFERROR(VLOOKUP(B137,CODE!$B:$D,3,0),"-")</f>
        <v>포털</v>
      </c>
      <c r="B137" s="2" t="str">
        <f>IF(L137="-",VLOOKUP(J137,CODE!$B:$D,2,0),L137)</f>
        <v>포털</v>
      </c>
      <c r="C137" s="2" t="s">
        <v>445</v>
      </c>
      <c r="D137" s="2" t="s">
        <v>267</v>
      </c>
      <c r="E137" s="2" t="s">
        <v>267</v>
      </c>
      <c r="F137" s="2" t="s">
        <v>268</v>
      </c>
      <c r="G137" s="2" t="s">
        <v>269</v>
      </c>
      <c r="H137" s="2" t="s">
        <v>270</v>
      </c>
      <c r="I137" s="2" t="s">
        <v>229</v>
      </c>
      <c r="J137" s="2" t="s">
        <v>1</v>
      </c>
      <c r="K137" s="2" t="s">
        <v>228</v>
      </c>
      <c r="L137" s="2" t="s">
        <v>82</v>
      </c>
      <c r="M137" s="38" t="str">
        <f t="shared" si="8"/>
        <v>25</v>
      </c>
      <c r="N137" s="38" t="str">
        <f t="shared" si="9"/>
        <v>07</v>
      </c>
      <c r="O137" s="50" t="s">
        <v>481</v>
      </c>
      <c r="P137" s="50" t="s">
        <v>480</v>
      </c>
      <c r="Q137" s="50">
        <v>18393</v>
      </c>
    </row>
    <row r="138" spans="1:17" ht="16" x14ac:dyDescent="0.45">
      <c r="A138" s="2" t="str">
        <f>IFERROR(VLOOKUP(B138,CODE!$B:$D,3,0),"-")</f>
        <v>포털</v>
      </c>
      <c r="B138" s="2" t="str">
        <f>IF(L138="-",VLOOKUP(J138,CODE!$B:$D,2,0),L138)</f>
        <v>포털</v>
      </c>
      <c r="C138" s="2" t="s">
        <v>445</v>
      </c>
      <c r="D138" s="2" t="s">
        <v>267</v>
      </c>
      <c r="E138" s="2" t="s">
        <v>267</v>
      </c>
      <c r="F138" s="2" t="s">
        <v>268</v>
      </c>
      <c r="G138" s="2" t="s">
        <v>269</v>
      </c>
      <c r="H138" s="2" t="s">
        <v>270</v>
      </c>
      <c r="I138" s="2" t="s">
        <v>229</v>
      </c>
      <c r="J138" s="2" t="s">
        <v>1</v>
      </c>
      <c r="K138" s="2" t="s">
        <v>228</v>
      </c>
      <c r="L138" s="2" t="s">
        <v>82</v>
      </c>
      <c r="M138" s="38" t="str">
        <f t="shared" si="8"/>
        <v>25</v>
      </c>
      <c r="N138" s="38" t="str">
        <f t="shared" si="9"/>
        <v>07</v>
      </c>
      <c r="O138" s="50" t="s">
        <v>482</v>
      </c>
      <c r="P138" s="50" t="s">
        <v>483</v>
      </c>
      <c r="Q138" s="50">
        <v>6131</v>
      </c>
    </row>
    <row r="139" spans="1:17" ht="16" x14ac:dyDescent="0.45">
      <c r="A139" s="2" t="str">
        <f>IFERROR(VLOOKUP(B139,CODE!$B:$D,3,0),"-")</f>
        <v>포털</v>
      </c>
      <c r="B139" s="2" t="str">
        <f>IF(L139="-",VLOOKUP(J139,CODE!$B:$D,2,0),L139)</f>
        <v>포털</v>
      </c>
      <c r="C139" s="2" t="s">
        <v>445</v>
      </c>
      <c r="D139" s="2" t="s">
        <v>267</v>
      </c>
      <c r="E139" s="2" t="s">
        <v>267</v>
      </c>
      <c r="F139" s="2" t="s">
        <v>268</v>
      </c>
      <c r="G139" s="2" t="s">
        <v>269</v>
      </c>
      <c r="H139" s="2" t="s">
        <v>270</v>
      </c>
      <c r="I139" s="2" t="s">
        <v>229</v>
      </c>
      <c r="J139" s="2" t="s">
        <v>1</v>
      </c>
      <c r="K139" s="2" t="s">
        <v>228</v>
      </c>
      <c r="L139" s="2" t="s">
        <v>82</v>
      </c>
      <c r="M139" s="38" t="str">
        <f t="shared" si="8"/>
        <v>25</v>
      </c>
      <c r="N139" s="38" t="str">
        <f t="shared" si="9"/>
        <v>07</v>
      </c>
      <c r="O139" s="50" t="s">
        <v>484</v>
      </c>
      <c r="P139" s="50" t="s">
        <v>485</v>
      </c>
      <c r="Q139" s="50">
        <v>24524</v>
      </c>
    </row>
    <row r="140" spans="1:17" ht="16" x14ac:dyDescent="0.45">
      <c r="A140" s="2" t="str">
        <f>IFERROR(VLOOKUP(B140,CODE!$B:$D,3,0),"-")</f>
        <v>포털</v>
      </c>
      <c r="B140" s="2" t="str">
        <f>IF(L140="-",VLOOKUP(J140,CODE!$B:$D,2,0),L140)</f>
        <v>포털</v>
      </c>
      <c r="C140" s="2" t="s">
        <v>445</v>
      </c>
      <c r="D140" s="2" t="s">
        <v>267</v>
      </c>
      <c r="E140" s="2" t="s">
        <v>267</v>
      </c>
      <c r="F140" s="2" t="s">
        <v>268</v>
      </c>
      <c r="G140" s="2" t="s">
        <v>269</v>
      </c>
      <c r="H140" s="2" t="s">
        <v>270</v>
      </c>
      <c r="I140" s="2" t="s">
        <v>229</v>
      </c>
      <c r="J140" s="2" t="s">
        <v>1</v>
      </c>
      <c r="K140" s="2" t="s">
        <v>228</v>
      </c>
      <c r="L140" s="2" t="s">
        <v>82</v>
      </c>
      <c r="M140" s="38" t="str">
        <f t="shared" si="8"/>
        <v>25</v>
      </c>
      <c r="N140" s="38" t="str">
        <f t="shared" si="9"/>
        <v>07</v>
      </c>
      <c r="O140" s="50" t="s">
        <v>486</v>
      </c>
      <c r="P140" s="50" t="s">
        <v>487</v>
      </c>
      <c r="Q140" s="50">
        <v>18392</v>
      </c>
    </row>
    <row r="141" spans="1:17" ht="16" x14ac:dyDescent="0.45">
      <c r="A141" s="2" t="str">
        <f>IFERROR(VLOOKUP(B141,CODE!$B:$D,3,0),"-")</f>
        <v>포털</v>
      </c>
      <c r="B141" s="2" t="str">
        <f>IF(L141="-",VLOOKUP(J141,CODE!$B:$D,2,0),L141)</f>
        <v>포털</v>
      </c>
      <c r="C141" s="2" t="s">
        <v>445</v>
      </c>
      <c r="D141" s="2" t="s">
        <v>267</v>
      </c>
      <c r="E141" s="2" t="s">
        <v>267</v>
      </c>
      <c r="F141" s="2" t="s">
        <v>268</v>
      </c>
      <c r="G141" s="2" t="s">
        <v>269</v>
      </c>
      <c r="H141" s="2" t="s">
        <v>270</v>
      </c>
      <c r="I141" s="2" t="s">
        <v>229</v>
      </c>
      <c r="J141" s="2" t="s">
        <v>1</v>
      </c>
      <c r="K141" s="2" t="s">
        <v>228</v>
      </c>
      <c r="L141" s="2" t="s">
        <v>82</v>
      </c>
      <c r="M141" s="38" t="str">
        <f t="shared" si="8"/>
        <v>25</v>
      </c>
      <c r="N141" s="38" t="str">
        <f t="shared" si="9"/>
        <v>07</v>
      </c>
      <c r="O141" s="50" t="s">
        <v>488</v>
      </c>
      <c r="P141" s="50" t="s">
        <v>432</v>
      </c>
      <c r="Q141" s="50">
        <v>42916</v>
      </c>
    </row>
    <row r="142" spans="1:17" ht="16" x14ac:dyDescent="0.45">
      <c r="A142" s="2" t="str">
        <f>IFERROR(VLOOKUP(B142,CODE!$B:$D,3,0),"-")</f>
        <v>포털</v>
      </c>
      <c r="B142" s="2" t="str">
        <f>IF(L142="-",VLOOKUP(J142,CODE!$B:$D,2,0),L142)</f>
        <v>포털</v>
      </c>
      <c r="C142" s="2" t="s">
        <v>445</v>
      </c>
      <c r="D142" s="2" t="s">
        <v>267</v>
      </c>
      <c r="E142" s="2" t="s">
        <v>267</v>
      </c>
      <c r="F142" s="2" t="s">
        <v>268</v>
      </c>
      <c r="G142" s="2" t="s">
        <v>269</v>
      </c>
      <c r="H142" s="2" t="s">
        <v>270</v>
      </c>
      <c r="I142" s="2" t="s">
        <v>229</v>
      </c>
      <c r="J142" s="2" t="s">
        <v>1</v>
      </c>
      <c r="K142" s="2" t="s">
        <v>228</v>
      </c>
      <c r="L142" s="2" t="s">
        <v>82</v>
      </c>
      <c r="M142" s="38" t="str">
        <f t="shared" si="8"/>
        <v>25</v>
      </c>
      <c r="N142" s="38" t="str">
        <f t="shared" si="9"/>
        <v>07</v>
      </c>
      <c r="O142" s="50" t="s">
        <v>433</v>
      </c>
      <c r="P142" s="50" t="s">
        <v>411</v>
      </c>
      <c r="Q142" s="50">
        <v>24524</v>
      </c>
    </row>
    <row r="143" spans="1:17" ht="16" x14ac:dyDescent="0.45">
      <c r="A143" s="2" t="str">
        <f>IFERROR(VLOOKUP(B143,CODE!$B:$D,3,0),"-")</f>
        <v>포털</v>
      </c>
      <c r="B143" s="2" t="str">
        <f>IF(L143="-",VLOOKUP(J143,CODE!$B:$D,2,0),L143)</f>
        <v>포털</v>
      </c>
      <c r="C143" s="2" t="s">
        <v>445</v>
      </c>
      <c r="D143" s="2" t="s">
        <v>267</v>
      </c>
      <c r="E143" s="2" t="s">
        <v>267</v>
      </c>
      <c r="F143" s="2" t="s">
        <v>268</v>
      </c>
      <c r="G143" s="2" t="s">
        <v>269</v>
      </c>
      <c r="H143" s="2" t="s">
        <v>270</v>
      </c>
      <c r="I143" s="2" t="s">
        <v>229</v>
      </c>
      <c r="J143" s="2" t="s">
        <v>1</v>
      </c>
      <c r="K143" s="2" t="s">
        <v>228</v>
      </c>
      <c r="L143" s="2" t="s">
        <v>82</v>
      </c>
      <c r="M143" s="38" t="str">
        <f t="shared" si="8"/>
        <v>25</v>
      </c>
      <c r="N143" s="38" t="str">
        <f t="shared" si="9"/>
        <v>08</v>
      </c>
      <c r="O143" s="50" t="s">
        <v>489</v>
      </c>
      <c r="P143" s="50" t="s">
        <v>490</v>
      </c>
      <c r="Q143" s="50">
        <v>6555</v>
      </c>
    </row>
    <row r="144" spans="1:17" ht="16" x14ac:dyDescent="0.45">
      <c r="A144" s="2" t="str">
        <f>IFERROR(VLOOKUP(B144,CODE!$B:$D,3,0),"-")</f>
        <v>포털</v>
      </c>
      <c r="B144" s="2" t="str">
        <f>IF(L144="-",VLOOKUP(J144,CODE!$B:$D,2,0),L144)</f>
        <v>포털</v>
      </c>
      <c r="C144" s="2" t="s">
        <v>445</v>
      </c>
      <c r="D144" s="2" t="s">
        <v>267</v>
      </c>
      <c r="E144" s="2" t="s">
        <v>267</v>
      </c>
      <c r="F144" s="2" t="s">
        <v>268</v>
      </c>
      <c r="G144" s="2" t="s">
        <v>269</v>
      </c>
      <c r="H144" s="2" t="s">
        <v>270</v>
      </c>
      <c r="I144" s="2" t="s">
        <v>229</v>
      </c>
      <c r="J144" s="2" t="s">
        <v>1</v>
      </c>
      <c r="K144" s="2" t="s">
        <v>228</v>
      </c>
      <c r="L144" s="2" t="s">
        <v>82</v>
      </c>
      <c r="M144" s="38" t="str">
        <f t="shared" si="8"/>
        <v>25</v>
      </c>
      <c r="N144" s="38" t="str">
        <f t="shared" si="9"/>
        <v>08</v>
      </c>
      <c r="O144" s="50" t="s">
        <v>489</v>
      </c>
      <c r="P144" s="50" t="s">
        <v>491</v>
      </c>
      <c r="Q144" s="50">
        <v>9833</v>
      </c>
    </row>
    <row r="145" spans="1:17" ht="16" x14ac:dyDescent="0.45">
      <c r="A145" s="2" t="str">
        <f>IFERROR(VLOOKUP(B145,CODE!$B:$D,3,0),"-")</f>
        <v>포털</v>
      </c>
      <c r="B145" s="2" t="str">
        <f>IF(L145="-",VLOOKUP(J145,CODE!$B:$D,2,0),L145)</f>
        <v>포털</v>
      </c>
      <c r="C145" s="2" t="s">
        <v>445</v>
      </c>
      <c r="D145" s="2" t="s">
        <v>267</v>
      </c>
      <c r="E145" s="2" t="s">
        <v>267</v>
      </c>
      <c r="F145" s="2" t="s">
        <v>268</v>
      </c>
      <c r="G145" s="2" t="s">
        <v>269</v>
      </c>
      <c r="H145" s="2" t="s">
        <v>270</v>
      </c>
      <c r="I145" s="2" t="s">
        <v>229</v>
      </c>
      <c r="J145" s="2" t="s">
        <v>1</v>
      </c>
      <c r="K145" s="2" t="s">
        <v>228</v>
      </c>
      <c r="L145" s="2" t="s">
        <v>82</v>
      </c>
      <c r="M145" s="38" t="str">
        <f t="shared" si="8"/>
        <v>25</v>
      </c>
      <c r="N145" s="38" t="str">
        <f t="shared" si="9"/>
        <v>08</v>
      </c>
      <c r="O145" s="50" t="s">
        <v>491</v>
      </c>
      <c r="P145" s="50" t="s">
        <v>491</v>
      </c>
      <c r="Q145" s="50">
        <v>3278</v>
      </c>
    </row>
    <row r="146" spans="1:17" ht="16" x14ac:dyDescent="0.45">
      <c r="A146" s="2" t="str">
        <f>IFERROR(VLOOKUP(B146,CODE!$B:$D,3,0),"-")</f>
        <v>포털</v>
      </c>
      <c r="B146" s="2" t="str">
        <f>IF(L146="-",VLOOKUP(J146,CODE!$B:$D,2,0),L146)</f>
        <v>포털</v>
      </c>
      <c r="C146" s="2" t="s">
        <v>445</v>
      </c>
      <c r="D146" s="2" t="s">
        <v>267</v>
      </c>
      <c r="E146" s="2" t="s">
        <v>267</v>
      </c>
      <c r="F146" s="2" t="s">
        <v>268</v>
      </c>
      <c r="G146" s="2" t="s">
        <v>269</v>
      </c>
      <c r="H146" s="2" t="s">
        <v>270</v>
      </c>
      <c r="I146" s="2" t="s">
        <v>229</v>
      </c>
      <c r="J146" s="2" t="s">
        <v>1</v>
      </c>
      <c r="K146" s="2" t="s">
        <v>228</v>
      </c>
      <c r="L146" s="2" t="s">
        <v>82</v>
      </c>
      <c r="M146" s="38" t="str">
        <f t="shared" si="8"/>
        <v>25</v>
      </c>
      <c r="N146" s="38" t="str">
        <f t="shared" si="9"/>
        <v>08</v>
      </c>
      <c r="O146" s="50" t="s">
        <v>492</v>
      </c>
      <c r="P146" s="50" t="s">
        <v>493</v>
      </c>
      <c r="Q146" s="50">
        <v>6555</v>
      </c>
    </row>
    <row r="147" spans="1:17" ht="16" x14ac:dyDescent="0.45">
      <c r="A147" s="2" t="str">
        <f>IFERROR(VLOOKUP(B147,CODE!$B:$D,3,0),"-")</f>
        <v>포털</v>
      </c>
      <c r="B147" s="2" t="str">
        <f>IF(L147="-",VLOOKUP(J147,CODE!$B:$D,2,0),L147)</f>
        <v>포털</v>
      </c>
      <c r="C147" s="2" t="s">
        <v>445</v>
      </c>
      <c r="D147" s="2" t="s">
        <v>267</v>
      </c>
      <c r="E147" s="2" t="s">
        <v>267</v>
      </c>
      <c r="F147" s="2" t="s">
        <v>268</v>
      </c>
      <c r="G147" s="2" t="s">
        <v>269</v>
      </c>
      <c r="H147" s="2" t="s">
        <v>270</v>
      </c>
      <c r="I147" s="2" t="s">
        <v>229</v>
      </c>
      <c r="J147" s="2" t="s">
        <v>1</v>
      </c>
      <c r="K147" s="2" t="s">
        <v>228</v>
      </c>
      <c r="L147" s="2" t="s">
        <v>82</v>
      </c>
      <c r="M147" s="38" t="str">
        <f t="shared" si="8"/>
        <v>25</v>
      </c>
      <c r="N147" s="38" t="str">
        <f t="shared" si="9"/>
        <v>08</v>
      </c>
      <c r="O147" s="50" t="s">
        <v>492</v>
      </c>
      <c r="P147" s="50" t="s">
        <v>494</v>
      </c>
      <c r="Q147" s="50">
        <v>19666</v>
      </c>
    </row>
    <row r="148" spans="1:17" ht="16" x14ac:dyDescent="0.45">
      <c r="A148" s="2" t="str">
        <f>IFERROR(VLOOKUP(B148,CODE!$B:$D,3,0),"-")</f>
        <v>포털</v>
      </c>
      <c r="B148" s="2" t="str">
        <f>IF(L148="-",VLOOKUP(J148,CODE!$B:$D,2,0),L148)</f>
        <v>포털</v>
      </c>
      <c r="C148" s="2" t="s">
        <v>445</v>
      </c>
      <c r="D148" s="2" t="s">
        <v>267</v>
      </c>
      <c r="E148" s="2" t="s">
        <v>267</v>
      </c>
      <c r="F148" s="2" t="s">
        <v>268</v>
      </c>
      <c r="G148" s="2" t="s">
        <v>269</v>
      </c>
      <c r="H148" s="2" t="s">
        <v>270</v>
      </c>
      <c r="I148" s="2" t="s">
        <v>229</v>
      </c>
      <c r="J148" s="2" t="s">
        <v>1</v>
      </c>
      <c r="K148" s="2" t="s">
        <v>228</v>
      </c>
      <c r="L148" s="2" t="s">
        <v>82</v>
      </c>
      <c r="M148" s="38" t="str">
        <f t="shared" si="8"/>
        <v>25</v>
      </c>
      <c r="N148" s="38" t="str">
        <f t="shared" si="9"/>
        <v>08</v>
      </c>
      <c r="O148" s="50" t="s">
        <v>492</v>
      </c>
      <c r="P148" s="50" t="s">
        <v>495</v>
      </c>
      <c r="Q148" s="50">
        <v>22943</v>
      </c>
    </row>
    <row r="149" spans="1:17" ht="16" x14ac:dyDescent="0.45">
      <c r="A149" s="2" t="str">
        <f>IFERROR(VLOOKUP(B149,CODE!$B:$D,3,0),"-")</f>
        <v>포털</v>
      </c>
      <c r="B149" s="2" t="str">
        <f>IF(L149="-",VLOOKUP(J149,CODE!$B:$D,2,0),L149)</f>
        <v>포털</v>
      </c>
      <c r="C149" s="2" t="s">
        <v>445</v>
      </c>
      <c r="D149" s="2" t="s">
        <v>267</v>
      </c>
      <c r="E149" s="2" t="s">
        <v>267</v>
      </c>
      <c r="F149" s="2" t="s">
        <v>268</v>
      </c>
      <c r="G149" s="2" t="s">
        <v>269</v>
      </c>
      <c r="H149" s="2" t="s">
        <v>270</v>
      </c>
      <c r="I149" s="2" t="s">
        <v>229</v>
      </c>
      <c r="J149" s="2" t="s">
        <v>1</v>
      </c>
      <c r="K149" s="2" t="s">
        <v>228</v>
      </c>
      <c r="L149" s="2" t="s">
        <v>82</v>
      </c>
      <c r="M149" s="38" t="str">
        <f t="shared" si="8"/>
        <v>25</v>
      </c>
      <c r="N149" s="38" t="str">
        <f t="shared" si="9"/>
        <v>08</v>
      </c>
      <c r="O149" s="50" t="s">
        <v>496</v>
      </c>
      <c r="P149" s="50" t="s">
        <v>497</v>
      </c>
      <c r="Q149" s="50">
        <v>9833</v>
      </c>
    </row>
    <row r="150" spans="1:17" ht="16" x14ac:dyDescent="0.45">
      <c r="A150" s="2" t="str">
        <f>IFERROR(VLOOKUP(B150,CODE!$B:$D,3,0),"-")</f>
        <v>포털</v>
      </c>
      <c r="B150" s="2" t="str">
        <f>IF(L150="-",VLOOKUP(J150,CODE!$B:$D,2,0),L150)</f>
        <v>포털</v>
      </c>
      <c r="C150" s="2" t="s">
        <v>445</v>
      </c>
      <c r="D150" s="2" t="s">
        <v>267</v>
      </c>
      <c r="E150" s="2" t="s">
        <v>267</v>
      </c>
      <c r="F150" s="2" t="s">
        <v>268</v>
      </c>
      <c r="G150" s="2" t="s">
        <v>269</v>
      </c>
      <c r="H150" s="2" t="s">
        <v>270</v>
      </c>
      <c r="I150" s="2" t="s">
        <v>229</v>
      </c>
      <c r="J150" s="2" t="s">
        <v>1</v>
      </c>
      <c r="K150" s="2" t="s">
        <v>228</v>
      </c>
      <c r="L150" s="2" t="s">
        <v>82</v>
      </c>
      <c r="M150" s="38" t="str">
        <f t="shared" si="8"/>
        <v>25</v>
      </c>
      <c r="N150" s="38" t="str">
        <f t="shared" si="9"/>
        <v>08</v>
      </c>
      <c r="O150" s="50" t="s">
        <v>495</v>
      </c>
      <c r="P150" s="50" t="s">
        <v>495</v>
      </c>
      <c r="Q150" s="50">
        <v>3278</v>
      </c>
    </row>
    <row r="151" spans="1:17" ht="16" x14ac:dyDescent="0.45">
      <c r="A151" s="2" t="str">
        <f>IFERROR(VLOOKUP(B151,CODE!$B:$D,3,0),"-")</f>
        <v>네트워크</v>
      </c>
      <c r="B151" s="2" t="str">
        <f>IF(L151="-",VLOOKUP(J151,CODE!$B:$D,2,0),L151)</f>
        <v>카카오광고</v>
      </c>
      <c r="C151" s="2" t="s">
        <v>445</v>
      </c>
      <c r="D151" s="2" t="s">
        <v>267</v>
      </c>
      <c r="E151" s="2" t="s">
        <v>267</v>
      </c>
      <c r="F151" s="2" t="s">
        <v>268</v>
      </c>
      <c r="G151" s="2" t="s">
        <v>269</v>
      </c>
      <c r="H151" s="2" t="s">
        <v>270</v>
      </c>
      <c r="I151" s="2" t="s">
        <v>446</v>
      </c>
      <c r="J151" s="2" t="s">
        <v>74</v>
      </c>
      <c r="K151" s="2" t="s">
        <v>232</v>
      </c>
      <c r="L151" s="2" t="s">
        <v>83</v>
      </c>
      <c r="M151" s="38" t="str">
        <f t="shared" si="8"/>
        <v>25</v>
      </c>
      <c r="N151" s="38" t="str">
        <f t="shared" si="9"/>
        <v>07</v>
      </c>
      <c r="O151" s="50" t="s">
        <v>498</v>
      </c>
      <c r="P151" s="50" t="s">
        <v>498</v>
      </c>
      <c r="Q151" s="50">
        <v>16</v>
      </c>
    </row>
    <row r="152" spans="1:17" ht="16" x14ac:dyDescent="0.45">
      <c r="A152" s="2" t="str">
        <f>IFERROR(VLOOKUP(B152,CODE!$B:$D,3,0),"-")</f>
        <v>네트워크</v>
      </c>
      <c r="B152" s="2" t="str">
        <f>IF(L152="-",VLOOKUP(J152,CODE!$B:$D,2,0),L152)</f>
        <v>오픈마켓</v>
      </c>
      <c r="C152" s="2" t="s">
        <v>445</v>
      </c>
      <c r="D152" s="2" t="s">
        <v>267</v>
      </c>
      <c r="E152" s="2" t="s">
        <v>267</v>
      </c>
      <c r="F152" s="2" t="s">
        <v>268</v>
      </c>
      <c r="G152" s="2" t="s">
        <v>269</v>
      </c>
      <c r="H152" s="2" t="s">
        <v>270</v>
      </c>
      <c r="I152" s="2" t="s">
        <v>318</v>
      </c>
      <c r="J152" s="2" t="s">
        <v>3</v>
      </c>
      <c r="K152" s="2" t="s">
        <v>228</v>
      </c>
      <c r="L152" s="2" t="s">
        <v>82</v>
      </c>
      <c r="M152" s="38" t="str">
        <f t="shared" si="8"/>
        <v>25</v>
      </c>
      <c r="N152" s="38" t="str">
        <f t="shared" si="9"/>
        <v>11</v>
      </c>
      <c r="O152" s="50" t="s">
        <v>246</v>
      </c>
      <c r="P152" s="50" t="s">
        <v>246</v>
      </c>
      <c r="Q152" s="50">
        <v>66</v>
      </c>
    </row>
    <row r="153" spans="1:17" ht="16" x14ac:dyDescent="0.45">
      <c r="A153" s="2" t="str">
        <f>IFERROR(VLOOKUP(B153,CODE!$B:$D,3,0),"-")</f>
        <v>네트워크</v>
      </c>
      <c r="B153" s="2" t="str">
        <f>IF(L153="-",VLOOKUP(J153,CODE!$B:$D,2,0),L153)</f>
        <v>버즈빌</v>
      </c>
      <c r="C153" s="2" t="s">
        <v>445</v>
      </c>
      <c r="D153" s="2" t="s">
        <v>267</v>
      </c>
      <c r="E153" s="2" t="s">
        <v>267</v>
      </c>
      <c r="F153" s="2" t="s">
        <v>268</v>
      </c>
      <c r="G153" s="2" t="s">
        <v>269</v>
      </c>
      <c r="H153" s="2" t="s">
        <v>270</v>
      </c>
      <c r="I153" s="2" t="s">
        <v>233</v>
      </c>
      <c r="J153" s="2" t="s">
        <v>2</v>
      </c>
      <c r="K153" s="2" t="s">
        <v>232</v>
      </c>
      <c r="L153" s="2" t="s">
        <v>233</v>
      </c>
      <c r="M153" s="38" t="str">
        <f t="shared" si="8"/>
        <v>25</v>
      </c>
      <c r="N153" s="38" t="str">
        <f t="shared" si="9"/>
        <v>09</v>
      </c>
      <c r="O153" s="50" t="s">
        <v>499</v>
      </c>
      <c r="P153" s="50" t="s">
        <v>499</v>
      </c>
      <c r="Q153" s="50">
        <v>680</v>
      </c>
    </row>
    <row r="154" spans="1:17" ht="16" x14ac:dyDescent="0.45">
      <c r="A154" s="2" t="str">
        <f>IFERROR(VLOOKUP(B154,CODE!$B:$D,3,0),"-")</f>
        <v>네트워크</v>
      </c>
      <c r="B154" s="2" t="str">
        <f>IF(L154="-",VLOOKUP(J154,CODE!$B:$D,2,0),L154)</f>
        <v>버즈빌</v>
      </c>
      <c r="C154" s="2" t="s">
        <v>445</v>
      </c>
      <c r="D154" s="2" t="s">
        <v>267</v>
      </c>
      <c r="E154" s="2" t="s">
        <v>267</v>
      </c>
      <c r="F154" s="2" t="s">
        <v>268</v>
      </c>
      <c r="G154" s="2" t="s">
        <v>269</v>
      </c>
      <c r="H154" s="2" t="s">
        <v>270</v>
      </c>
      <c r="I154" s="2" t="s">
        <v>233</v>
      </c>
      <c r="J154" s="2" t="s">
        <v>2</v>
      </c>
      <c r="K154" s="2" t="s">
        <v>232</v>
      </c>
      <c r="L154" s="2" t="s">
        <v>233</v>
      </c>
      <c r="M154" s="38" t="str">
        <f t="shared" si="8"/>
        <v>25</v>
      </c>
      <c r="N154" s="38" t="str">
        <f t="shared" si="9"/>
        <v>09</v>
      </c>
      <c r="O154" s="50" t="s">
        <v>500</v>
      </c>
      <c r="P154" s="50" t="s">
        <v>501</v>
      </c>
      <c r="Q154" s="50">
        <v>1359</v>
      </c>
    </row>
    <row r="155" spans="1:17" ht="16" x14ac:dyDescent="0.45">
      <c r="A155" s="2" t="str">
        <f>IFERROR(VLOOKUP(B155,CODE!$B:$D,3,0),"-")</f>
        <v>네트워크</v>
      </c>
      <c r="B155" s="2" t="str">
        <f>IF(L155="-",VLOOKUP(J155,CODE!$B:$D,2,0),L155)</f>
        <v>버즈빌</v>
      </c>
      <c r="C155" s="2" t="s">
        <v>445</v>
      </c>
      <c r="D155" s="2" t="s">
        <v>267</v>
      </c>
      <c r="E155" s="2" t="s">
        <v>267</v>
      </c>
      <c r="F155" s="2" t="s">
        <v>268</v>
      </c>
      <c r="G155" s="2" t="s">
        <v>269</v>
      </c>
      <c r="H155" s="2" t="s">
        <v>270</v>
      </c>
      <c r="I155" s="2" t="s">
        <v>233</v>
      </c>
      <c r="J155" s="2" t="s">
        <v>2</v>
      </c>
      <c r="K155" s="2" t="s">
        <v>232</v>
      </c>
      <c r="L155" s="2" t="s">
        <v>233</v>
      </c>
      <c r="M155" s="38" t="str">
        <f t="shared" si="8"/>
        <v>25</v>
      </c>
      <c r="N155" s="38" t="str">
        <f t="shared" si="9"/>
        <v>10</v>
      </c>
      <c r="O155" s="50" t="s">
        <v>502</v>
      </c>
      <c r="P155" s="50" t="s">
        <v>250</v>
      </c>
      <c r="Q155" s="50">
        <v>3398</v>
      </c>
    </row>
    <row r="156" spans="1:17" ht="16" x14ac:dyDescent="0.45">
      <c r="A156" s="2" t="str">
        <f>IFERROR(VLOOKUP(B156,CODE!$B:$D,3,0),"-")</f>
        <v>네트워크</v>
      </c>
      <c r="B156" s="2" t="str">
        <f>IF(L156="-",VLOOKUP(J156,CODE!$B:$D,2,0),L156)</f>
        <v>버즈빌</v>
      </c>
      <c r="C156" s="2" t="s">
        <v>445</v>
      </c>
      <c r="D156" s="2" t="s">
        <v>267</v>
      </c>
      <c r="E156" s="2" t="s">
        <v>267</v>
      </c>
      <c r="F156" s="2" t="s">
        <v>268</v>
      </c>
      <c r="G156" s="2" t="s">
        <v>269</v>
      </c>
      <c r="H156" s="2" t="s">
        <v>270</v>
      </c>
      <c r="I156" s="2" t="s">
        <v>233</v>
      </c>
      <c r="J156" s="2" t="s">
        <v>2</v>
      </c>
      <c r="K156" s="2" t="s">
        <v>232</v>
      </c>
      <c r="L156" s="2" t="s">
        <v>233</v>
      </c>
      <c r="M156" s="38" t="str">
        <f t="shared" si="8"/>
        <v>25</v>
      </c>
      <c r="N156" s="38" t="str">
        <f t="shared" si="9"/>
        <v>10</v>
      </c>
      <c r="O156" s="50" t="s">
        <v>251</v>
      </c>
      <c r="P156" s="50" t="s">
        <v>252</v>
      </c>
      <c r="Q156" s="50">
        <v>4757</v>
      </c>
    </row>
    <row r="157" spans="1:17" ht="16" x14ac:dyDescent="0.45">
      <c r="A157" s="2" t="str">
        <f>IFERROR(VLOOKUP(B157,CODE!$B:$D,3,0),"-")</f>
        <v>네트워크</v>
      </c>
      <c r="B157" s="2" t="str">
        <f>IF(L157="-",VLOOKUP(J157,CODE!$B:$D,2,0),L157)</f>
        <v>버즈빌</v>
      </c>
      <c r="C157" s="2" t="s">
        <v>445</v>
      </c>
      <c r="D157" s="2" t="s">
        <v>267</v>
      </c>
      <c r="E157" s="2" t="s">
        <v>267</v>
      </c>
      <c r="F157" s="2" t="s">
        <v>268</v>
      </c>
      <c r="G157" s="2" t="s">
        <v>269</v>
      </c>
      <c r="H157" s="2" t="s">
        <v>270</v>
      </c>
      <c r="I157" s="2" t="s">
        <v>233</v>
      </c>
      <c r="J157" s="2" t="s">
        <v>2</v>
      </c>
      <c r="K157" s="2" t="s">
        <v>232</v>
      </c>
      <c r="L157" s="2" t="s">
        <v>233</v>
      </c>
      <c r="M157" s="38" t="str">
        <f t="shared" si="8"/>
        <v>25</v>
      </c>
      <c r="N157" s="38" t="str">
        <f t="shared" si="9"/>
        <v>10</v>
      </c>
      <c r="O157" s="50" t="s">
        <v>407</v>
      </c>
      <c r="P157" s="50" t="s">
        <v>417</v>
      </c>
      <c r="Q157" s="50">
        <v>4757</v>
      </c>
    </row>
    <row r="158" spans="1:17" ht="16" x14ac:dyDescent="0.45">
      <c r="A158" s="2" t="str">
        <f>IFERROR(VLOOKUP(B158,CODE!$B:$D,3,0),"-")</f>
        <v>네트워크</v>
      </c>
      <c r="B158" s="2" t="str">
        <f>IF(L158="-",VLOOKUP(J158,CODE!$B:$D,2,0),L158)</f>
        <v>버즈빌</v>
      </c>
      <c r="C158" s="2" t="s">
        <v>445</v>
      </c>
      <c r="D158" s="2" t="s">
        <v>267</v>
      </c>
      <c r="E158" s="2" t="s">
        <v>267</v>
      </c>
      <c r="F158" s="2" t="s">
        <v>268</v>
      </c>
      <c r="G158" s="2" t="s">
        <v>269</v>
      </c>
      <c r="H158" s="2" t="s">
        <v>270</v>
      </c>
      <c r="I158" s="2" t="s">
        <v>233</v>
      </c>
      <c r="J158" s="2" t="s">
        <v>2</v>
      </c>
      <c r="K158" s="2" t="s">
        <v>232</v>
      </c>
      <c r="L158" s="2" t="s">
        <v>233</v>
      </c>
      <c r="M158" s="38" t="str">
        <f t="shared" si="8"/>
        <v>25</v>
      </c>
      <c r="N158" s="38" t="str">
        <f t="shared" si="9"/>
        <v>10</v>
      </c>
      <c r="O158" s="50" t="s">
        <v>421</v>
      </c>
      <c r="P158" s="50" t="s">
        <v>503</v>
      </c>
      <c r="Q158" s="50">
        <v>4077</v>
      </c>
    </row>
    <row r="159" spans="1:17" ht="16" x14ac:dyDescent="0.45">
      <c r="A159" s="2" t="str">
        <f>IFERROR(VLOOKUP(B159,CODE!$B:$D,3,0),"-")</f>
        <v>네트워크</v>
      </c>
      <c r="B159" s="2" t="str">
        <f>IF(L159="-",VLOOKUP(J159,CODE!$B:$D,2,0),L159)</f>
        <v>버즈빌</v>
      </c>
      <c r="C159" s="2" t="s">
        <v>445</v>
      </c>
      <c r="D159" s="2" t="s">
        <v>267</v>
      </c>
      <c r="E159" s="2" t="s">
        <v>267</v>
      </c>
      <c r="F159" s="2" t="s">
        <v>268</v>
      </c>
      <c r="G159" s="2" t="s">
        <v>269</v>
      </c>
      <c r="H159" s="2" t="s">
        <v>270</v>
      </c>
      <c r="I159" s="2" t="s">
        <v>233</v>
      </c>
      <c r="J159" s="2" t="s">
        <v>2</v>
      </c>
      <c r="K159" s="2" t="s">
        <v>232</v>
      </c>
      <c r="L159" s="2" t="s">
        <v>233</v>
      </c>
      <c r="M159" s="38" t="str">
        <f t="shared" si="8"/>
        <v>25</v>
      </c>
      <c r="N159" s="38" t="str">
        <f t="shared" si="9"/>
        <v>10</v>
      </c>
      <c r="O159" s="50" t="s">
        <v>257</v>
      </c>
      <c r="P159" s="50" t="s">
        <v>257</v>
      </c>
      <c r="Q159" s="50">
        <v>680</v>
      </c>
    </row>
    <row r="160" spans="1:17" ht="16" x14ac:dyDescent="0.45">
      <c r="A160" s="2" t="str">
        <f>IFERROR(VLOOKUP(B160,CODE!$B:$D,3,0),"-")</f>
        <v>네트워크</v>
      </c>
      <c r="B160" s="2" t="str">
        <f>IF(L160="-",VLOOKUP(J160,CODE!$B:$D,2,0),L160)</f>
        <v>버즈빌</v>
      </c>
      <c r="C160" s="2" t="s">
        <v>445</v>
      </c>
      <c r="D160" s="2" t="s">
        <v>267</v>
      </c>
      <c r="E160" s="2" t="s">
        <v>267</v>
      </c>
      <c r="F160" s="2" t="s">
        <v>268</v>
      </c>
      <c r="G160" s="2" t="s">
        <v>269</v>
      </c>
      <c r="H160" s="2" t="s">
        <v>270</v>
      </c>
      <c r="I160" s="2" t="s">
        <v>233</v>
      </c>
      <c r="J160" s="2" t="s">
        <v>2</v>
      </c>
      <c r="K160" s="2" t="s">
        <v>232</v>
      </c>
      <c r="L160" s="2" t="s">
        <v>233</v>
      </c>
      <c r="M160" s="38" t="str">
        <f t="shared" si="8"/>
        <v>25</v>
      </c>
      <c r="N160" s="38" t="str">
        <f t="shared" si="9"/>
        <v>11</v>
      </c>
      <c r="O160" s="50" t="s">
        <v>426</v>
      </c>
      <c r="P160" s="50" t="s">
        <v>254</v>
      </c>
      <c r="Q160" s="50">
        <v>1359</v>
      </c>
    </row>
    <row r="161" spans="1:17" ht="16" x14ac:dyDescent="0.45">
      <c r="A161" s="2" t="s">
        <v>951</v>
      </c>
      <c r="B161" s="2" t="str">
        <f>IF(L161="-",VLOOKUP(J161,CODE!$B:$D,2,0),L161)</f>
        <v>디지털캠프</v>
      </c>
      <c r="C161" s="2" t="s">
        <v>445</v>
      </c>
      <c r="D161" s="2" t="s">
        <v>267</v>
      </c>
      <c r="E161" s="2" t="s">
        <v>267</v>
      </c>
      <c r="F161" s="2" t="s">
        <v>268</v>
      </c>
      <c r="G161" s="2" t="s">
        <v>269</v>
      </c>
      <c r="H161" s="2" t="s">
        <v>270</v>
      </c>
      <c r="I161" s="2" t="s">
        <v>447</v>
      </c>
      <c r="J161" s="2" t="s">
        <v>2</v>
      </c>
      <c r="K161" s="2" t="s">
        <v>232</v>
      </c>
      <c r="L161" s="2" t="s">
        <v>447</v>
      </c>
      <c r="M161" s="38" t="str">
        <f t="shared" si="8"/>
        <v>25</v>
      </c>
      <c r="N161" s="38" t="str">
        <f t="shared" si="9"/>
        <v>09</v>
      </c>
      <c r="O161" s="50" t="s">
        <v>420</v>
      </c>
      <c r="P161" s="50" t="s">
        <v>420</v>
      </c>
      <c r="Q161" s="50">
        <v>601</v>
      </c>
    </row>
    <row r="162" spans="1:17" ht="16" x14ac:dyDescent="0.45">
      <c r="A162" s="2" t="str">
        <f>IFERROR(VLOOKUP(B162,CODE!$B:$D,3,0),"-")</f>
        <v>네트워크</v>
      </c>
      <c r="B162" s="2" t="str">
        <f>IF(L162="-",VLOOKUP(J162,CODE!$B:$D,2,0),L162)</f>
        <v>TARGETPICK</v>
      </c>
      <c r="C162" s="2" t="s">
        <v>445</v>
      </c>
      <c r="D162" s="2" t="s">
        <v>267</v>
      </c>
      <c r="E162" s="2" t="s">
        <v>267</v>
      </c>
      <c r="F162" s="2" t="s">
        <v>268</v>
      </c>
      <c r="G162" s="2" t="s">
        <v>269</v>
      </c>
      <c r="H162" s="2" t="s">
        <v>270</v>
      </c>
      <c r="I162" s="2" t="s">
        <v>448</v>
      </c>
      <c r="J162" s="2" t="s">
        <v>2</v>
      </c>
      <c r="K162" s="2" t="s">
        <v>232</v>
      </c>
      <c r="L162" s="2" t="s">
        <v>100</v>
      </c>
      <c r="M162" s="38" t="str">
        <f t="shared" si="8"/>
        <v>25</v>
      </c>
      <c r="N162" s="38" t="str">
        <f t="shared" si="9"/>
        <v>09</v>
      </c>
      <c r="O162" s="50" t="s">
        <v>504</v>
      </c>
      <c r="P162" s="50" t="s">
        <v>418</v>
      </c>
      <c r="Q162" s="50">
        <v>5448</v>
      </c>
    </row>
    <row r="163" spans="1:17" ht="16" x14ac:dyDescent="0.45">
      <c r="A163" s="2" t="str">
        <f>IFERROR(VLOOKUP(B163,CODE!$B:$D,3,0),"-")</f>
        <v>네트워크</v>
      </c>
      <c r="B163" s="2" t="str">
        <f>IF(L163="-",VLOOKUP(J163,CODE!$B:$D,2,0),L163)</f>
        <v>TARGETPICK</v>
      </c>
      <c r="C163" s="2" t="s">
        <v>445</v>
      </c>
      <c r="D163" s="2" t="s">
        <v>267</v>
      </c>
      <c r="E163" s="2" t="s">
        <v>267</v>
      </c>
      <c r="F163" s="2" t="s">
        <v>268</v>
      </c>
      <c r="G163" s="2" t="s">
        <v>269</v>
      </c>
      <c r="H163" s="2" t="s">
        <v>270</v>
      </c>
      <c r="I163" s="2" t="s">
        <v>448</v>
      </c>
      <c r="J163" s="2" t="s">
        <v>2</v>
      </c>
      <c r="K163" s="2" t="s">
        <v>232</v>
      </c>
      <c r="L163" s="2" t="s">
        <v>100</v>
      </c>
      <c r="M163" s="38" t="str">
        <f t="shared" si="8"/>
        <v>25</v>
      </c>
      <c r="N163" s="38" t="str">
        <f t="shared" si="9"/>
        <v>09</v>
      </c>
      <c r="O163" s="50" t="s">
        <v>420</v>
      </c>
      <c r="P163" s="50" t="s">
        <v>439</v>
      </c>
      <c r="Q163" s="50">
        <v>5448</v>
      </c>
    </row>
    <row r="164" spans="1:17" ht="16" x14ac:dyDescent="0.45">
      <c r="A164" s="2" t="str">
        <f>IFERROR(VLOOKUP(B164,CODE!$B:$D,3,0),"-")</f>
        <v>네트워크</v>
      </c>
      <c r="B164" s="2" t="str">
        <f>IF(L164="-",VLOOKUP(J164,CODE!$B:$D,2,0),L164)</f>
        <v>TARGETPICK</v>
      </c>
      <c r="C164" s="2" t="s">
        <v>445</v>
      </c>
      <c r="D164" s="2" t="s">
        <v>267</v>
      </c>
      <c r="E164" s="2" t="s">
        <v>267</v>
      </c>
      <c r="F164" s="2" t="s">
        <v>268</v>
      </c>
      <c r="G164" s="2" t="s">
        <v>269</v>
      </c>
      <c r="H164" s="2" t="s">
        <v>270</v>
      </c>
      <c r="I164" s="2" t="s">
        <v>448</v>
      </c>
      <c r="J164" s="2" t="s">
        <v>2</v>
      </c>
      <c r="K164" s="2" t="s">
        <v>232</v>
      </c>
      <c r="L164" s="2" t="s">
        <v>100</v>
      </c>
      <c r="M164" s="38" t="str">
        <f t="shared" si="8"/>
        <v>25</v>
      </c>
      <c r="N164" s="38" t="str">
        <f t="shared" si="9"/>
        <v>09</v>
      </c>
      <c r="O164" s="50" t="s">
        <v>425</v>
      </c>
      <c r="P164" s="50" t="s">
        <v>499</v>
      </c>
      <c r="Q164" s="50">
        <v>5448</v>
      </c>
    </row>
    <row r="165" spans="1:17" ht="16" x14ac:dyDescent="0.45">
      <c r="A165" s="2" t="str">
        <f>IFERROR(VLOOKUP(B165,CODE!$B:$D,3,0),"-")</f>
        <v>네트워크</v>
      </c>
      <c r="B165" s="2" t="str">
        <f>IF(L165="-",VLOOKUP(J165,CODE!$B:$D,2,0),L165)</f>
        <v>TARGETPICK</v>
      </c>
      <c r="C165" s="2" t="s">
        <v>445</v>
      </c>
      <c r="D165" s="2" t="s">
        <v>267</v>
      </c>
      <c r="E165" s="2" t="s">
        <v>267</v>
      </c>
      <c r="F165" s="2" t="s">
        <v>268</v>
      </c>
      <c r="G165" s="2" t="s">
        <v>269</v>
      </c>
      <c r="H165" s="2" t="s">
        <v>270</v>
      </c>
      <c r="I165" s="2" t="s">
        <v>448</v>
      </c>
      <c r="J165" s="2" t="s">
        <v>2</v>
      </c>
      <c r="K165" s="2" t="s">
        <v>232</v>
      </c>
      <c r="L165" s="2" t="s">
        <v>100</v>
      </c>
      <c r="M165" s="38" t="str">
        <f t="shared" si="8"/>
        <v>25</v>
      </c>
      <c r="N165" s="38" t="str">
        <f t="shared" si="9"/>
        <v>09</v>
      </c>
      <c r="O165" s="50" t="s">
        <v>500</v>
      </c>
      <c r="P165" s="50" t="s">
        <v>501</v>
      </c>
      <c r="Q165" s="50">
        <v>4671</v>
      </c>
    </row>
    <row r="166" spans="1:17" ht="16" x14ac:dyDescent="0.45">
      <c r="A166" s="2" t="str">
        <f>IFERROR(VLOOKUP(B166,CODE!$B:$D,3,0),"-")</f>
        <v>네트워크</v>
      </c>
      <c r="B166" s="2" t="str">
        <f>IF(L166="-",VLOOKUP(J166,CODE!$B:$D,2,0),L166)</f>
        <v>TARGETPICK</v>
      </c>
      <c r="C166" s="2" t="s">
        <v>445</v>
      </c>
      <c r="D166" s="2" t="s">
        <v>267</v>
      </c>
      <c r="E166" s="2" t="s">
        <v>267</v>
      </c>
      <c r="F166" s="2" t="s">
        <v>268</v>
      </c>
      <c r="G166" s="2" t="s">
        <v>269</v>
      </c>
      <c r="H166" s="2" t="s">
        <v>270</v>
      </c>
      <c r="I166" s="2" t="s">
        <v>448</v>
      </c>
      <c r="J166" s="2" t="s">
        <v>2</v>
      </c>
      <c r="K166" s="2" t="s">
        <v>232</v>
      </c>
      <c r="L166" s="2" t="s">
        <v>100</v>
      </c>
      <c r="M166" s="38" t="str">
        <f t="shared" si="8"/>
        <v>25</v>
      </c>
      <c r="N166" s="38" t="str">
        <f t="shared" si="9"/>
        <v>10</v>
      </c>
      <c r="O166" s="50" t="s">
        <v>502</v>
      </c>
      <c r="P166" s="50" t="s">
        <v>250</v>
      </c>
      <c r="Q166" s="50">
        <v>7782</v>
      </c>
    </row>
    <row r="167" spans="1:17" ht="16" x14ac:dyDescent="0.45">
      <c r="A167" s="2" t="str">
        <f>IFERROR(VLOOKUP(B167,CODE!$B:$D,3,0),"-")</f>
        <v>네트워크</v>
      </c>
      <c r="B167" s="2" t="str">
        <f>IF(L167="-",VLOOKUP(J167,CODE!$B:$D,2,0),L167)</f>
        <v>TARGETPICK</v>
      </c>
      <c r="C167" s="2" t="s">
        <v>445</v>
      </c>
      <c r="D167" s="2" t="s">
        <v>267</v>
      </c>
      <c r="E167" s="2" t="s">
        <v>267</v>
      </c>
      <c r="F167" s="2" t="s">
        <v>268</v>
      </c>
      <c r="G167" s="2" t="s">
        <v>269</v>
      </c>
      <c r="H167" s="2" t="s">
        <v>270</v>
      </c>
      <c r="I167" s="2" t="s">
        <v>448</v>
      </c>
      <c r="J167" s="2" t="s">
        <v>2</v>
      </c>
      <c r="K167" s="2" t="s">
        <v>232</v>
      </c>
      <c r="L167" s="2" t="s">
        <v>100</v>
      </c>
      <c r="M167" s="38" t="str">
        <f t="shared" si="8"/>
        <v>25</v>
      </c>
      <c r="N167" s="38" t="str">
        <f t="shared" si="9"/>
        <v>10</v>
      </c>
      <c r="O167" s="50" t="s">
        <v>251</v>
      </c>
      <c r="P167" s="50" t="s">
        <v>252</v>
      </c>
      <c r="Q167" s="50">
        <v>10896</v>
      </c>
    </row>
    <row r="168" spans="1:17" ht="16" x14ac:dyDescent="0.45">
      <c r="A168" s="2" t="str">
        <f>IFERROR(VLOOKUP(B168,CODE!$B:$D,3,0),"-")</f>
        <v>네트워크</v>
      </c>
      <c r="B168" s="2" t="str">
        <f>IF(L168="-",VLOOKUP(J168,CODE!$B:$D,2,0),L168)</f>
        <v>TARGETPICK</v>
      </c>
      <c r="C168" s="2" t="s">
        <v>445</v>
      </c>
      <c r="D168" s="2" t="s">
        <v>267</v>
      </c>
      <c r="E168" s="2" t="s">
        <v>267</v>
      </c>
      <c r="F168" s="2" t="s">
        <v>268</v>
      </c>
      <c r="G168" s="2" t="s">
        <v>269</v>
      </c>
      <c r="H168" s="2" t="s">
        <v>270</v>
      </c>
      <c r="I168" s="2" t="s">
        <v>448</v>
      </c>
      <c r="J168" s="2" t="s">
        <v>2</v>
      </c>
      <c r="K168" s="2" t="s">
        <v>232</v>
      </c>
      <c r="L168" s="2" t="s">
        <v>100</v>
      </c>
      <c r="M168" s="38" t="str">
        <f t="shared" si="8"/>
        <v>25</v>
      </c>
      <c r="N168" s="38" t="str">
        <f t="shared" si="9"/>
        <v>10</v>
      </c>
      <c r="O168" s="50" t="s">
        <v>407</v>
      </c>
      <c r="P168" s="50" t="s">
        <v>417</v>
      </c>
      <c r="Q168" s="50">
        <v>10896</v>
      </c>
    </row>
    <row r="169" spans="1:17" ht="16" x14ac:dyDescent="0.45">
      <c r="A169" s="2" t="str">
        <f>IFERROR(VLOOKUP(B169,CODE!$B:$D,3,0),"-")</f>
        <v>네트워크</v>
      </c>
      <c r="B169" s="2" t="str">
        <f>IF(L169="-",VLOOKUP(J169,CODE!$B:$D,2,0),L169)</f>
        <v>TARGETPICK</v>
      </c>
      <c r="C169" s="2" t="s">
        <v>445</v>
      </c>
      <c r="D169" s="2" t="s">
        <v>267</v>
      </c>
      <c r="E169" s="2" t="s">
        <v>267</v>
      </c>
      <c r="F169" s="2" t="s">
        <v>268</v>
      </c>
      <c r="G169" s="2" t="s">
        <v>269</v>
      </c>
      <c r="H169" s="2" t="s">
        <v>270</v>
      </c>
      <c r="I169" s="2" t="s">
        <v>448</v>
      </c>
      <c r="J169" s="2" t="s">
        <v>2</v>
      </c>
      <c r="K169" s="2" t="s">
        <v>232</v>
      </c>
      <c r="L169" s="2" t="s">
        <v>100</v>
      </c>
      <c r="M169" s="38" t="str">
        <f t="shared" si="8"/>
        <v>25</v>
      </c>
      <c r="N169" s="38" t="str">
        <f t="shared" si="9"/>
        <v>10</v>
      </c>
      <c r="O169" s="50" t="s">
        <v>505</v>
      </c>
      <c r="P169" s="50" t="s">
        <v>503</v>
      </c>
      <c r="Q169" s="50">
        <v>10896</v>
      </c>
    </row>
    <row r="170" spans="1:17" ht="16" x14ac:dyDescent="0.45">
      <c r="A170" s="2" t="str">
        <f>IFERROR(VLOOKUP(B170,CODE!$B:$D,3,0),"-")</f>
        <v>네트워크</v>
      </c>
      <c r="B170" s="2" t="str">
        <f>IF(L170="-",VLOOKUP(J170,CODE!$B:$D,2,0),L170)</f>
        <v>TARGETPICK</v>
      </c>
      <c r="C170" s="2" t="s">
        <v>445</v>
      </c>
      <c r="D170" s="2" t="s">
        <v>267</v>
      </c>
      <c r="E170" s="2" t="s">
        <v>267</v>
      </c>
      <c r="F170" s="2" t="s">
        <v>268</v>
      </c>
      <c r="G170" s="2" t="s">
        <v>269</v>
      </c>
      <c r="H170" s="2" t="s">
        <v>270</v>
      </c>
      <c r="I170" s="2" t="s">
        <v>448</v>
      </c>
      <c r="J170" s="2" t="s">
        <v>2</v>
      </c>
      <c r="K170" s="2" t="s">
        <v>232</v>
      </c>
      <c r="L170" s="2" t="s">
        <v>100</v>
      </c>
      <c r="M170" s="38" t="str">
        <f t="shared" si="8"/>
        <v>25</v>
      </c>
      <c r="N170" s="38" t="str">
        <f t="shared" si="9"/>
        <v>10</v>
      </c>
      <c r="O170" s="50" t="s">
        <v>257</v>
      </c>
      <c r="P170" s="50" t="s">
        <v>257</v>
      </c>
      <c r="Q170" s="50">
        <v>1556</v>
      </c>
    </row>
    <row r="171" spans="1:17" ht="16" x14ac:dyDescent="0.45">
      <c r="A171" s="2" t="str">
        <f>IFERROR(VLOOKUP(B171,CODE!$B:$D,3,0),"-")</f>
        <v>네트워크</v>
      </c>
      <c r="B171" s="2" t="str">
        <f>IF(L171="-",VLOOKUP(J171,CODE!$B:$D,2,0),L171)</f>
        <v>카카오광고</v>
      </c>
      <c r="C171" s="2" t="s">
        <v>445</v>
      </c>
      <c r="D171" s="2" t="s">
        <v>267</v>
      </c>
      <c r="E171" s="2" t="s">
        <v>449</v>
      </c>
      <c r="F171" s="2" t="s">
        <v>268</v>
      </c>
      <c r="G171" s="2" t="s">
        <v>269</v>
      </c>
      <c r="H171" s="2" t="s">
        <v>450</v>
      </c>
      <c r="I171" s="2" t="s">
        <v>231</v>
      </c>
      <c r="J171" s="2" t="s">
        <v>76</v>
      </c>
      <c r="K171" s="2" t="s">
        <v>232</v>
      </c>
      <c r="L171" s="2" t="s">
        <v>83</v>
      </c>
      <c r="M171" s="38" t="str">
        <f t="shared" si="8"/>
        <v>25</v>
      </c>
      <c r="N171" s="38" t="str">
        <f t="shared" si="9"/>
        <v>09</v>
      </c>
      <c r="O171" s="50" t="s">
        <v>506</v>
      </c>
      <c r="P171" s="50" t="s">
        <v>506</v>
      </c>
      <c r="Q171" s="50">
        <v>8807</v>
      </c>
    </row>
    <row r="172" spans="1:17" ht="16" x14ac:dyDescent="0.45">
      <c r="A172" s="2" t="str">
        <f>IFERROR(VLOOKUP(B172,CODE!$B:$D,3,0),"-")</f>
        <v>네트워크</v>
      </c>
      <c r="B172" s="2" t="str">
        <f>IF(L172="-",VLOOKUP(J172,CODE!$B:$D,2,0),L172)</f>
        <v>오픈마켓</v>
      </c>
      <c r="C172" s="2" t="s">
        <v>445</v>
      </c>
      <c r="D172" s="2" t="s">
        <v>267</v>
      </c>
      <c r="E172" s="2" t="s">
        <v>449</v>
      </c>
      <c r="F172" s="2" t="s">
        <v>268</v>
      </c>
      <c r="G172" s="2" t="s">
        <v>269</v>
      </c>
      <c r="H172" s="2" t="s">
        <v>450</v>
      </c>
      <c r="I172" s="2" t="s">
        <v>318</v>
      </c>
      <c r="J172" s="2" t="s">
        <v>3</v>
      </c>
      <c r="K172" s="2" t="s">
        <v>228</v>
      </c>
      <c r="L172" s="2" t="s">
        <v>82</v>
      </c>
      <c r="M172" s="38" t="str">
        <f t="shared" si="8"/>
        <v>25</v>
      </c>
      <c r="N172" s="38" t="str">
        <f t="shared" si="9"/>
        <v>07</v>
      </c>
      <c r="O172" s="50" t="s">
        <v>507</v>
      </c>
      <c r="P172" s="50" t="s">
        <v>507</v>
      </c>
      <c r="Q172" s="50">
        <v>66</v>
      </c>
    </row>
    <row r="173" spans="1:17" ht="16" x14ac:dyDescent="0.45">
      <c r="A173" s="2" t="str">
        <f>IFERROR(VLOOKUP(B173,CODE!$B:$D,3,0),"-")</f>
        <v>네트워크</v>
      </c>
      <c r="B173" s="2" t="str">
        <f>IF(L173="-",VLOOKUP(J173,CODE!$B:$D,2,0),L173)</f>
        <v>오픈마켓</v>
      </c>
      <c r="C173" s="2" t="s">
        <v>445</v>
      </c>
      <c r="D173" s="2" t="s">
        <v>267</v>
      </c>
      <c r="E173" s="2" t="s">
        <v>449</v>
      </c>
      <c r="F173" s="2" t="s">
        <v>268</v>
      </c>
      <c r="G173" s="2" t="s">
        <v>269</v>
      </c>
      <c r="H173" s="2" t="s">
        <v>450</v>
      </c>
      <c r="I173" s="2" t="s">
        <v>318</v>
      </c>
      <c r="J173" s="2" t="s">
        <v>3</v>
      </c>
      <c r="K173" s="2" t="s">
        <v>228</v>
      </c>
      <c r="L173" s="2" t="s">
        <v>82</v>
      </c>
      <c r="M173" s="38" t="str">
        <f t="shared" si="8"/>
        <v>25</v>
      </c>
      <c r="N173" s="38" t="str">
        <f t="shared" si="9"/>
        <v>07</v>
      </c>
      <c r="O173" s="50" t="s">
        <v>482</v>
      </c>
      <c r="P173" s="50" t="s">
        <v>482</v>
      </c>
      <c r="Q173" s="50">
        <v>66</v>
      </c>
    </row>
    <row r="174" spans="1:17" ht="16" x14ac:dyDescent="0.45">
      <c r="A174" s="2" t="str">
        <f>IFERROR(VLOOKUP(B174,CODE!$B:$D,3,0),"-")</f>
        <v>네트워크</v>
      </c>
      <c r="B174" s="2" t="str">
        <f>IF(L174="-",VLOOKUP(J174,CODE!$B:$D,2,0),L174)</f>
        <v>오픈마켓</v>
      </c>
      <c r="C174" s="2" t="s">
        <v>445</v>
      </c>
      <c r="D174" s="2" t="s">
        <v>267</v>
      </c>
      <c r="E174" s="2" t="s">
        <v>449</v>
      </c>
      <c r="F174" s="2" t="s">
        <v>268</v>
      </c>
      <c r="G174" s="2" t="s">
        <v>269</v>
      </c>
      <c r="H174" s="2" t="s">
        <v>450</v>
      </c>
      <c r="I174" s="2" t="s">
        <v>318</v>
      </c>
      <c r="J174" s="2" t="s">
        <v>3</v>
      </c>
      <c r="K174" s="2" t="s">
        <v>228</v>
      </c>
      <c r="L174" s="2" t="s">
        <v>82</v>
      </c>
      <c r="M174" s="38" t="str">
        <f t="shared" si="8"/>
        <v>25</v>
      </c>
      <c r="N174" s="38" t="str">
        <f t="shared" si="9"/>
        <v>07</v>
      </c>
      <c r="O174" s="50" t="s">
        <v>508</v>
      </c>
      <c r="P174" s="50" t="s">
        <v>508</v>
      </c>
      <c r="Q174" s="50">
        <v>66</v>
      </c>
    </row>
    <row r="175" spans="1:17" ht="16" x14ac:dyDescent="0.45">
      <c r="A175" s="2" t="str">
        <f>IFERROR(VLOOKUP(B175,CODE!$B:$D,3,0),"-")</f>
        <v>포털</v>
      </c>
      <c r="B175" s="2" t="str">
        <f>IF(L175="-",VLOOKUP(J175,CODE!$B:$D,2,0),L175)</f>
        <v>포털</v>
      </c>
      <c r="C175" s="2" t="s">
        <v>445</v>
      </c>
      <c r="D175" s="2" t="s">
        <v>277</v>
      </c>
      <c r="E175" s="2" t="s">
        <v>278</v>
      </c>
      <c r="F175" s="2" t="s">
        <v>268</v>
      </c>
      <c r="G175" s="2" t="s">
        <v>269</v>
      </c>
      <c r="H175" s="2" t="s">
        <v>279</v>
      </c>
      <c r="I175" s="2" t="s">
        <v>229</v>
      </c>
      <c r="J175" s="2" t="s">
        <v>1</v>
      </c>
      <c r="K175" s="2" t="s">
        <v>228</v>
      </c>
      <c r="L175" s="2" t="s">
        <v>82</v>
      </c>
      <c r="M175" s="38" t="str">
        <f t="shared" si="8"/>
        <v>26</v>
      </c>
      <c r="N175" s="38" t="str">
        <f t="shared" si="9"/>
        <v>01</v>
      </c>
      <c r="O175" s="50" t="s">
        <v>221</v>
      </c>
      <c r="P175" s="50" t="s">
        <v>221</v>
      </c>
      <c r="Q175" s="50">
        <v>3278</v>
      </c>
    </row>
    <row r="176" spans="1:17" ht="16" x14ac:dyDescent="0.45">
      <c r="A176" s="2" t="str">
        <f>IFERROR(VLOOKUP(B176,CODE!$B:$D,3,0),"-")</f>
        <v>포털</v>
      </c>
      <c r="B176" s="2" t="str">
        <f>IF(L176="-",VLOOKUP(J176,CODE!$B:$D,2,0),L176)</f>
        <v>포털</v>
      </c>
      <c r="C176" s="2" t="s">
        <v>445</v>
      </c>
      <c r="D176" s="2" t="s">
        <v>277</v>
      </c>
      <c r="E176" s="2" t="s">
        <v>278</v>
      </c>
      <c r="F176" s="2" t="s">
        <v>268</v>
      </c>
      <c r="G176" s="2" t="s">
        <v>269</v>
      </c>
      <c r="H176" s="2" t="s">
        <v>279</v>
      </c>
      <c r="I176" s="2" t="s">
        <v>229</v>
      </c>
      <c r="J176" s="2" t="s">
        <v>1</v>
      </c>
      <c r="K176" s="2" t="s">
        <v>228</v>
      </c>
      <c r="L176" s="2" t="s">
        <v>82</v>
      </c>
      <c r="M176" s="38" t="str">
        <f t="shared" si="8"/>
        <v>26</v>
      </c>
      <c r="N176" s="38" t="str">
        <f t="shared" si="9"/>
        <v>01</v>
      </c>
      <c r="O176" s="50" t="s">
        <v>222</v>
      </c>
      <c r="P176" s="50" t="s">
        <v>240</v>
      </c>
      <c r="Q176" s="50">
        <v>9833</v>
      </c>
    </row>
    <row r="177" spans="1:17" ht="16" x14ac:dyDescent="0.45">
      <c r="A177" s="2" t="str">
        <f>IFERROR(VLOOKUP(B177,CODE!$B:$D,3,0),"-")</f>
        <v>네트워크</v>
      </c>
      <c r="B177" s="2" t="str">
        <f>IF(L177="-",VLOOKUP(J177,CODE!$B:$D,2,0),L177)</f>
        <v>오픈마켓</v>
      </c>
      <c r="C177" s="2" t="s">
        <v>445</v>
      </c>
      <c r="D177" s="2" t="s">
        <v>277</v>
      </c>
      <c r="E177" s="2" t="s">
        <v>278</v>
      </c>
      <c r="F177" s="2" t="s">
        <v>268</v>
      </c>
      <c r="G177" s="2" t="s">
        <v>269</v>
      </c>
      <c r="H177" s="2" t="s">
        <v>279</v>
      </c>
      <c r="I177" s="2" t="s">
        <v>318</v>
      </c>
      <c r="J177" s="2" t="s">
        <v>3</v>
      </c>
      <c r="K177" s="2" t="s">
        <v>228</v>
      </c>
      <c r="L177" s="2" t="s">
        <v>82</v>
      </c>
      <c r="M177" s="38" t="str">
        <f t="shared" si="8"/>
        <v>25</v>
      </c>
      <c r="N177" s="38" t="str">
        <f t="shared" si="9"/>
        <v>12</v>
      </c>
      <c r="O177" s="50" t="s">
        <v>443</v>
      </c>
      <c r="P177" s="50" t="s">
        <v>443</v>
      </c>
      <c r="Q177" s="50">
        <v>66</v>
      </c>
    </row>
    <row r="178" spans="1:17" ht="16" x14ac:dyDescent="0.45">
      <c r="A178" s="2" t="str">
        <f>IFERROR(VLOOKUP(B178,CODE!$B:$D,3,0),"-")</f>
        <v>네트워크</v>
      </c>
      <c r="B178" s="2" t="str">
        <f>IF(L178="-",VLOOKUP(J178,CODE!$B:$D,2,0),L178)</f>
        <v>오픈마켓</v>
      </c>
      <c r="C178" s="2" t="s">
        <v>445</v>
      </c>
      <c r="D178" s="2" t="s">
        <v>277</v>
      </c>
      <c r="E178" s="2" t="s">
        <v>278</v>
      </c>
      <c r="F178" s="2" t="s">
        <v>268</v>
      </c>
      <c r="G178" s="2" t="s">
        <v>269</v>
      </c>
      <c r="H178" s="2" t="s">
        <v>279</v>
      </c>
      <c r="I178" s="2" t="s">
        <v>318</v>
      </c>
      <c r="J178" s="2" t="s">
        <v>3</v>
      </c>
      <c r="K178" s="2" t="s">
        <v>228</v>
      </c>
      <c r="L178" s="2" t="s">
        <v>82</v>
      </c>
      <c r="M178" s="38" t="str">
        <f t="shared" si="8"/>
        <v>25</v>
      </c>
      <c r="N178" s="38" t="str">
        <f t="shared" si="9"/>
        <v>12</v>
      </c>
      <c r="O178" s="50" t="s">
        <v>509</v>
      </c>
      <c r="P178" s="50" t="s">
        <v>509</v>
      </c>
      <c r="Q178" s="50">
        <v>66</v>
      </c>
    </row>
    <row r="179" spans="1:17" ht="16" x14ac:dyDescent="0.45">
      <c r="A179" s="2" t="str">
        <f>IFERROR(VLOOKUP(B179,CODE!$B:$D,3,0),"-")</f>
        <v>SNS</v>
      </c>
      <c r="B179" s="2" t="str">
        <f>IF(L179="-",VLOOKUP(J179,CODE!$B:$D,2,0),L179)</f>
        <v>SNS</v>
      </c>
      <c r="C179" s="2" t="s">
        <v>445</v>
      </c>
      <c r="D179" s="2" t="s">
        <v>277</v>
      </c>
      <c r="E179" s="2" t="s">
        <v>296</v>
      </c>
      <c r="F179" s="2" t="s">
        <v>268</v>
      </c>
      <c r="G179" s="2" t="s">
        <v>269</v>
      </c>
      <c r="H179" s="2" t="s">
        <v>297</v>
      </c>
      <c r="I179" s="2" t="s">
        <v>451</v>
      </c>
      <c r="J179" s="2" t="s">
        <v>4</v>
      </c>
      <c r="K179" s="2" t="s">
        <v>232</v>
      </c>
      <c r="L179" s="2" t="s">
        <v>82</v>
      </c>
      <c r="M179" s="38" t="str">
        <f t="shared" si="8"/>
        <v>25</v>
      </c>
      <c r="N179" s="38" t="str">
        <f t="shared" si="9"/>
        <v>11</v>
      </c>
      <c r="O179" s="50" t="s">
        <v>249</v>
      </c>
      <c r="P179" s="50" t="s">
        <v>110</v>
      </c>
      <c r="Q179" s="50">
        <v>7661</v>
      </c>
    </row>
    <row r="180" spans="1:17" ht="16" x14ac:dyDescent="0.45">
      <c r="A180" s="2" t="str">
        <f>IFERROR(VLOOKUP(B180,CODE!$B:$D,3,0),"-")</f>
        <v>포털</v>
      </c>
      <c r="B180" s="2" t="str">
        <f>IF(L180="-",VLOOKUP(J180,CODE!$B:$D,2,0),L180)</f>
        <v>포털</v>
      </c>
      <c r="C180" s="2" t="s">
        <v>445</v>
      </c>
      <c r="D180" s="2" t="s">
        <v>955</v>
      </c>
      <c r="E180" s="2" t="s">
        <v>280</v>
      </c>
      <c r="F180" s="2" t="s">
        <v>268</v>
      </c>
      <c r="G180" s="2" t="s">
        <v>269</v>
      </c>
      <c r="H180" s="2" t="s">
        <v>279</v>
      </c>
      <c r="I180" s="2" t="s">
        <v>229</v>
      </c>
      <c r="J180" s="2" t="s">
        <v>1</v>
      </c>
      <c r="K180" s="2" t="s">
        <v>228</v>
      </c>
      <c r="L180" s="2" t="s">
        <v>82</v>
      </c>
      <c r="M180" s="38" t="str">
        <f t="shared" si="8"/>
        <v>26</v>
      </c>
      <c r="N180" s="38" t="str">
        <f t="shared" si="9"/>
        <v>01</v>
      </c>
      <c r="O180" s="50" t="s">
        <v>255</v>
      </c>
      <c r="P180" s="50" t="s">
        <v>255</v>
      </c>
      <c r="Q180" s="50">
        <v>3278</v>
      </c>
    </row>
    <row r="181" spans="1:17" ht="16" x14ac:dyDescent="0.45">
      <c r="A181" s="2" t="str">
        <f>IFERROR(VLOOKUP(B181,CODE!$B:$D,3,0),"-")</f>
        <v>포털</v>
      </c>
      <c r="B181" s="2" t="str">
        <f>IF(L181="-",VLOOKUP(J181,CODE!$B:$D,2,0),L181)</f>
        <v>포털</v>
      </c>
      <c r="C181" s="2" t="s">
        <v>445</v>
      </c>
      <c r="D181" s="2" t="s">
        <v>955</v>
      </c>
      <c r="E181" s="2" t="s">
        <v>280</v>
      </c>
      <c r="F181" s="2" t="s">
        <v>268</v>
      </c>
      <c r="G181" s="2" t="s">
        <v>269</v>
      </c>
      <c r="H181" s="2" t="s">
        <v>279</v>
      </c>
      <c r="I181" s="2" t="s">
        <v>229</v>
      </c>
      <c r="J181" s="2" t="s">
        <v>1</v>
      </c>
      <c r="K181" s="2" t="s">
        <v>228</v>
      </c>
      <c r="L181" s="2" t="s">
        <v>82</v>
      </c>
      <c r="M181" s="38" t="str">
        <f t="shared" si="8"/>
        <v>26</v>
      </c>
      <c r="N181" s="38" t="str">
        <f t="shared" si="9"/>
        <v>01</v>
      </c>
      <c r="O181" s="50" t="s">
        <v>256</v>
      </c>
      <c r="P181" s="50" t="s">
        <v>256</v>
      </c>
      <c r="Q181" s="50">
        <v>3278</v>
      </c>
    </row>
    <row r="182" spans="1:17" ht="16" x14ac:dyDescent="0.45">
      <c r="A182" s="2" t="str">
        <f>IFERROR(VLOOKUP(B182,CODE!$B:$D,3,0),"-")</f>
        <v>SNS</v>
      </c>
      <c r="B182" s="2" t="str">
        <f>IF(L182="-",VLOOKUP(J182,CODE!$B:$D,2,0),L182)</f>
        <v>SNS</v>
      </c>
      <c r="C182" s="2" t="s">
        <v>445</v>
      </c>
      <c r="D182" s="2" t="s">
        <v>955</v>
      </c>
      <c r="E182" s="2" t="s">
        <v>280</v>
      </c>
      <c r="F182" s="2" t="s">
        <v>268</v>
      </c>
      <c r="G182" s="2" t="s">
        <v>269</v>
      </c>
      <c r="H182" s="2" t="s">
        <v>279</v>
      </c>
      <c r="I182" s="2" t="s">
        <v>451</v>
      </c>
      <c r="J182" s="2" t="s">
        <v>4</v>
      </c>
      <c r="K182" s="2" t="s">
        <v>232</v>
      </c>
      <c r="L182" s="2" t="s">
        <v>82</v>
      </c>
      <c r="M182" s="38" t="str">
        <f t="shared" si="8"/>
        <v>25</v>
      </c>
      <c r="N182" s="38" t="str">
        <f t="shared" si="9"/>
        <v>07</v>
      </c>
      <c r="O182" s="50" t="s">
        <v>510</v>
      </c>
      <c r="P182" s="50" t="s">
        <v>486</v>
      </c>
      <c r="Q182" s="50">
        <v>1682</v>
      </c>
    </row>
    <row r="183" spans="1:17" ht="16" x14ac:dyDescent="0.45">
      <c r="A183" s="2" t="str">
        <f>IFERROR(VLOOKUP(B183,CODE!$B:$D,3,0),"-")</f>
        <v>SNS</v>
      </c>
      <c r="B183" s="2" t="str">
        <f>IF(L183="-",VLOOKUP(J183,CODE!$B:$D,2,0),L183)</f>
        <v>SNS</v>
      </c>
      <c r="C183" s="2" t="s">
        <v>445</v>
      </c>
      <c r="D183" s="2" t="s">
        <v>955</v>
      </c>
      <c r="E183" s="2" t="s">
        <v>280</v>
      </c>
      <c r="F183" s="2" t="s">
        <v>268</v>
      </c>
      <c r="G183" s="2" t="s">
        <v>269</v>
      </c>
      <c r="H183" s="2" t="s">
        <v>279</v>
      </c>
      <c r="I183" s="2" t="s">
        <v>451</v>
      </c>
      <c r="J183" s="2" t="s">
        <v>4</v>
      </c>
      <c r="K183" s="2" t="s">
        <v>232</v>
      </c>
      <c r="L183" s="2" t="s">
        <v>82</v>
      </c>
      <c r="M183" s="38" t="str">
        <f t="shared" si="8"/>
        <v>25</v>
      </c>
      <c r="N183" s="38" t="str">
        <f t="shared" si="9"/>
        <v>07</v>
      </c>
      <c r="O183" s="50" t="s">
        <v>511</v>
      </c>
      <c r="P183" s="50" t="s">
        <v>487</v>
      </c>
      <c r="Q183" s="50">
        <v>1121</v>
      </c>
    </row>
    <row r="184" spans="1:17" ht="16" x14ac:dyDescent="0.45">
      <c r="A184" s="2" t="str">
        <f>IFERROR(VLOOKUP(B184,CODE!$B:$D,3,0),"-")</f>
        <v>SNS</v>
      </c>
      <c r="B184" s="2" t="str">
        <f>IF(L184="-",VLOOKUP(J184,CODE!$B:$D,2,0),L184)</f>
        <v>SNS</v>
      </c>
      <c r="C184" s="2" t="s">
        <v>445</v>
      </c>
      <c r="D184" s="2" t="s">
        <v>955</v>
      </c>
      <c r="E184" s="2" t="s">
        <v>280</v>
      </c>
      <c r="F184" s="2" t="s">
        <v>268</v>
      </c>
      <c r="G184" s="2" t="s">
        <v>269</v>
      </c>
      <c r="H184" s="2" t="s">
        <v>279</v>
      </c>
      <c r="I184" s="2" t="s">
        <v>451</v>
      </c>
      <c r="J184" s="2" t="s">
        <v>4</v>
      </c>
      <c r="K184" s="2" t="s">
        <v>232</v>
      </c>
      <c r="L184" s="2" t="s">
        <v>82</v>
      </c>
      <c r="M184" s="38" t="str">
        <f t="shared" si="8"/>
        <v>25</v>
      </c>
      <c r="N184" s="38" t="str">
        <f t="shared" si="9"/>
        <v>07</v>
      </c>
      <c r="O184" s="50" t="s">
        <v>488</v>
      </c>
      <c r="P184" s="50" t="s">
        <v>512</v>
      </c>
      <c r="Q184" s="50">
        <v>2803</v>
      </c>
    </row>
    <row r="185" spans="1:17" ht="16" x14ac:dyDescent="0.45">
      <c r="A185" s="2" t="str">
        <f>IFERROR(VLOOKUP(B185,CODE!$B:$D,3,0),"-")</f>
        <v>포털</v>
      </c>
      <c r="B185" s="2" t="str">
        <f>IF(L185="-",VLOOKUP(J185,CODE!$B:$D,2,0),L185)</f>
        <v>포털</v>
      </c>
      <c r="C185" s="2" t="s">
        <v>445</v>
      </c>
      <c r="D185" s="2" t="s">
        <v>281</v>
      </c>
      <c r="E185" s="2" t="s">
        <v>282</v>
      </c>
      <c r="F185" s="2" t="s">
        <v>268</v>
      </c>
      <c r="G185" s="2" t="s">
        <v>283</v>
      </c>
      <c r="H185" s="2" t="s">
        <v>284</v>
      </c>
      <c r="I185" s="2" t="s">
        <v>229</v>
      </c>
      <c r="J185" s="2" t="s">
        <v>1</v>
      </c>
      <c r="K185" s="2" t="s">
        <v>228</v>
      </c>
      <c r="L185" s="2" t="s">
        <v>82</v>
      </c>
      <c r="M185" s="38" t="str">
        <f t="shared" si="8"/>
        <v>25</v>
      </c>
      <c r="N185" s="38" t="str">
        <f t="shared" si="9"/>
        <v>10</v>
      </c>
      <c r="O185" s="50" t="s">
        <v>502</v>
      </c>
      <c r="P185" s="50" t="s">
        <v>250</v>
      </c>
      <c r="Q185" s="50">
        <v>16388</v>
      </c>
    </row>
    <row r="186" spans="1:17" ht="16" x14ac:dyDescent="0.45">
      <c r="A186" s="2" t="str">
        <f>IFERROR(VLOOKUP(B186,CODE!$B:$D,3,0),"-")</f>
        <v>포털</v>
      </c>
      <c r="B186" s="2" t="str">
        <f>IF(L186="-",VLOOKUP(J186,CODE!$B:$D,2,0),L186)</f>
        <v>포털</v>
      </c>
      <c r="C186" s="2" t="s">
        <v>445</v>
      </c>
      <c r="D186" s="2" t="s">
        <v>281</v>
      </c>
      <c r="E186" s="2" t="s">
        <v>282</v>
      </c>
      <c r="F186" s="2" t="s">
        <v>268</v>
      </c>
      <c r="G186" s="2" t="s">
        <v>283</v>
      </c>
      <c r="H186" s="2" t="s">
        <v>284</v>
      </c>
      <c r="I186" s="2" t="s">
        <v>229</v>
      </c>
      <c r="J186" s="2" t="s">
        <v>1</v>
      </c>
      <c r="K186" s="2" t="s">
        <v>228</v>
      </c>
      <c r="L186" s="2" t="s">
        <v>82</v>
      </c>
      <c r="M186" s="38" t="str">
        <f t="shared" si="8"/>
        <v>25</v>
      </c>
      <c r="N186" s="38" t="str">
        <f t="shared" si="9"/>
        <v>10</v>
      </c>
      <c r="O186" s="50" t="s">
        <v>251</v>
      </c>
      <c r="P186" s="50" t="s">
        <v>252</v>
      </c>
      <c r="Q186" s="50">
        <v>22943</v>
      </c>
    </row>
    <row r="187" spans="1:17" ht="16" x14ac:dyDescent="0.45">
      <c r="A187" s="2" t="str">
        <f>IFERROR(VLOOKUP(B187,CODE!$B:$D,3,0),"-")</f>
        <v>포털</v>
      </c>
      <c r="B187" s="2" t="str">
        <f>IF(L187="-",VLOOKUP(J187,CODE!$B:$D,2,0),L187)</f>
        <v>포털</v>
      </c>
      <c r="C187" s="2" t="s">
        <v>445</v>
      </c>
      <c r="D187" s="2" t="s">
        <v>281</v>
      </c>
      <c r="E187" s="2" t="s">
        <v>282</v>
      </c>
      <c r="F187" s="2" t="s">
        <v>268</v>
      </c>
      <c r="G187" s="2" t="s">
        <v>283</v>
      </c>
      <c r="H187" s="2" t="s">
        <v>284</v>
      </c>
      <c r="I187" s="2" t="s">
        <v>229</v>
      </c>
      <c r="J187" s="2" t="s">
        <v>1</v>
      </c>
      <c r="K187" s="2" t="s">
        <v>228</v>
      </c>
      <c r="L187" s="2" t="s">
        <v>82</v>
      </c>
      <c r="M187" s="38" t="str">
        <f t="shared" ref="M187:M250" si="10">LEFT(O187,2)</f>
        <v>25</v>
      </c>
      <c r="N187" s="38" t="str">
        <f t="shared" ref="N187:N250" si="11">MID(O187,4,2)</f>
        <v>10</v>
      </c>
      <c r="O187" s="50" t="s">
        <v>407</v>
      </c>
      <c r="P187" s="50" t="s">
        <v>417</v>
      </c>
      <c r="Q187" s="50">
        <v>22943</v>
      </c>
    </row>
    <row r="188" spans="1:17" ht="16" x14ac:dyDescent="0.45">
      <c r="A188" s="2" t="str">
        <f>IFERROR(VLOOKUP(B188,CODE!$B:$D,3,0),"-")</f>
        <v>포털</v>
      </c>
      <c r="B188" s="2" t="str">
        <f>IF(L188="-",VLOOKUP(J188,CODE!$B:$D,2,0),L188)</f>
        <v>포털</v>
      </c>
      <c r="C188" s="2" t="s">
        <v>445</v>
      </c>
      <c r="D188" s="2" t="s">
        <v>281</v>
      </c>
      <c r="E188" s="2" t="s">
        <v>282</v>
      </c>
      <c r="F188" s="2" t="s">
        <v>268</v>
      </c>
      <c r="G188" s="2" t="s">
        <v>283</v>
      </c>
      <c r="H188" s="2" t="s">
        <v>284</v>
      </c>
      <c r="I188" s="2" t="s">
        <v>229</v>
      </c>
      <c r="J188" s="2" t="s">
        <v>1</v>
      </c>
      <c r="K188" s="2" t="s">
        <v>228</v>
      </c>
      <c r="L188" s="2" t="s">
        <v>82</v>
      </c>
      <c r="M188" s="38" t="str">
        <f t="shared" si="10"/>
        <v>25</v>
      </c>
      <c r="N188" s="38" t="str">
        <f t="shared" si="11"/>
        <v>10</v>
      </c>
      <c r="O188" s="50" t="s">
        <v>505</v>
      </c>
      <c r="P188" s="50" t="s">
        <v>503</v>
      </c>
      <c r="Q188" s="50">
        <v>22943</v>
      </c>
    </row>
    <row r="189" spans="1:17" ht="16" x14ac:dyDescent="0.45">
      <c r="A189" s="2" t="str">
        <f>IFERROR(VLOOKUP(B189,CODE!$B:$D,3,0),"-")</f>
        <v>포털</v>
      </c>
      <c r="B189" s="2" t="str">
        <f>IF(L189="-",VLOOKUP(J189,CODE!$B:$D,2,0),L189)</f>
        <v>포털</v>
      </c>
      <c r="C189" s="2" t="s">
        <v>445</v>
      </c>
      <c r="D189" s="2" t="s">
        <v>281</v>
      </c>
      <c r="E189" s="2" t="s">
        <v>282</v>
      </c>
      <c r="F189" s="2" t="s">
        <v>268</v>
      </c>
      <c r="G189" s="2" t="s">
        <v>283</v>
      </c>
      <c r="H189" s="2" t="s">
        <v>284</v>
      </c>
      <c r="I189" s="2" t="s">
        <v>229</v>
      </c>
      <c r="J189" s="2" t="s">
        <v>1</v>
      </c>
      <c r="K189" s="2" t="s">
        <v>228</v>
      </c>
      <c r="L189" s="2" t="s">
        <v>82</v>
      </c>
      <c r="M189" s="38" t="str">
        <f t="shared" si="10"/>
        <v>25</v>
      </c>
      <c r="N189" s="38" t="str">
        <f t="shared" si="11"/>
        <v>10</v>
      </c>
      <c r="O189" s="50" t="s">
        <v>408</v>
      </c>
      <c r="P189" s="50" t="s">
        <v>408</v>
      </c>
      <c r="Q189" s="50">
        <v>3278</v>
      </c>
    </row>
    <row r="190" spans="1:17" ht="16" x14ac:dyDescent="0.45">
      <c r="A190" s="2" t="str">
        <f>IFERROR(VLOOKUP(B190,CODE!$B:$D,3,0),"-")</f>
        <v>포털</v>
      </c>
      <c r="B190" s="2" t="str">
        <f>IF(L190="-",VLOOKUP(J190,CODE!$B:$D,2,0),L190)</f>
        <v>포털</v>
      </c>
      <c r="C190" s="2" t="s">
        <v>445</v>
      </c>
      <c r="D190" s="2" t="s">
        <v>281</v>
      </c>
      <c r="E190" s="2" t="s">
        <v>282</v>
      </c>
      <c r="F190" s="2" t="s">
        <v>268</v>
      </c>
      <c r="G190" s="2" t="s">
        <v>283</v>
      </c>
      <c r="H190" s="2" t="s">
        <v>284</v>
      </c>
      <c r="I190" s="2" t="s">
        <v>229</v>
      </c>
      <c r="J190" s="2" t="s">
        <v>1</v>
      </c>
      <c r="K190" s="2" t="s">
        <v>228</v>
      </c>
      <c r="L190" s="2" t="s">
        <v>82</v>
      </c>
      <c r="M190" s="38" t="str">
        <f t="shared" si="10"/>
        <v>25</v>
      </c>
      <c r="N190" s="38" t="str">
        <f t="shared" si="11"/>
        <v>10</v>
      </c>
      <c r="O190" s="50" t="s">
        <v>257</v>
      </c>
      <c r="P190" s="50" t="s">
        <v>513</v>
      </c>
      <c r="Q190" s="50">
        <v>16388</v>
      </c>
    </row>
    <row r="191" spans="1:17" ht="16" x14ac:dyDescent="0.45">
      <c r="A191" s="2" t="str">
        <f>IFERROR(VLOOKUP(B191,CODE!$B:$D,3,0),"-")</f>
        <v>포털</v>
      </c>
      <c r="B191" s="2" t="str">
        <f>IF(L191="-",VLOOKUP(J191,CODE!$B:$D,2,0),L191)</f>
        <v>포털</v>
      </c>
      <c r="C191" s="2" t="s">
        <v>445</v>
      </c>
      <c r="D191" s="2" t="s">
        <v>281</v>
      </c>
      <c r="E191" s="2" t="s">
        <v>282</v>
      </c>
      <c r="F191" s="2" t="s">
        <v>268</v>
      </c>
      <c r="G191" s="2" t="s">
        <v>283</v>
      </c>
      <c r="H191" s="2" t="s">
        <v>284</v>
      </c>
      <c r="I191" s="2" t="s">
        <v>229</v>
      </c>
      <c r="J191" s="2" t="s">
        <v>1</v>
      </c>
      <c r="K191" s="2" t="s">
        <v>228</v>
      </c>
      <c r="L191" s="2" t="s">
        <v>82</v>
      </c>
      <c r="M191" s="38" t="str">
        <f t="shared" si="10"/>
        <v>25</v>
      </c>
      <c r="N191" s="38" t="str">
        <f t="shared" si="11"/>
        <v>11</v>
      </c>
      <c r="O191" s="50" t="s">
        <v>514</v>
      </c>
      <c r="P191" s="50" t="s">
        <v>422</v>
      </c>
      <c r="Q191" s="50">
        <v>6555</v>
      </c>
    </row>
    <row r="192" spans="1:17" ht="16" x14ac:dyDescent="0.45">
      <c r="A192" s="2" t="str">
        <f>IFERROR(VLOOKUP(B192,CODE!$B:$D,3,0),"-")</f>
        <v>포털</v>
      </c>
      <c r="B192" s="2" t="str">
        <f>IF(L192="-",VLOOKUP(J192,CODE!$B:$D,2,0),L192)</f>
        <v>포털</v>
      </c>
      <c r="C192" s="2" t="s">
        <v>445</v>
      </c>
      <c r="D192" s="2" t="s">
        <v>281</v>
      </c>
      <c r="E192" s="2" t="s">
        <v>282</v>
      </c>
      <c r="F192" s="2" t="s">
        <v>268</v>
      </c>
      <c r="G192" s="2" t="s">
        <v>283</v>
      </c>
      <c r="H192" s="2" t="s">
        <v>284</v>
      </c>
      <c r="I192" s="2" t="s">
        <v>229</v>
      </c>
      <c r="J192" s="2" t="s">
        <v>1</v>
      </c>
      <c r="K192" s="2" t="s">
        <v>228</v>
      </c>
      <c r="L192" s="2" t="s">
        <v>82</v>
      </c>
      <c r="M192" s="38" t="str">
        <f t="shared" si="10"/>
        <v>25</v>
      </c>
      <c r="N192" s="38" t="str">
        <f t="shared" si="11"/>
        <v>11</v>
      </c>
      <c r="O192" s="50" t="s">
        <v>416</v>
      </c>
      <c r="P192" s="50" t="s">
        <v>416</v>
      </c>
      <c r="Q192" s="50">
        <v>3278</v>
      </c>
    </row>
    <row r="193" spans="1:17" ht="16" x14ac:dyDescent="0.45">
      <c r="A193" s="2" t="str">
        <f>IFERROR(VLOOKUP(B193,CODE!$B:$D,3,0),"-")</f>
        <v>포털</v>
      </c>
      <c r="B193" s="2" t="str">
        <f>IF(L193="-",VLOOKUP(J193,CODE!$B:$D,2,0),L193)</f>
        <v>포털</v>
      </c>
      <c r="C193" s="2" t="s">
        <v>445</v>
      </c>
      <c r="D193" s="2" t="s">
        <v>281</v>
      </c>
      <c r="E193" s="2" t="s">
        <v>282</v>
      </c>
      <c r="F193" s="2" t="s">
        <v>268</v>
      </c>
      <c r="G193" s="2" t="s">
        <v>283</v>
      </c>
      <c r="H193" s="2" t="s">
        <v>284</v>
      </c>
      <c r="I193" s="2" t="s">
        <v>229</v>
      </c>
      <c r="J193" s="2" t="s">
        <v>1</v>
      </c>
      <c r="K193" s="2" t="s">
        <v>228</v>
      </c>
      <c r="L193" s="2" t="s">
        <v>82</v>
      </c>
      <c r="M193" s="38" t="str">
        <f t="shared" si="10"/>
        <v>25</v>
      </c>
      <c r="N193" s="38" t="str">
        <f t="shared" si="11"/>
        <v>11</v>
      </c>
      <c r="O193" s="50" t="s">
        <v>515</v>
      </c>
      <c r="P193" s="50" t="s">
        <v>254</v>
      </c>
      <c r="Q193" s="50">
        <v>19666</v>
      </c>
    </row>
    <row r="194" spans="1:17" ht="16" x14ac:dyDescent="0.45">
      <c r="A194" s="2" t="str">
        <f>IFERROR(VLOOKUP(B194,CODE!$B:$D,3,0),"-")</f>
        <v>포털</v>
      </c>
      <c r="B194" s="2" t="str">
        <f>IF(L194="-",VLOOKUP(J194,CODE!$B:$D,2,0),L194)</f>
        <v>포털</v>
      </c>
      <c r="C194" s="2" t="s">
        <v>445</v>
      </c>
      <c r="D194" s="2" t="s">
        <v>281</v>
      </c>
      <c r="E194" s="2" t="s">
        <v>282</v>
      </c>
      <c r="F194" s="2" t="s">
        <v>268</v>
      </c>
      <c r="G194" s="2" t="s">
        <v>283</v>
      </c>
      <c r="H194" s="2" t="s">
        <v>284</v>
      </c>
      <c r="I194" s="2" t="s">
        <v>229</v>
      </c>
      <c r="J194" s="2" t="s">
        <v>1</v>
      </c>
      <c r="K194" s="2" t="s">
        <v>228</v>
      </c>
      <c r="L194" s="2" t="s">
        <v>82</v>
      </c>
      <c r="M194" s="38" t="str">
        <f t="shared" si="10"/>
        <v>25</v>
      </c>
      <c r="N194" s="38" t="str">
        <f t="shared" si="11"/>
        <v>11</v>
      </c>
      <c r="O194" s="50" t="s">
        <v>244</v>
      </c>
      <c r="P194" s="50" t="s">
        <v>245</v>
      </c>
      <c r="Q194" s="50">
        <v>22943</v>
      </c>
    </row>
    <row r="195" spans="1:17" ht="16" x14ac:dyDescent="0.45">
      <c r="A195" s="2" t="str">
        <f>IFERROR(VLOOKUP(B195,CODE!$B:$D,3,0),"-")</f>
        <v>포털</v>
      </c>
      <c r="B195" s="2" t="str">
        <f>IF(L195="-",VLOOKUP(J195,CODE!$B:$D,2,0),L195)</f>
        <v>포털</v>
      </c>
      <c r="C195" s="2" t="s">
        <v>445</v>
      </c>
      <c r="D195" s="2" t="s">
        <v>281</v>
      </c>
      <c r="E195" s="2" t="s">
        <v>282</v>
      </c>
      <c r="F195" s="2" t="s">
        <v>268</v>
      </c>
      <c r="G195" s="2" t="s">
        <v>283</v>
      </c>
      <c r="H195" s="2" t="s">
        <v>284</v>
      </c>
      <c r="I195" s="2" t="s">
        <v>229</v>
      </c>
      <c r="J195" s="2" t="s">
        <v>1</v>
      </c>
      <c r="K195" s="2" t="s">
        <v>228</v>
      </c>
      <c r="L195" s="2" t="s">
        <v>82</v>
      </c>
      <c r="M195" s="38" t="str">
        <f t="shared" si="10"/>
        <v>25</v>
      </c>
      <c r="N195" s="38" t="str">
        <f t="shared" si="11"/>
        <v>11</v>
      </c>
      <c r="O195" s="50" t="s">
        <v>246</v>
      </c>
      <c r="P195" s="50" t="s">
        <v>247</v>
      </c>
      <c r="Q195" s="50">
        <v>6555</v>
      </c>
    </row>
    <row r="196" spans="1:17" ht="16" x14ac:dyDescent="0.45">
      <c r="A196" s="2" t="str">
        <f>IFERROR(VLOOKUP(B196,CODE!$B:$D,3,0),"-")</f>
        <v>네트워크</v>
      </c>
      <c r="B196" s="2" t="str">
        <f>IF(L196="-",VLOOKUP(J196,CODE!$B:$D,2,0),L196)</f>
        <v>애드몹</v>
      </c>
      <c r="C196" s="2" t="s">
        <v>445</v>
      </c>
      <c r="D196" s="2" t="s">
        <v>281</v>
      </c>
      <c r="E196" s="2" t="s">
        <v>282</v>
      </c>
      <c r="F196" s="2" t="s">
        <v>268</v>
      </c>
      <c r="G196" s="2" t="s">
        <v>283</v>
      </c>
      <c r="H196" s="2" t="s">
        <v>284</v>
      </c>
      <c r="I196" s="2" t="s">
        <v>452</v>
      </c>
      <c r="J196" s="2" t="s">
        <v>60</v>
      </c>
      <c r="K196" s="2" t="s">
        <v>228</v>
      </c>
      <c r="L196" s="2" t="s">
        <v>97</v>
      </c>
      <c r="M196" s="38" t="str">
        <f t="shared" si="10"/>
        <v>25</v>
      </c>
      <c r="N196" s="38" t="str">
        <f t="shared" si="11"/>
        <v>08</v>
      </c>
      <c r="O196" s="50" t="s">
        <v>516</v>
      </c>
      <c r="P196" s="50" t="s">
        <v>516</v>
      </c>
      <c r="Q196" s="50">
        <v>354</v>
      </c>
    </row>
    <row r="197" spans="1:17" ht="16" x14ac:dyDescent="0.45">
      <c r="A197" s="2" t="str">
        <f>IFERROR(VLOOKUP(B197,CODE!$B:$D,3,0),"-")</f>
        <v>네트워크</v>
      </c>
      <c r="B197" s="2" t="str">
        <f>IF(L197="-",VLOOKUP(J197,CODE!$B:$D,2,0),L197)</f>
        <v>애드몹</v>
      </c>
      <c r="C197" s="2" t="s">
        <v>445</v>
      </c>
      <c r="D197" s="2" t="s">
        <v>281</v>
      </c>
      <c r="E197" s="2" t="s">
        <v>282</v>
      </c>
      <c r="F197" s="2" t="s">
        <v>268</v>
      </c>
      <c r="G197" s="2" t="s">
        <v>283</v>
      </c>
      <c r="H197" s="2" t="s">
        <v>284</v>
      </c>
      <c r="I197" s="2" t="s">
        <v>387</v>
      </c>
      <c r="J197" s="2" t="s">
        <v>73</v>
      </c>
      <c r="K197" s="2" t="s">
        <v>228</v>
      </c>
      <c r="L197" s="2" t="s">
        <v>97</v>
      </c>
      <c r="M197" s="38" t="str">
        <f t="shared" si="10"/>
        <v>25</v>
      </c>
      <c r="N197" s="38" t="str">
        <f t="shared" si="11"/>
        <v>08</v>
      </c>
      <c r="O197" s="50" t="s">
        <v>517</v>
      </c>
      <c r="P197" s="50" t="s">
        <v>517</v>
      </c>
      <c r="Q197" s="50">
        <v>1576</v>
      </c>
    </row>
    <row r="198" spans="1:17" ht="16" x14ac:dyDescent="0.45">
      <c r="A198" s="2" t="str">
        <f>IFERROR(VLOOKUP(B198,CODE!$B:$D,3,0),"-")</f>
        <v>네트워크</v>
      </c>
      <c r="B198" s="2" t="str">
        <f>IF(L198="-",VLOOKUP(J198,CODE!$B:$D,2,0),L198)</f>
        <v>애드몹</v>
      </c>
      <c r="C198" s="2" t="s">
        <v>445</v>
      </c>
      <c r="D198" s="2" t="s">
        <v>281</v>
      </c>
      <c r="E198" s="2" t="s">
        <v>282</v>
      </c>
      <c r="F198" s="2" t="s">
        <v>268</v>
      </c>
      <c r="G198" s="2" t="s">
        <v>283</v>
      </c>
      <c r="H198" s="2" t="s">
        <v>284</v>
      </c>
      <c r="I198" s="2" t="s">
        <v>453</v>
      </c>
      <c r="J198" s="2" t="s">
        <v>73</v>
      </c>
      <c r="K198" s="2" t="s">
        <v>232</v>
      </c>
      <c r="L198" s="2" t="s">
        <v>97</v>
      </c>
      <c r="M198" s="38" t="str">
        <f t="shared" si="10"/>
        <v>25</v>
      </c>
      <c r="N198" s="38" t="str">
        <f t="shared" si="11"/>
        <v>08</v>
      </c>
      <c r="O198" s="50" t="s">
        <v>493</v>
      </c>
      <c r="P198" s="50" t="s">
        <v>493</v>
      </c>
      <c r="Q198" s="50">
        <v>207</v>
      </c>
    </row>
    <row r="199" spans="1:17" ht="16" x14ac:dyDescent="0.45">
      <c r="A199" s="2" t="str">
        <f>IFERROR(VLOOKUP(B199,CODE!$B:$D,3,0),"-")</f>
        <v>네트워크</v>
      </c>
      <c r="B199" s="2" t="str">
        <f>IF(L199="-",VLOOKUP(J199,CODE!$B:$D,2,0),L199)</f>
        <v>애드몹</v>
      </c>
      <c r="C199" s="2" t="s">
        <v>445</v>
      </c>
      <c r="D199" s="2" t="s">
        <v>281</v>
      </c>
      <c r="E199" s="2" t="s">
        <v>282</v>
      </c>
      <c r="F199" s="2" t="s">
        <v>268</v>
      </c>
      <c r="G199" s="2" t="s">
        <v>283</v>
      </c>
      <c r="H199" s="2" t="s">
        <v>284</v>
      </c>
      <c r="I199" s="2" t="s">
        <v>454</v>
      </c>
      <c r="J199" s="2" t="s">
        <v>79</v>
      </c>
      <c r="K199" s="2" t="s">
        <v>232</v>
      </c>
      <c r="L199" s="2" t="s">
        <v>97</v>
      </c>
      <c r="M199" s="38" t="str">
        <f t="shared" si="10"/>
        <v>25</v>
      </c>
      <c r="N199" s="38" t="str">
        <f t="shared" si="11"/>
        <v>07</v>
      </c>
      <c r="O199" s="50" t="s">
        <v>434</v>
      </c>
      <c r="P199" s="50" t="s">
        <v>434</v>
      </c>
      <c r="Q199" s="50">
        <v>178</v>
      </c>
    </row>
    <row r="200" spans="1:17" ht="16" x14ac:dyDescent="0.45">
      <c r="A200" s="2" t="str">
        <f>IFERROR(VLOOKUP(B200,CODE!$B:$D,3,0),"-")</f>
        <v>네트워크</v>
      </c>
      <c r="B200" s="2" t="str">
        <f>IF(L200="-",VLOOKUP(J200,CODE!$B:$D,2,0),L200)</f>
        <v>카카오광고</v>
      </c>
      <c r="C200" s="2" t="s">
        <v>445</v>
      </c>
      <c r="D200" s="2" t="s">
        <v>281</v>
      </c>
      <c r="E200" s="2" t="s">
        <v>282</v>
      </c>
      <c r="F200" s="2" t="s">
        <v>268</v>
      </c>
      <c r="G200" s="2" t="s">
        <v>283</v>
      </c>
      <c r="H200" s="2" t="s">
        <v>284</v>
      </c>
      <c r="I200" s="2" t="s">
        <v>231</v>
      </c>
      <c r="J200" s="2" t="s">
        <v>76</v>
      </c>
      <c r="K200" s="2" t="s">
        <v>232</v>
      </c>
      <c r="L200" s="2" t="s">
        <v>83</v>
      </c>
      <c r="M200" s="38" t="str">
        <f t="shared" si="10"/>
        <v>25</v>
      </c>
      <c r="N200" s="38" t="str">
        <f t="shared" si="11"/>
        <v>09</v>
      </c>
      <c r="O200" s="50" t="s">
        <v>518</v>
      </c>
      <c r="P200" s="50" t="s">
        <v>519</v>
      </c>
      <c r="Q200" s="50">
        <v>35226</v>
      </c>
    </row>
    <row r="201" spans="1:17" ht="16" x14ac:dyDescent="0.45">
      <c r="A201" s="2" t="str">
        <f>IFERROR(VLOOKUP(B201,CODE!$B:$D,3,0),"-")</f>
        <v>네트워크</v>
      </c>
      <c r="B201" s="2" t="str">
        <f>IF(L201="-",VLOOKUP(J201,CODE!$B:$D,2,0),L201)</f>
        <v>카카오광고</v>
      </c>
      <c r="C201" s="2" t="s">
        <v>445</v>
      </c>
      <c r="D201" s="2" t="s">
        <v>281</v>
      </c>
      <c r="E201" s="2" t="s">
        <v>282</v>
      </c>
      <c r="F201" s="2" t="s">
        <v>268</v>
      </c>
      <c r="G201" s="2" t="s">
        <v>283</v>
      </c>
      <c r="H201" s="2" t="s">
        <v>284</v>
      </c>
      <c r="I201" s="2" t="s">
        <v>231</v>
      </c>
      <c r="J201" s="2" t="s">
        <v>76</v>
      </c>
      <c r="K201" s="2" t="s">
        <v>232</v>
      </c>
      <c r="L201" s="2" t="s">
        <v>83</v>
      </c>
      <c r="M201" s="38" t="str">
        <f t="shared" si="10"/>
        <v>25</v>
      </c>
      <c r="N201" s="38" t="str">
        <f t="shared" si="11"/>
        <v>09</v>
      </c>
      <c r="O201" s="50" t="s">
        <v>504</v>
      </c>
      <c r="P201" s="50" t="s">
        <v>444</v>
      </c>
      <c r="Q201" s="50">
        <v>52839</v>
      </c>
    </row>
    <row r="202" spans="1:17" ht="16" x14ac:dyDescent="0.45">
      <c r="A202" s="2" t="str">
        <f>IFERROR(VLOOKUP(B202,CODE!$B:$D,3,0),"-")</f>
        <v>네트워크</v>
      </c>
      <c r="B202" s="2" t="str">
        <f>IF(L202="-",VLOOKUP(J202,CODE!$B:$D,2,0),L202)</f>
        <v>카카오광고</v>
      </c>
      <c r="C202" s="2" t="s">
        <v>445</v>
      </c>
      <c r="D202" s="2" t="s">
        <v>281</v>
      </c>
      <c r="E202" s="2" t="s">
        <v>282</v>
      </c>
      <c r="F202" s="2" t="s">
        <v>268</v>
      </c>
      <c r="G202" s="2" t="s">
        <v>283</v>
      </c>
      <c r="H202" s="2" t="s">
        <v>284</v>
      </c>
      <c r="I202" s="2" t="s">
        <v>231</v>
      </c>
      <c r="J202" s="2" t="s">
        <v>76</v>
      </c>
      <c r="K202" s="2" t="s">
        <v>232</v>
      </c>
      <c r="L202" s="2" t="s">
        <v>83</v>
      </c>
      <c r="M202" s="38" t="str">
        <f t="shared" si="10"/>
        <v>25</v>
      </c>
      <c r="N202" s="38" t="str">
        <f t="shared" si="11"/>
        <v>11</v>
      </c>
      <c r="O202" s="50" t="s">
        <v>110</v>
      </c>
      <c r="P202" s="50" t="s">
        <v>110</v>
      </c>
      <c r="Q202" s="50">
        <v>8807</v>
      </c>
    </row>
    <row r="203" spans="1:17" ht="16" x14ac:dyDescent="0.45">
      <c r="A203" s="2" t="str">
        <f>IFERROR(VLOOKUP(B203,CODE!$B:$D,3,0),"-")</f>
        <v>네트워크</v>
      </c>
      <c r="B203" s="2" t="str">
        <f>IF(L203="-",VLOOKUP(J203,CODE!$B:$D,2,0),L203)</f>
        <v>카카오광고</v>
      </c>
      <c r="C203" s="2" t="s">
        <v>445</v>
      </c>
      <c r="D203" s="2" t="s">
        <v>281</v>
      </c>
      <c r="E203" s="2" t="s">
        <v>282</v>
      </c>
      <c r="F203" s="2" t="s">
        <v>268</v>
      </c>
      <c r="G203" s="2" t="s">
        <v>283</v>
      </c>
      <c r="H203" s="2" t="s">
        <v>284</v>
      </c>
      <c r="I203" s="2" t="s">
        <v>231</v>
      </c>
      <c r="J203" s="2" t="s">
        <v>76</v>
      </c>
      <c r="K203" s="2" t="s">
        <v>232</v>
      </c>
      <c r="L203" s="2" t="s">
        <v>83</v>
      </c>
      <c r="M203" s="38" t="str">
        <f t="shared" si="10"/>
        <v>25</v>
      </c>
      <c r="N203" s="38" t="str">
        <f t="shared" si="11"/>
        <v>12</v>
      </c>
      <c r="O203" s="50" t="s">
        <v>520</v>
      </c>
      <c r="P203" s="50" t="s">
        <v>443</v>
      </c>
      <c r="Q203" s="50">
        <v>14342</v>
      </c>
    </row>
    <row r="204" spans="1:17" ht="16" x14ac:dyDescent="0.45">
      <c r="A204" s="2" t="str">
        <f>IFERROR(VLOOKUP(B204,CODE!$B:$D,3,0),"-")</f>
        <v>네트워크</v>
      </c>
      <c r="B204" s="2" t="str">
        <f>IF(L204="-",VLOOKUP(J204,CODE!$B:$D,2,0),L204)</f>
        <v>카카오광고</v>
      </c>
      <c r="C204" s="2" t="s">
        <v>445</v>
      </c>
      <c r="D204" s="2" t="s">
        <v>281</v>
      </c>
      <c r="E204" s="2" t="s">
        <v>282</v>
      </c>
      <c r="F204" s="2" t="s">
        <v>268</v>
      </c>
      <c r="G204" s="2" t="s">
        <v>283</v>
      </c>
      <c r="H204" s="2" t="s">
        <v>284</v>
      </c>
      <c r="I204" s="2" t="s">
        <v>231</v>
      </c>
      <c r="J204" s="2" t="s">
        <v>76</v>
      </c>
      <c r="K204" s="2" t="s">
        <v>232</v>
      </c>
      <c r="L204" s="2" t="s">
        <v>83</v>
      </c>
      <c r="M204" s="38" t="str">
        <f t="shared" si="10"/>
        <v>25</v>
      </c>
      <c r="N204" s="38" t="str">
        <f t="shared" si="11"/>
        <v>12</v>
      </c>
      <c r="O204" s="50" t="s">
        <v>406</v>
      </c>
      <c r="P204" s="50" t="s">
        <v>406</v>
      </c>
      <c r="Q204" s="50">
        <v>4781</v>
      </c>
    </row>
    <row r="205" spans="1:17" ht="16" x14ac:dyDescent="0.45">
      <c r="A205" s="2" t="str">
        <f>IFERROR(VLOOKUP(B205,CODE!$B:$D,3,0),"-")</f>
        <v>네트워크</v>
      </c>
      <c r="B205" s="2" t="str">
        <f>IF(L205="-",VLOOKUP(J205,CODE!$B:$D,2,0),L205)</f>
        <v>애드몹</v>
      </c>
      <c r="C205" s="2" t="s">
        <v>445</v>
      </c>
      <c r="D205" s="2" t="s">
        <v>281</v>
      </c>
      <c r="E205" s="2" t="s">
        <v>282</v>
      </c>
      <c r="F205" s="2" t="s">
        <v>268</v>
      </c>
      <c r="G205" s="2" t="s">
        <v>283</v>
      </c>
      <c r="H205" s="2" t="s">
        <v>284</v>
      </c>
      <c r="I205" s="2" t="s">
        <v>455</v>
      </c>
      <c r="J205" s="2" t="s">
        <v>3</v>
      </c>
      <c r="K205" s="2" t="s">
        <v>228</v>
      </c>
      <c r="L205" s="2" t="s">
        <v>97</v>
      </c>
      <c r="M205" s="38" t="str">
        <f t="shared" si="10"/>
        <v>25</v>
      </c>
      <c r="N205" s="38" t="str">
        <f t="shared" si="11"/>
        <v>09</v>
      </c>
      <c r="O205" s="50" t="s">
        <v>521</v>
      </c>
      <c r="P205" s="50" t="s">
        <v>521</v>
      </c>
      <c r="Q205" s="50">
        <v>182</v>
      </c>
    </row>
    <row r="206" spans="1:17" ht="16" x14ac:dyDescent="0.45">
      <c r="A206" s="2" t="str">
        <f>IFERROR(VLOOKUP(B206,CODE!$B:$D,3,0),"-")</f>
        <v>네트워크</v>
      </c>
      <c r="B206" s="2" t="str">
        <f>IF(L206="-",VLOOKUP(J206,CODE!$B:$D,2,0),L206)</f>
        <v>애드몹</v>
      </c>
      <c r="C206" s="2" t="s">
        <v>445</v>
      </c>
      <c r="D206" s="2" t="s">
        <v>281</v>
      </c>
      <c r="E206" s="2" t="s">
        <v>282</v>
      </c>
      <c r="F206" s="2" t="s">
        <v>268</v>
      </c>
      <c r="G206" s="2" t="s">
        <v>283</v>
      </c>
      <c r="H206" s="2" t="s">
        <v>284</v>
      </c>
      <c r="I206" s="2" t="s">
        <v>456</v>
      </c>
      <c r="J206" s="2" t="s">
        <v>73</v>
      </c>
      <c r="K206" s="2" t="s">
        <v>232</v>
      </c>
      <c r="L206" s="2" t="s">
        <v>97</v>
      </c>
      <c r="M206" s="38" t="str">
        <f t="shared" si="10"/>
        <v>25</v>
      </c>
      <c r="N206" s="38" t="str">
        <f t="shared" si="11"/>
        <v>07</v>
      </c>
      <c r="O206" s="50" t="s">
        <v>433</v>
      </c>
      <c r="P206" s="50" t="s">
        <v>433</v>
      </c>
      <c r="Q206" s="50">
        <v>178</v>
      </c>
    </row>
    <row r="207" spans="1:17" ht="16" x14ac:dyDescent="0.45">
      <c r="A207" s="2" t="str">
        <f>IFERROR(VLOOKUP(B207,CODE!$B:$D,3,0),"-")</f>
        <v>네트워크</v>
      </c>
      <c r="B207" s="2" t="str">
        <f>IF(L207="-",VLOOKUP(J207,CODE!$B:$D,2,0),L207)</f>
        <v>버즈빌</v>
      </c>
      <c r="C207" s="2" t="s">
        <v>445</v>
      </c>
      <c r="D207" s="2" t="s">
        <v>281</v>
      </c>
      <c r="E207" s="2" t="s">
        <v>282</v>
      </c>
      <c r="F207" s="2" t="s">
        <v>268</v>
      </c>
      <c r="G207" s="2" t="s">
        <v>283</v>
      </c>
      <c r="H207" s="2" t="s">
        <v>284</v>
      </c>
      <c r="I207" s="2" t="s">
        <v>233</v>
      </c>
      <c r="J207" s="2" t="s">
        <v>2</v>
      </c>
      <c r="K207" s="2" t="s">
        <v>232</v>
      </c>
      <c r="L207" s="2" t="s">
        <v>233</v>
      </c>
      <c r="M207" s="38" t="str">
        <f t="shared" si="10"/>
        <v>25</v>
      </c>
      <c r="N207" s="38" t="str">
        <f t="shared" si="11"/>
        <v>09</v>
      </c>
      <c r="O207" s="50" t="s">
        <v>522</v>
      </c>
      <c r="P207" s="50" t="s">
        <v>523</v>
      </c>
      <c r="Q207" s="50">
        <v>1359</v>
      </c>
    </row>
    <row r="208" spans="1:17" ht="16" x14ac:dyDescent="0.45">
      <c r="A208" s="2" t="str">
        <f>IFERROR(VLOOKUP(B208,CODE!$B:$D,3,0),"-")</f>
        <v>네트워크</v>
      </c>
      <c r="B208" s="2" t="str">
        <f>IF(L208="-",VLOOKUP(J208,CODE!$B:$D,2,0),L208)</f>
        <v>버즈빌</v>
      </c>
      <c r="C208" s="2" t="s">
        <v>445</v>
      </c>
      <c r="D208" s="2" t="s">
        <v>281</v>
      </c>
      <c r="E208" s="2" t="s">
        <v>282</v>
      </c>
      <c r="F208" s="2" t="s">
        <v>268</v>
      </c>
      <c r="G208" s="2" t="s">
        <v>283</v>
      </c>
      <c r="H208" s="2" t="s">
        <v>284</v>
      </c>
      <c r="I208" s="2" t="s">
        <v>233</v>
      </c>
      <c r="J208" s="2" t="s">
        <v>2</v>
      </c>
      <c r="K208" s="2" t="s">
        <v>232</v>
      </c>
      <c r="L208" s="2" t="s">
        <v>233</v>
      </c>
      <c r="M208" s="38" t="str">
        <f t="shared" si="10"/>
        <v>25</v>
      </c>
      <c r="N208" s="38" t="str">
        <f t="shared" si="11"/>
        <v>09</v>
      </c>
      <c r="O208" s="50" t="s">
        <v>521</v>
      </c>
      <c r="P208" s="50" t="s">
        <v>521</v>
      </c>
      <c r="Q208" s="50">
        <v>680</v>
      </c>
    </row>
    <row r="209" spans="1:17" ht="16" x14ac:dyDescent="0.45">
      <c r="A209" s="2" t="str">
        <f>IFERROR(VLOOKUP(B209,CODE!$B:$D,3,0),"-")</f>
        <v>네트워크</v>
      </c>
      <c r="B209" s="2" t="str">
        <f>IF(L209="-",VLOOKUP(J209,CODE!$B:$D,2,0),L209)</f>
        <v>버즈빌</v>
      </c>
      <c r="C209" s="2" t="s">
        <v>445</v>
      </c>
      <c r="D209" s="2" t="s">
        <v>281</v>
      </c>
      <c r="E209" s="2" t="s">
        <v>282</v>
      </c>
      <c r="F209" s="2" t="s">
        <v>268</v>
      </c>
      <c r="G209" s="2" t="s">
        <v>283</v>
      </c>
      <c r="H209" s="2" t="s">
        <v>284</v>
      </c>
      <c r="I209" s="2" t="s">
        <v>233</v>
      </c>
      <c r="J209" s="2" t="s">
        <v>2</v>
      </c>
      <c r="K209" s="2" t="s">
        <v>232</v>
      </c>
      <c r="L209" s="2" t="s">
        <v>233</v>
      </c>
      <c r="M209" s="38" t="str">
        <f t="shared" si="10"/>
        <v>25</v>
      </c>
      <c r="N209" s="38" t="str">
        <f t="shared" si="11"/>
        <v>10</v>
      </c>
      <c r="O209" s="50" t="s">
        <v>428</v>
      </c>
      <c r="P209" s="50" t="s">
        <v>405</v>
      </c>
      <c r="Q209" s="50">
        <v>1359</v>
      </c>
    </row>
    <row r="210" spans="1:17" ht="16" x14ac:dyDescent="0.45">
      <c r="A210" s="2" t="str">
        <f>IFERROR(VLOOKUP(B210,CODE!$B:$D,3,0),"-")</f>
        <v>네트워크</v>
      </c>
      <c r="B210" s="2" t="str">
        <f>IF(L210="-",VLOOKUP(J210,CODE!$B:$D,2,0),L210)</f>
        <v>버즈빌</v>
      </c>
      <c r="C210" s="2" t="s">
        <v>445</v>
      </c>
      <c r="D210" s="2" t="s">
        <v>281</v>
      </c>
      <c r="E210" s="2" t="s">
        <v>282</v>
      </c>
      <c r="F210" s="2" t="s">
        <v>268</v>
      </c>
      <c r="G210" s="2" t="s">
        <v>283</v>
      </c>
      <c r="H210" s="2" t="s">
        <v>284</v>
      </c>
      <c r="I210" s="2" t="s">
        <v>233</v>
      </c>
      <c r="J210" s="2" t="s">
        <v>2</v>
      </c>
      <c r="K210" s="2" t="s">
        <v>232</v>
      </c>
      <c r="L210" s="2" t="s">
        <v>233</v>
      </c>
      <c r="M210" s="38" t="str">
        <f t="shared" si="10"/>
        <v>26</v>
      </c>
      <c r="N210" s="38" t="str">
        <f t="shared" si="11"/>
        <v>01</v>
      </c>
      <c r="O210" s="50" t="s">
        <v>220</v>
      </c>
      <c r="P210" s="50" t="s">
        <v>524</v>
      </c>
      <c r="Q210" s="50">
        <v>1573</v>
      </c>
    </row>
    <row r="211" spans="1:17" ht="16" x14ac:dyDescent="0.45">
      <c r="A211" s="2" t="str">
        <f>IFERROR(VLOOKUP(B211,CODE!$B:$D,3,0),"-")</f>
        <v>SNS</v>
      </c>
      <c r="B211" s="2" t="str">
        <f>IF(L211="-",VLOOKUP(J211,CODE!$B:$D,2,0),L211)</f>
        <v>SNS</v>
      </c>
      <c r="C211" s="2" t="s">
        <v>445</v>
      </c>
      <c r="D211" s="2" t="s">
        <v>281</v>
      </c>
      <c r="E211" s="2" t="s">
        <v>282</v>
      </c>
      <c r="F211" s="2" t="s">
        <v>268</v>
      </c>
      <c r="G211" s="2" t="s">
        <v>283</v>
      </c>
      <c r="H211" s="2" t="s">
        <v>284</v>
      </c>
      <c r="I211" s="2" t="s">
        <v>451</v>
      </c>
      <c r="J211" s="2" t="s">
        <v>4</v>
      </c>
      <c r="K211" s="2" t="s">
        <v>232</v>
      </c>
      <c r="L211" s="2" t="s">
        <v>82</v>
      </c>
      <c r="M211" s="38" t="str">
        <f t="shared" si="10"/>
        <v>25</v>
      </c>
      <c r="N211" s="38" t="str">
        <f t="shared" si="11"/>
        <v>09</v>
      </c>
      <c r="O211" s="50" t="s">
        <v>518</v>
      </c>
      <c r="P211" s="50" t="s">
        <v>525</v>
      </c>
      <c r="Q211" s="50">
        <v>2564</v>
      </c>
    </row>
    <row r="212" spans="1:17" ht="16" x14ac:dyDescent="0.45">
      <c r="A212" s="2" t="str">
        <f>IFERROR(VLOOKUP(B212,CODE!$B:$D,3,0),"-")</f>
        <v>SNS</v>
      </c>
      <c r="B212" s="2" t="str">
        <f>IF(L212="-",VLOOKUP(J212,CODE!$B:$D,2,0),L212)</f>
        <v>SNS</v>
      </c>
      <c r="C212" s="2" t="s">
        <v>445</v>
      </c>
      <c r="D212" s="2" t="s">
        <v>281</v>
      </c>
      <c r="E212" s="2" t="s">
        <v>282</v>
      </c>
      <c r="F212" s="2" t="s">
        <v>268</v>
      </c>
      <c r="G212" s="2" t="s">
        <v>283</v>
      </c>
      <c r="H212" s="2" t="s">
        <v>284</v>
      </c>
      <c r="I212" s="2" t="s">
        <v>451</v>
      </c>
      <c r="J212" s="2" t="s">
        <v>4</v>
      </c>
      <c r="K212" s="2" t="s">
        <v>232</v>
      </c>
      <c r="L212" s="2" t="s">
        <v>82</v>
      </c>
      <c r="M212" s="38" t="str">
        <f t="shared" si="10"/>
        <v>25</v>
      </c>
      <c r="N212" s="38" t="str">
        <f t="shared" si="11"/>
        <v>12</v>
      </c>
      <c r="O212" s="50" t="s">
        <v>443</v>
      </c>
      <c r="P212" s="50" t="s">
        <v>406</v>
      </c>
      <c r="Q212" s="50">
        <v>3831</v>
      </c>
    </row>
    <row r="213" spans="1:17" ht="16" x14ac:dyDescent="0.45">
      <c r="A213" s="2" t="str">
        <f>IFERROR(VLOOKUP(B213,CODE!$B:$D,3,0),"-")</f>
        <v>네트워크</v>
      </c>
      <c r="B213" s="2" t="str">
        <f>IF(L213="-",VLOOKUP(J213,CODE!$B:$D,2,0),L213)</f>
        <v>애드몹</v>
      </c>
      <c r="C213" s="2" t="s">
        <v>445</v>
      </c>
      <c r="D213" s="2" t="s">
        <v>281</v>
      </c>
      <c r="E213" s="2" t="s">
        <v>282</v>
      </c>
      <c r="F213" s="2" t="s">
        <v>268</v>
      </c>
      <c r="G213" s="2" t="s">
        <v>283</v>
      </c>
      <c r="H213" s="2" t="s">
        <v>284</v>
      </c>
      <c r="I213" s="2" t="s">
        <v>457</v>
      </c>
      <c r="J213" s="2" t="s">
        <v>73</v>
      </c>
      <c r="K213" s="2" t="s">
        <v>232</v>
      </c>
      <c r="L213" s="2" t="s">
        <v>97</v>
      </c>
      <c r="M213" s="38" t="str">
        <f t="shared" si="10"/>
        <v>25</v>
      </c>
      <c r="N213" s="38" t="str">
        <f t="shared" si="11"/>
        <v>07</v>
      </c>
      <c r="O213" s="50" t="s">
        <v>432</v>
      </c>
      <c r="P213" s="50" t="s">
        <v>432</v>
      </c>
      <c r="Q213" s="50">
        <v>178</v>
      </c>
    </row>
    <row r="214" spans="1:17" ht="16" x14ac:dyDescent="0.45">
      <c r="A214" s="2" t="str">
        <f>IFERROR(VLOOKUP(B214,CODE!$B:$D,3,0),"-")</f>
        <v>네트워크</v>
      </c>
      <c r="B214" s="2" t="str">
        <f>IF(L214="-",VLOOKUP(J214,CODE!$B:$D,2,0),L214)</f>
        <v>애드몹</v>
      </c>
      <c r="C214" s="2" t="s">
        <v>445</v>
      </c>
      <c r="D214" s="2" t="s">
        <v>281</v>
      </c>
      <c r="E214" s="2" t="s">
        <v>282</v>
      </c>
      <c r="F214" s="2" t="s">
        <v>268</v>
      </c>
      <c r="G214" s="2" t="s">
        <v>283</v>
      </c>
      <c r="H214" s="2" t="s">
        <v>284</v>
      </c>
      <c r="I214" s="2" t="s">
        <v>458</v>
      </c>
      <c r="J214" s="2" t="s">
        <v>73</v>
      </c>
      <c r="K214" s="2" t="s">
        <v>232</v>
      </c>
      <c r="L214" s="2" t="s">
        <v>97</v>
      </c>
      <c r="M214" s="38" t="str">
        <f t="shared" si="10"/>
        <v>25</v>
      </c>
      <c r="N214" s="38" t="str">
        <f t="shared" si="11"/>
        <v>08</v>
      </c>
      <c r="O214" s="50" t="s">
        <v>526</v>
      </c>
      <c r="P214" s="50" t="s">
        <v>526</v>
      </c>
      <c r="Q214" s="50">
        <v>207</v>
      </c>
    </row>
    <row r="215" spans="1:17" ht="16" x14ac:dyDescent="0.45">
      <c r="A215" s="2" t="str">
        <f>IFERROR(VLOOKUP(B215,CODE!$B:$D,3,0),"-")</f>
        <v>네트워크</v>
      </c>
      <c r="B215" s="2" t="str">
        <f>IF(L215="-",VLOOKUP(J215,CODE!$B:$D,2,0),L215)</f>
        <v>애드몹</v>
      </c>
      <c r="C215" s="2" t="s">
        <v>445</v>
      </c>
      <c r="D215" s="2" t="s">
        <v>281</v>
      </c>
      <c r="E215" s="2" t="s">
        <v>282</v>
      </c>
      <c r="F215" s="2" t="s">
        <v>268</v>
      </c>
      <c r="G215" s="2" t="s">
        <v>283</v>
      </c>
      <c r="H215" s="2" t="s">
        <v>284</v>
      </c>
      <c r="I215" s="2" t="s">
        <v>392</v>
      </c>
      <c r="J215" s="2" t="s">
        <v>7</v>
      </c>
      <c r="K215" s="2" t="s">
        <v>228</v>
      </c>
      <c r="L215" s="2" t="s">
        <v>97</v>
      </c>
      <c r="M215" s="38" t="str">
        <f t="shared" si="10"/>
        <v>25</v>
      </c>
      <c r="N215" s="38" t="str">
        <f t="shared" si="11"/>
        <v>07</v>
      </c>
      <c r="O215" s="50" t="s">
        <v>527</v>
      </c>
      <c r="P215" s="50" t="s">
        <v>527</v>
      </c>
      <c r="Q215" s="50">
        <v>290</v>
      </c>
    </row>
    <row r="216" spans="1:17" ht="16" x14ac:dyDescent="0.45">
      <c r="A216" s="2" t="str">
        <f>IFERROR(VLOOKUP(B216,CODE!$B:$D,3,0),"-")</f>
        <v>네트워크</v>
      </c>
      <c r="B216" s="2" t="str">
        <f>IF(L216="-",VLOOKUP(J216,CODE!$B:$D,2,0),L216)</f>
        <v>애드몹</v>
      </c>
      <c r="C216" s="2" t="s">
        <v>445</v>
      </c>
      <c r="D216" s="2" t="s">
        <v>281</v>
      </c>
      <c r="E216" s="2" t="s">
        <v>282</v>
      </c>
      <c r="F216" s="2" t="s">
        <v>268</v>
      </c>
      <c r="G216" s="2" t="s">
        <v>283</v>
      </c>
      <c r="H216" s="2" t="s">
        <v>284</v>
      </c>
      <c r="I216" s="2" t="s">
        <v>392</v>
      </c>
      <c r="J216" s="2" t="s">
        <v>7</v>
      </c>
      <c r="K216" s="2" t="s">
        <v>228</v>
      </c>
      <c r="L216" s="2" t="s">
        <v>97</v>
      </c>
      <c r="M216" s="38" t="str">
        <f t="shared" si="10"/>
        <v>25</v>
      </c>
      <c r="N216" s="38" t="str">
        <f t="shared" si="11"/>
        <v>08</v>
      </c>
      <c r="O216" s="50" t="s">
        <v>528</v>
      </c>
      <c r="P216" s="50" t="s">
        <v>528</v>
      </c>
      <c r="Q216" s="50">
        <v>337</v>
      </c>
    </row>
    <row r="217" spans="1:17" ht="16" x14ac:dyDescent="0.45">
      <c r="A217" s="2" t="str">
        <f>IFERROR(VLOOKUP(B217,CODE!$B:$D,3,0),"-")</f>
        <v>네트워크</v>
      </c>
      <c r="B217" s="2" t="str">
        <f>IF(L217="-",VLOOKUP(J217,CODE!$B:$D,2,0),L217)</f>
        <v>NAPDSP</v>
      </c>
      <c r="C217" s="2" t="s">
        <v>445</v>
      </c>
      <c r="D217" s="2" t="s">
        <v>281</v>
      </c>
      <c r="E217" s="2" t="s">
        <v>282</v>
      </c>
      <c r="F217" s="2" t="s">
        <v>268</v>
      </c>
      <c r="G217" s="2" t="s">
        <v>283</v>
      </c>
      <c r="H217" s="2" t="s">
        <v>284</v>
      </c>
      <c r="I217" s="2" t="s">
        <v>459</v>
      </c>
      <c r="J217" s="2" t="s">
        <v>2</v>
      </c>
      <c r="K217" s="2" t="s">
        <v>232</v>
      </c>
      <c r="L217" s="2" t="s">
        <v>459</v>
      </c>
      <c r="M217" s="38" t="str">
        <f t="shared" si="10"/>
        <v>25</v>
      </c>
      <c r="N217" s="38" t="str">
        <f t="shared" si="11"/>
        <v>07</v>
      </c>
      <c r="O217" s="50" t="s">
        <v>484</v>
      </c>
      <c r="P217" s="50" t="s">
        <v>487</v>
      </c>
      <c r="Q217" s="50">
        <v>26812</v>
      </c>
    </row>
    <row r="218" spans="1:17" ht="16" x14ac:dyDescent="0.45">
      <c r="A218" s="2" t="str">
        <f>IFERROR(VLOOKUP(B218,CODE!$B:$D,3,0),"-")</f>
        <v>네트워크</v>
      </c>
      <c r="B218" s="2" t="str">
        <f>IF(L218="-",VLOOKUP(J218,CODE!$B:$D,2,0),L218)</f>
        <v>NAPDSP</v>
      </c>
      <c r="C218" s="2" t="s">
        <v>445</v>
      </c>
      <c r="D218" s="2" t="s">
        <v>281</v>
      </c>
      <c r="E218" s="2" t="s">
        <v>282</v>
      </c>
      <c r="F218" s="2" t="s">
        <v>268</v>
      </c>
      <c r="G218" s="2" t="s">
        <v>283</v>
      </c>
      <c r="H218" s="2" t="s">
        <v>284</v>
      </c>
      <c r="I218" s="2" t="s">
        <v>459</v>
      </c>
      <c r="J218" s="2" t="s">
        <v>2</v>
      </c>
      <c r="K218" s="2" t="s">
        <v>232</v>
      </c>
      <c r="L218" s="2" t="s">
        <v>459</v>
      </c>
      <c r="M218" s="38" t="str">
        <f t="shared" si="10"/>
        <v>25</v>
      </c>
      <c r="N218" s="38" t="str">
        <f t="shared" si="11"/>
        <v>07</v>
      </c>
      <c r="O218" s="50" t="s">
        <v>488</v>
      </c>
      <c r="P218" s="50" t="s">
        <v>488</v>
      </c>
      <c r="Q218" s="50">
        <v>3832</v>
      </c>
    </row>
    <row r="219" spans="1:17" ht="16" x14ac:dyDescent="0.45">
      <c r="A219" s="2" t="str">
        <f>IFERROR(VLOOKUP(B219,CODE!$B:$D,3,0),"-")</f>
        <v>네트워크</v>
      </c>
      <c r="B219" s="2" t="str">
        <f>IF(L219="-",VLOOKUP(J219,CODE!$B:$D,2,0),L219)</f>
        <v>NAPDSP</v>
      </c>
      <c r="C219" s="2" t="s">
        <v>445</v>
      </c>
      <c r="D219" s="2" t="s">
        <v>281</v>
      </c>
      <c r="E219" s="2" t="s">
        <v>282</v>
      </c>
      <c r="F219" s="2" t="s">
        <v>268</v>
      </c>
      <c r="G219" s="2" t="s">
        <v>283</v>
      </c>
      <c r="H219" s="2" t="s">
        <v>284</v>
      </c>
      <c r="I219" s="2" t="s">
        <v>459</v>
      </c>
      <c r="J219" s="2" t="s">
        <v>2</v>
      </c>
      <c r="K219" s="2" t="s">
        <v>232</v>
      </c>
      <c r="L219" s="2" t="s">
        <v>459</v>
      </c>
      <c r="M219" s="38" t="str">
        <f t="shared" si="10"/>
        <v>25</v>
      </c>
      <c r="N219" s="38" t="str">
        <f t="shared" si="11"/>
        <v>08</v>
      </c>
      <c r="O219" s="50" t="s">
        <v>492</v>
      </c>
      <c r="P219" s="50" t="s">
        <v>495</v>
      </c>
      <c r="Q219" s="50">
        <v>26812</v>
      </c>
    </row>
    <row r="220" spans="1:17" ht="16" x14ac:dyDescent="0.45">
      <c r="A220" s="2" t="str">
        <f>IFERROR(VLOOKUP(B220,CODE!$B:$D,3,0),"-")</f>
        <v>네트워크</v>
      </c>
      <c r="B220" s="2" t="str">
        <f>IF(L220="-",VLOOKUP(J220,CODE!$B:$D,2,0),L220)</f>
        <v>NAPDSP</v>
      </c>
      <c r="C220" s="2" t="s">
        <v>445</v>
      </c>
      <c r="D220" s="2" t="s">
        <v>281</v>
      </c>
      <c r="E220" s="2" t="s">
        <v>282</v>
      </c>
      <c r="F220" s="2" t="s">
        <v>268</v>
      </c>
      <c r="G220" s="2" t="s">
        <v>283</v>
      </c>
      <c r="H220" s="2" t="s">
        <v>284</v>
      </c>
      <c r="I220" s="2" t="s">
        <v>459</v>
      </c>
      <c r="J220" s="2" t="s">
        <v>2</v>
      </c>
      <c r="K220" s="2" t="s">
        <v>232</v>
      </c>
      <c r="L220" s="2" t="s">
        <v>459</v>
      </c>
      <c r="M220" s="38" t="str">
        <f t="shared" si="10"/>
        <v>25</v>
      </c>
      <c r="N220" s="38" t="str">
        <f t="shared" si="11"/>
        <v>08</v>
      </c>
      <c r="O220" s="50" t="s">
        <v>529</v>
      </c>
      <c r="P220" s="50" t="s">
        <v>516</v>
      </c>
      <c r="Q220" s="50">
        <v>11492</v>
      </c>
    </row>
    <row r="221" spans="1:17" ht="16" x14ac:dyDescent="0.45">
      <c r="A221" s="2" t="str">
        <f>IFERROR(VLOOKUP(B221,CODE!$B:$D,3,0),"-")</f>
        <v>네트워크</v>
      </c>
      <c r="B221" s="2" t="str">
        <f>IF(L221="-",VLOOKUP(J221,CODE!$B:$D,2,0),L221)</f>
        <v>애드몹</v>
      </c>
      <c r="C221" s="2" t="s">
        <v>445</v>
      </c>
      <c r="D221" s="2" t="s">
        <v>281</v>
      </c>
      <c r="E221" s="2" t="s">
        <v>282</v>
      </c>
      <c r="F221" s="2" t="s">
        <v>268</v>
      </c>
      <c r="G221" s="2" t="s">
        <v>283</v>
      </c>
      <c r="H221" s="2" t="s">
        <v>284</v>
      </c>
      <c r="I221" s="2" t="s">
        <v>460</v>
      </c>
      <c r="J221" s="2" t="s">
        <v>78</v>
      </c>
      <c r="K221" s="2" t="s">
        <v>232</v>
      </c>
      <c r="L221" s="2" t="s">
        <v>97</v>
      </c>
      <c r="M221" s="38" t="str">
        <f t="shared" si="10"/>
        <v>25</v>
      </c>
      <c r="N221" s="38" t="str">
        <f t="shared" si="11"/>
        <v>07</v>
      </c>
      <c r="O221" s="50" t="s">
        <v>432</v>
      </c>
      <c r="P221" s="50" t="s">
        <v>432</v>
      </c>
      <c r="Q221" s="50">
        <v>178</v>
      </c>
    </row>
    <row r="222" spans="1:17" ht="16" x14ac:dyDescent="0.45">
      <c r="A222" s="2" t="str">
        <f>IFERROR(VLOOKUP(B222,CODE!$B:$D,3,0),"-")</f>
        <v>포털</v>
      </c>
      <c r="B222" s="2" t="str">
        <f>IF(L222="-",VLOOKUP(J222,CODE!$B:$D,2,0),L222)</f>
        <v>포털</v>
      </c>
      <c r="C222" s="2" t="s">
        <v>445</v>
      </c>
      <c r="D222" s="2" t="s">
        <v>281</v>
      </c>
      <c r="E222" s="2" t="s">
        <v>282</v>
      </c>
      <c r="F222" s="2" t="s">
        <v>268</v>
      </c>
      <c r="G222" s="2" t="s">
        <v>283</v>
      </c>
      <c r="H222" s="2" t="s">
        <v>284</v>
      </c>
      <c r="I222" s="2" t="s">
        <v>229</v>
      </c>
      <c r="J222" s="2" t="s">
        <v>1</v>
      </c>
      <c r="K222" s="2" t="s">
        <v>228</v>
      </c>
      <c r="L222" s="2" t="s">
        <v>82</v>
      </c>
      <c r="M222" s="38" t="str">
        <f t="shared" si="10"/>
        <v>25</v>
      </c>
      <c r="N222" s="38" t="str">
        <f t="shared" si="11"/>
        <v>11</v>
      </c>
      <c r="O222" s="50" t="s">
        <v>416</v>
      </c>
      <c r="P222" s="50" t="s">
        <v>515</v>
      </c>
      <c r="Q222" s="50">
        <v>6555</v>
      </c>
    </row>
    <row r="223" spans="1:17" ht="16" x14ac:dyDescent="0.45">
      <c r="A223" s="2" t="str">
        <f>IFERROR(VLOOKUP(B223,CODE!$B:$D,3,0),"-")</f>
        <v>포털</v>
      </c>
      <c r="B223" s="2" t="str">
        <f>IF(L223="-",VLOOKUP(J223,CODE!$B:$D,2,0),L223)</f>
        <v>포털</v>
      </c>
      <c r="C223" s="2" t="s">
        <v>445</v>
      </c>
      <c r="D223" s="2" t="s">
        <v>281</v>
      </c>
      <c r="E223" s="2" t="s">
        <v>282</v>
      </c>
      <c r="F223" s="2" t="s">
        <v>268</v>
      </c>
      <c r="G223" s="2" t="s">
        <v>283</v>
      </c>
      <c r="H223" s="2" t="s">
        <v>284</v>
      </c>
      <c r="I223" s="2" t="s">
        <v>229</v>
      </c>
      <c r="J223" s="2" t="s">
        <v>1</v>
      </c>
      <c r="K223" s="2" t="s">
        <v>228</v>
      </c>
      <c r="L223" s="2" t="s">
        <v>82</v>
      </c>
      <c r="M223" s="38" t="str">
        <f t="shared" si="10"/>
        <v>25</v>
      </c>
      <c r="N223" s="38" t="str">
        <f t="shared" si="11"/>
        <v>11</v>
      </c>
      <c r="O223" s="50" t="s">
        <v>530</v>
      </c>
      <c r="P223" s="50" t="s">
        <v>530</v>
      </c>
      <c r="Q223" s="50">
        <v>3278</v>
      </c>
    </row>
    <row r="224" spans="1:17" ht="16" x14ac:dyDescent="0.45">
      <c r="A224" s="2" t="str">
        <f>IFERROR(VLOOKUP(B224,CODE!$B:$D,3,0),"-")</f>
        <v>포털</v>
      </c>
      <c r="B224" s="2" t="str">
        <f>IF(L224="-",VLOOKUP(J224,CODE!$B:$D,2,0),L224)</f>
        <v>포털</v>
      </c>
      <c r="C224" s="2" t="s">
        <v>445</v>
      </c>
      <c r="D224" s="2" t="s">
        <v>281</v>
      </c>
      <c r="E224" s="2" t="s">
        <v>282</v>
      </c>
      <c r="F224" s="2" t="s">
        <v>268</v>
      </c>
      <c r="G224" s="2" t="s">
        <v>283</v>
      </c>
      <c r="H224" s="2" t="s">
        <v>284</v>
      </c>
      <c r="I224" s="2" t="s">
        <v>229</v>
      </c>
      <c r="J224" s="2" t="s">
        <v>1</v>
      </c>
      <c r="K224" s="2" t="s">
        <v>228</v>
      </c>
      <c r="L224" s="2" t="s">
        <v>82</v>
      </c>
      <c r="M224" s="38" t="str">
        <f t="shared" si="10"/>
        <v>25</v>
      </c>
      <c r="N224" s="38" t="str">
        <f t="shared" si="11"/>
        <v>11</v>
      </c>
      <c r="O224" s="50" t="s">
        <v>253</v>
      </c>
      <c r="P224" s="50" t="s">
        <v>254</v>
      </c>
      <c r="Q224" s="50">
        <v>13110</v>
      </c>
    </row>
    <row r="225" spans="1:17" ht="16" x14ac:dyDescent="0.45">
      <c r="A225" s="2" t="str">
        <f>IFERROR(VLOOKUP(B225,CODE!$B:$D,3,0),"-")</f>
        <v>포털</v>
      </c>
      <c r="B225" s="2" t="str">
        <f>IF(L225="-",VLOOKUP(J225,CODE!$B:$D,2,0),L225)</f>
        <v>포털</v>
      </c>
      <c r="C225" s="2" t="s">
        <v>445</v>
      </c>
      <c r="D225" s="2" t="s">
        <v>281</v>
      </c>
      <c r="E225" s="2" t="s">
        <v>282</v>
      </c>
      <c r="F225" s="2" t="s">
        <v>268</v>
      </c>
      <c r="G225" s="2" t="s">
        <v>283</v>
      </c>
      <c r="H225" s="2" t="s">
        <v>284</v>
      </c>
      <c r="I225" s="2" t="s">
        <v>229</v>
      </c>
      <c r="J225" s="2" t="s">
        <v>1</v>
      </c>
      <c r="K225" s="2" t="s">
        <v>228</v>
      </c>
      <c r="L225" s="2" t="s">
        <v>82</v>
      </c>
      <c r="M225" s="38" t="str">
        <f t="shared" si="10"/>
        <v>25</v>
      </c>
      <c r="N225" s="38" t="str">
        <f t="shared" si="11"/>
        <v>11</v>
      </c>
      <c r="O225" s="50" t="s">
        <v>244</v>
      </c>
      <c r="P225" s="50" t="s">
        <v>245</v>
      </c>
      <c r="Q225" s="50">
        <v>22943</v>
      </c>
    </row>
    <row r="226" spans="1:17" ht="16" x14ac:dyDescent="0.45">
      <c r="A226" s="2" t="str">
        <f>IFERROR(VLOOKUP(B226,CODE!$B:$D,3,0),"-")</f>
        <v>포털</v>
      </c>
      <c r="B226" s="2" t="str">
        <f>IF(L226="-",VLOOKUP(J226,CODE!$B:$D,2,0),L226)</f>
        <v>포털</v>
      </c>
      <c r="C226" s="2" t="s">
        <v>445</v>
      </c>
      <c r="D226" s="2" t="s">
        <v>281</v>
      </c>
      <c r="E226" s="2" t="s">
        <v>282</v>
      </c>
      <c r="F226" s="2" t="s">
        <v>268</v>
      </c>
      <c r="G226" s="2" t="s">
        <v>283</v>
      </c>
      <c r="H226" s="2" t="s">
        <v>284</v>
      </c>
      <c r="I226" s="2" t="s">
        <v>229</v>
      </c>
      <c r="J226" s="2" t="s">
        <v>1</v>
      </c>
      <c r="K226" s="2" t="s">
        <v>228</v>
      </c>
      <c r="L226" s="2" t="s">
        <v>82</v>
      </c>
      <c r="M226" s="38" t="str">
        <f t="shared" si="10"/>
        <v>25</v>
      </c>
      <c r="N226" s="38" t="str">
        <f t="shared" si="11"/>
        <v>11</v>
      </c>
      <c r="O226" s="50" t="s">
        <v>246</v>
      </c>
      <c r="P226" s="50" t="s">
        <v>247</v>
      </c>
      <c r="Q226" s="50">
        <v>6555</v>
      </c>
    </row>
    <row r="227" spans="1:17" ht="16" x14ac:dyDescent="0.45">
      <c r="A227" s="2" t="str">
        <f>IFERROR(VLOOKUP(B227,CODE!$B:$D,3,0),"-")</f>
        <v>네트워크</v>
      </c>
      <c r="B227" s="2" t="str">
        <f>IF(L227="-",VLOOKUP(J227,CODE!$B:$D,2,0),L227)</f>
        <v>애드몹</v>
      </c>
      <c r="C227" s="2" t="s">
        <v>445</v>
      </c>
      <c r="D227" s="2" t="s">
        <v>281</v>
      </c>
      <c r="E227" s="2" t="s">
        <v>282</v>
      </c>
      <c r="F227" s="2" t="s">
        <v>268</v>
      </c>
      <c r="G227" s="2" t="s">
        <v>283</v>
      </c>
      <c r="H227" s="2" t="s">
        <v>284</v>
      </c>
      <c r="I227" s="2" t="s">
        <v>453</v>
      </c>
      <c r="J227" s="2" t="s">
        <v>73</v>
      </c>
      <c r="K227" s="2" t="s">
        <v>232</v>
      </c>
      <c r="L227" s="2" t="s">
        <v>97</v>
      </c>
      <c r="M227" s="38" t="str">
        <f t="shared" si="10"/>
        <v>25</v>
      </c>
      <c r="N227" s="38" t="str">
        <f t="shared" si="11"/>
        <v>08</v>
      </c>
      <c r="O227" s="50" t="s">
        <v>493</v>
      </c>
      <c r="P227" s="50" t="s">
        <v>493</v>
      </c>
      <c r="Q227" s="50">
        <v>207</v>
      </c>
    </row>
    <row r="228" spans="1:17" ht="16" x14ac:dyDescent="0.45">
      <c r="A228" s="2" t="str">
        <f>IFERROR(VLOOKUP(B228,CODE!$B:$D,3,0),"-")</f>
        <v>네트워크</v>
      </c>
      <c r="B228" s="2" t="str">
        <f>IF(L228="-",VLOOKUP(J228,CODE!$B:$D,2,0),L228)</f>
        <v>카카오광고</v>
      </c>
      <c r="C228" s="2" t="s">
        <v>445</v>
      </c>
      <c r="D228" s="2" t="s">
        <v>281</v>
      </c>
      <c r="E228" s="2" t="s">
        <v>282</v>
      </c>
      <c r="F228" s="2" t="s">
        <v>268</v>
      </c>
      <c r="G228" s="2" t="s">
        <v>283</v>
      </c>
      <c r="H228" s="2" t="s">
        <v>284</v>
      </c>
      <c r="I228" s="2" t="s">
        <v>231</v>
      </c>
      <c r="J228" s="2" t="s">
        <v>76</v>
      </c>
      <c r="K228" s="2" t="s">
        <v>232</v>
      </c>
      <c r="L228" s="2" t="s">
        <v>83</v>
      </c>
      <c r="M228" s="38" t="str">
        <f t="shared" si="10"/>
        <v>25</v>
      </c>
      <c r="N228" s="38" t="str">
        <f t="shared" si="11"/>
        <v>08</v>
      </c>
      <c r="O228" s="50" t="s">
        <v>497</v>
      </c>
      <c r="P228" s="50" t="s">
        <v>495</v>
      </c>
      <c r="Q228" s="50">
        <v>26420</v>
      </c>
    </row>
    <row r="229" spans="1:17" ht="16" x14ac:dyDescent="0.45">
      <c r="A229" s="2" t="str">
        <f>IFERROR(VLOOKUP(B229,CODE!$B:$D,3,0),"-")</f>
        <v>네트워크</v>
      </c>
      <c r="B229" s="2" t="str">
        <f>IF(L229="-",VLOOKUP(J229,CODE!$B:$D,2,0),L229)</f>
        <v>카카오광고</v>
      </c>
      <c r="C229" s="2" t="s">
        <v>445</v>
      </c>
      <c r="D229" s="2" t="s">
        <v>281</v>
      </c>
      <c r="E229" s="2" t="s">
        <v>282</v>
      </c>
      <c r="F229" s="2" t="s">
        <v>268</v>
      </c>
      <c r="G229" s="2" t="s">
        <v>283</v>
      </c>
      <c r="H229" s="2" t="s">
        <v>284</v>
      </c>
      <c r="I229" s="2" t="s">
        <v>231</v>
      </c>
      <c r="J229" s="2" t="s">
        <v>76</v>
      </c>
      <c r="K229" s="2" t="s">
        <v>232</v>
      </c>
      <c r="L229" s="2" t="s">
        <v>83</v>
      </c>
      <c r="M229" s="38" t="str">
        <f t="shared" si="10"/>
        <v>25</v>
      </c>
      <c r="N229" s="38" t="str">
        <f t="shared" si="11"/>
        <v>08</v>
      </c>
      <c r="O229" s="50" t="s">
        <v>526</v>
      </c>
      <c r="P229" s="50" t="s">
        <v>435</v>
      </c>
      <c r="Q229" s="50">
        <v>35226</v>
      </c>
    </row>
    <row r="230" spans="1:17" ht="16" x14ac:dyDescent="0.45">
      <c r="A230" s="2" t="str">
        <f>IFERROR(VLOOKUP(B230,CODE!$B:$D,3,0),"-")</f>
        <v>네트워크</v>
      </c>
      <c r="B230" s="2" t="str">
        <f>IF(L230="-",VLOOKUP(J230,CODE!$B:$D,2,0),L230)</f>
        <v>애드몹</v>
      </c>
      <c r="C230" s="2" t="s">
        <v>445</v>
      </c>
      <c r="D230" s="2" t="s">
        <v>281</v>
      </c>
      <c r="E230" s="2" t="s">
        <v>282</v>
      </c>
      <c r="F230" s="2" t="s">
        <v>268</v>
      </c>
      <c r="G230" s="2" t="s">
        <v>283</v>
      </c>
      <c r="H230" s="2" t="s">
        <v>284</v>
      </c>
      <c r="I230" s="2" t="s">
        <v>461</v>
      </c>
      <c r="J230" s="2" t="s">
        <v>462</v>
      </c>
      <c r="K230" s="2" t="s">
        <v>232</v>
      </c>
      <c r="L230" s="2" t="s">
        <v>97</v>
      </c>
      <c r="M230" s="38" t="str">
        <f t="shared" si="10"/>
        <v>25</v>
      </c>
      <c r="N230" s="38" t="str">
        <f t="shared" si="11"/>
        <v>07</v>
      </c>
      <c r="O230" s="50" t="s">
        <v>434</v>
      </c>
      <c r="P230" s="50" t="s">
        <v>434</v>
      </c>
      <c r="Q230" s="50">
        <v>178</v>
      </c>
    </row>
    <row r="231" spans="1:17" ht="16" x14ac:dyDescent="0.45">
      <c r="A231" s="2" t="str">
        <f>IFERROR(VLOOKUP(B231,CODE!$B:$D,3,0),"-")</f>
        <v>네트워크</v>
      </c>
      <c r="B231" s="2" t="str">
        <f>IF(L231="-",VLOOKUP(J231,CODE!$B:$D,2,0),L231)</f>
        <v>카카오광고</v>
      </c>
      <c r="C231" s="2" t="s">
        <v>445</v>
      </c>
      <c r="D231" s="2" t="s">
        <v>281</v>
      </c>
      <c r="E231" s="2" t="s">
        <v>282</v>
      </c>
      <c r="F231" s="2" t="s">
        <v>268</v>
      </c>
      <c r="G231" s="2" t="s">
        <v>283</v>
      </c>
      <c r="H231" s="2" t="s">
        <v>284</v>
      </c>
      <c r="I231" s="2" t="s">
        <v>463</v>
      </c>
      <c r="J231" s="2" t="s">
        <v>78</v>
      </c>
      <c r="K231" s="2" t="s">
        <v>232</v>
      </c>
      <c r="L231" s="2" t="s">
        <v>83</v>
      </c>
      <c r="M231" s="38" t="str">
        <f t="shared" si="10"/>
        <v>25</v>
      </c>
      <c r="N231" s="38" t="str">
        <f t="shared" si="11"/>
        <v>08</v>
      </c>
      <c r="O231" s="50" t="s">
        <v>526</v>
      </c>
      <c r="P231" s="50" t="s">
        <v>526</v>
      </c>
      <c r="Q231" s="50">
        <v>16</v>
      </c>
    </row>
    <row r="232" spans="1:17" ht="16" x14ac:dyDescent="0.45">
      <c r="A232" s="2" t="str">
        <f>IFERROR(VLOOKUP(B232,CODE!$B:$D,3,0),"-")</f>
        <v>네트워크</v>
      </c>
      <c r="B232" s="2" t="str">
        <f>IF(L232="-",VLOOKUP(J232,CODE!$B:$D,2,0),L232)</f>
        <v>애드몹</v>
      </c>
      <c r="C232" s="2" t="s">
        <v>445</v>
      </c>
      <c r="D232" s="2" t="s">
        <v>281</v>
      </c>
      <c r="E232" s="2" t="s">
        <v>282</v>
      </c>
      <c r="F232" s="2" t="s">
        <v>268</v>
      </c>
      <c r="G232" s="2" t="s">
        <v>283</v>
      </c>
      <c r="H232" s="2" t="s">
        <v>284</v>
      </c>
      <c r="I232" s="2" t="s">
        <v>464</v>
      </c>
      <c r="J232" s="2" t="s">
        <v>73</v>
      </c>
      <c r="K232" s="2" t="s">
        <v>232</v>
      </c>
      <c r="L232" s="2" t="s">
        <v>97</v>
      </c>
      <c r="M232" s="38" t="str">
        <f t="shared" si="10"/>
        <v>25</v>
      </c>
      <c r="N232" s="38" t="str">
        <f t="shared" si="11"/>
        <v>08</v>
      </c>
      <c r="O232" s="50" t="s">
        <v>491</v>
      </c>
      <c r="P232" s="50" t="s">
        <v>491</v>
      </c>
      <c r="Q232" s="50">
        <v>207</v>
      </c>
    </row>
    <row r="233" spans="1:17" ht="16" x14ac:dyDescent="0.45">
      <c r="A233" s="2" t="str">
        <f>IFERROR(VLOOKUP(B233,CODE!$B:$D,3,0),"-")</f>
        <v>네트워크</v>
      </c>
      <c r="B233" s="2" t="str">
        <f>IF(L233="-",VLOOKUP(J233,CODE!$B:$D,2,0),L233)</f>
        <v>애드몹</v>
      </c>
      <c r="C233" s="2" t="s">
        <v>445</v>
      </c>
      <c r="D233" s="2" t="s">
        <v>281</v>
      </c>
      <c r="E233" s="2" t="s">
        <v>282</v>
      </c>
      <c r="F233" s="2" t="s">
        <v>268</v>
      </c>
      <c r="G233" s="2" t="s">
        <v>283</v>
      </c>
      <c r="H233" s="2" t="s">
        <v>284</v>
      </c>
      <c r="I233" s="2" t="s">
        <v>465</v>
      </c>
      <c r="J233" s="2" t="s">
        <v>73</v>
      </c>
      <c r="K233" s="2" t="s">
        <v>232</v>
      </c>
      <c r="L233" s="2" t="s">
        <v>97</v>
      </c>
      <c r="M233" s="38" t="str">
        <f t="shared" si="10"/>
        <v>25</v>
      </c>
      <c r="N233" s="38" t="str">
        <f t="shared" si="11"/>
        <v>08</v>
      </c>
      <c r="O233" s="50" t="s">
        <v>531</v>
      </c>
      <c r="P233" s="50" t="s">
        <v>531</v>
      </c>
      <c r="Q233" s="50">
        <v>207</v>
      </c>
    </row>
    <row r="234" spans="1:17" ht="16" x14ac:dyDescent="0.45">
      <c r="A234" s="2" t="str">
        <f>IFERROR(VLOOKUP(B234,CODE!$B:$D,3,0),"-")</f>
        <v>네트워크</v>
      </c>
      <c r="B234" s="2" t="str">
        <f>IF(L234="-",VLOOKUP(J234,CODE!$B:$D,2,0),L234)</f>
        <v>애드몹</v>
      </c>
      <c r="C234" s="2" t="s">
        <v>445</v>
      </c>
      <c r="D234" s="2" t="s">
        <v>281</v>
      </c>
      <c r="E234" s="2" t="s">
        <v>282</v>
      </c>
      <c r="F234" s="2" t="s">
        <v>268</v>
      </c>
      <c r="G234" s="2" t="s">
        <v>283</v>
      </c>
      <c r="H234" s="2" t="s">
        <v>284</v>
      </c>
      <c r="I234" s="2" t="s">
        <v>466</v>
      </c>
      <c r="J234" s="2" t="s">
        <v>58</v>
      </c>
      <c r="K234" s="2" t="s">
        <v>232</v>
      </c>
      <c r="L234" s="2" t="s">
        <v>97</v>
      </c>
      <c r="M234" s="38" t="str">
        <f t="shared" si="10"/>
        <v>25</v>
      </c>
      <c r="N234" s="38" t="str">
        <f t="shared" si="11"/>
        <v>07</v>
      </c>
      <c r="O234" s="50" t="s">
        <v>432</v>
      </c>
      <c r="P234" s="50" t="s">
        <v>432</v>
      </c>
      <c r="Q234" s="50">
        <v>178</v>
      </c>
    </row>
    <row r="235" spans="1:17" ht="16" x14ac:dyDescent="0.45">
      <c r="A235" s="2" t="str">
        <f>IFERROR(VLOOKUP(B235,CODE!$B:$D,3,0),"-")</f>
        <v>네트워크</v>
      </c>
      <c r="B235" s="2" t="str">
        <f>IF(L235="-",VLOOKUP(J235,CODE!$B:$D,2,0),L235)</f>
        <v>애드몹</v>
      </c>
      <c r="C235" s="2" t="s">
        <v>445</v>
      </c>
      <c r="D235" s="2" t="s">
        <v>281</v>
      </c>
      <c r="E235" s="2" t="s">
        <v>282</v>
      </c>
      <c r="F235" s="2" t="s">
        <v>268</v>
      </c>
      <c r="G235" s="2" t="s">
        <v>283</v>
      </c>
      <c r="H235" s="2" t="s">
        <v>284</v>
      </c>
      <c r="I235" s="2" t="s">
        <v>467</v>
      </c>
      <c r="J235" s="2" t="s">
        <v>73</v>
      </c>
      <c r="K235" s="2" t="s">
        <v>232</v>
      </c>
      <c r="L235" s="2" t="s">
        <v>97</v>
      </c>
      <c r="M235" s="38" t="str">
        <f t="shared" si="10"/>
        <v>25</v>
      </c>
      <c r="N235" s="38" t="str">
        <f t="shared" si="11"/>
        <v>07</v>
      </c>
      <c r="O235" s="50" t="s">
        <v>527</v>
      </c>
      <c r="P235" s="50" t="s">
        <v>527</v>
      </c>
      <c r="Q235" s="50">
        <v>178</v>
      </c>
    </row>
    <row r="236" spans="1:17" ht="16" x14ac:dyDescent="0.45">
      <c r="A236" s="2" t="str">
        <f>IFERROR(VLOOKUP(B236,CODE!$B:$D,3,0),"-")</f>
        <v>네트워크</v>
      </c>
      <c r="B236" s="2" t="str">
        <f>IF(L236="-",VLOOKUP(J236,CODE!$B:$D,2,0),L236)</f>
        <v>애드몹</v>
      </c>
      <c r="C236" s="2" t="s">
        <v>445</v>
      </c>
      <c r="D236" s="2" t="s">
        <v>281</v>
      </c>
      <c r="E236" s="2" t="s">
        <v>282</v>
      </c>
      <c r="F236" s="2" t="s">
        <v>268</v>
      </c>
      <c r="G236" s="2" t="s">
        <v>283</v>
      </c>
      <c r="H236" s="2" t="s">
        <v>284</v>
      </c>
      <c r="I236" s="2" t="s">
        <v>468</v>
      </c>
      <c r="J236" s="2" t="s">
        <v>73</v>
      </c>
      <c r="K236" s="2" t="s">
        <v>232</v>
      </c>
      <c r="L236" s="2" t="s">
        <v>97</v>
      </c>
      <c r="M236" s="38" t="str">
        <f t="shared" si="10"/>
        <v>25</v>
      </c>
      <c r="N236" s="38" t="str">
        <f t="shared" si="11"/>
        <v>08</v>
      </c>
      <c r="O236" s="50" t="s">
        <v>532</v>
      </c>
      <c r="P236" s="50" t="s">
        <v>532</v>
      </c>
      <c r="Q236" s="50">
        <v>207</v>
      </c>
    </row>
    <row r="237" spans="1:17" ht="16" x14ac:dyDescent="0.45">
      <c r="A237" s="2" t="str">
        <f>IFERROR(VLOOKUP(B237,CODE!$B:$D,3,0),"-")</f>
        <v>네트워크</v>
      </c>
      <c r="B237" s="2" t="str">
        <f>IF(L237="-",VLOOKUP(J237,CODE!$B:$D,2,0),L237)</f>
        <v>애드몹</v>
      </c>
      <c r="C237" s="2" t="s">
        <v>445</v>
      </c>
      <c r="D237" s="2" t="s">
        <v>281</v>
      </c>
      <c r="E237" s="2" t="s">
        <v>282</v>
      </c>
      <c r="F237" s="2" t="s">
        <v>268</v>
      </c>
      <c r="G237" s="2" t="s">
        <v>283</v>
      </c>
      <c r="H237" s="2" t="s">
        <v>284</v>
      </c>
      <c r="I237" s="2" t="s">
        <v>469</v>
      </c>
      <c r="J237" s="2" t="s">
        <v>73</v>
      </c>
      <c r="K237" s="2" t="s">
        <v>232</v>
      </c>
      <c r="L237" s="2" t="s">
        <v>97</v>
      </c>
      <c r="M237" s="38" t="str">
        <f t="shared" si="10"/>
        <v>25</v>
      </c>
      <c r="N237" s="38" t="str">
        <f t="shared" si="11"/>
        <v>08</v>
      </c>
      <c r="O237" s="50" t="s">
        <v>532</v>
      </c>
      <c r="P237" s="50" t="s">
        <v>532</v>
      </c>
      <c r="Q237" s="50">
        <v>207</v>
      </c>
    </row>
    <row r="238" spans="1:17" ht="16" x14ac:dyDescent="0.45">
      <c r="A238" s="2" t="str">
        <f>IFERROR(VLOOKUP(B238,CODE!$B:$D,3,0),"-")</f>
        <v>네트워크</v>
      </c>
      <c r="B238" s="2" t="str">
        <f>IF(L238="-",VLOOKUP(J238,CODE!$B:$D,2,0),L238)</f>
        <v>애드몹</v>
      </c>
      <c r="C238" s="2" t="s">
        <v>445</v>
      </c>
      <c r="D238" s="2" t="s">
        <v>281</v>
      </c>
      <c r="E238" s="2" t="s">
        <v>282</v>
      </c>
      <c r="F238" s="2" t="s">
        <v>268</v>
      </c>
      <c r="G238" s="2" t="s">
        <v>283</v>
      </c>
      <c r="H238" s="2" t="s">
        <v>284</v>
      </c>
      <c r="I238" s="2" t="s">
        <v>470</v>
      </c>
      <c r="J238" s="2" t="s">
        <v>73</v>
      </c>
      <c r="K238" s="2" t="s">
        <v>232</v>
      </c>
      <c r="L238" s="2" t="s">
        <v>97</v>
      </c>
      <c r="M238" s="38" t="str">
        <f t="shared" si="10"/>
        <v>25</v>
      </c>
      <c r="N238" s="38" t="str">
        <f t="shared" si="11"/>
        <v>08</v>
      </c>
      <c r="O238" s="50" t="s">
        <v>435</v>
      </c>
      <c r="P238" s="50" t="s">
        <v>435</v>
      </c>
      <c r="Q238" s="50">
        <v>207</v>
      </c>
    </row>
    <row r="239" spans="1:17" ht="16" x14ac:dyDescent="0.45">
      <c r="A239" s="2" t="str">
        <f>IFERROR(VLOOKUP(B239,CODE!$B:$D,3,0),"-")</f>
        <v>네트워크</v>
      </c>
      <c r="B239" s="2" t="str">
        <f>IF(L239="-",VLOOKUP(J239,CODE!$B:$D,2,0),L239)</f>
        <v>애드몹</v>
      </c>
      <c r="C239" s="2" t="s">
        <v>445</v>
      </c>
      <c r="D239" s="2" t="s">
        <v>281</v>
      </c>
      <c r="E239" s="2" t="s">
        <v>282</v>
      </c>
      <c r="F239" s="2" t="s">
        <v>268</v>
      </c>
      <c r="G239" s="2" t="s">
        <v>283</v>
      </c>
      <c r="H239" s="2" t="s">
        <v>284</v>
      </c>
      <c r="I239" s="2" t="s">
        <v>457</v>
      </c>
      <c r="J239" s="2" t="s">
        <v>73</v>
      </c>
      <c r="K239" s="2" t="s">
        <v>232</v>
      </c>
      <c r="L239" s="2" t="s">
        <v>97</v>
      </c>
      <c r="M239" s="38" t="str">
        <f t="shared" si="10"/>
        <v>25</v>
      </c>
      <c r="N239" s="38" t="str">
        <f t="shared" si="11"/>
        <v>08</v>
      </c>
      <c r="O239" s="50" t="s">
        <v>492</v>
      </c>
      <c r="P239" s="50" t="s">
        <v>492</v>
      </c>
      <c r="Q239" s="50">
        <v>207</v>
      </c>
    </row>
    <row r="240" spans="1:17" ht="16" x14ac:dyDescent="0.45">
      <c r="A240" s="2" t="str">
        <f>IFERROR(VLOOKUP(B240,CODE!$B:$D,3,0),"-")</f>
        <v>네트워크</v>
      </c>
      <c r="B240" s="2" t="str">
        <f>IF(L240="-",VLOOKUP(J240,CODE!$B:$D,2,0),L240)</f>
        <v>애드몹</v>
      </c>
      <c r="C240" s="2" t="s">
        <v>445</v>
      </c>
      <c r="D240" s="2" t="s">
        <v>281</v>
      </c>
      <c r="E240" s="2" t="s">
        <v>282</v>
      </c>
      <c r="F240" s="2" t="s">
        <v>268</v>
      </c>
      <c r="G240" s="2" t="s">
        <v>283</v>
      </c>
      <c r="H240" s="2" t="s">
        <v>284</v>
      </c>
      <c r="I240" s="2" t="s">
        <v>471</v>
      </c>
      <c r="J240" s="2" t="s">
        <v>73</v>
      </c>
      <c r="K240" s="2" t="s">
        <v>232</v>
      </c>
      <c r="L240" s="2" t="s">
        <v>97</v>
      </c>
      <c r="M240" s="38" t="str">
        <f t="shared" si="10"/>
        <v>25</v>
      </c>
      <c r="N240" s="38" t="str">
        <f t="shared" si="11"/>
        <v>07</v>
      </c>
      <c r="O240" s="50" t="s">
        <v>411</v>
      </c>
      <c r="P240" s="50" t="s">
        <v>411</v>
      </c>
      <c r="Q240" s="50">
        <v>178</v>
      </c>
    </row>
    <row r="241" spans="1:17" ht="16" x14ac:dyDescent="0.45">
      <c r="A241" s="2" t="str">
        <f>IFERROR(VLOOKUP(B241,CODE!$B:$D,3,0),"-")</f>
        <v>네트워크</v>
      </c>
      <c r="B241" s="2" t="str">
        <f>IF(L241="-",VLOOKUP(J241,CODE!$B:$D,2,0),L241)</f>
        <v>애드몹</v>
      </c>
      <c r="C241" s="2" t="s">
        <v>445</v>
      </c>
      <c r="D241" s="2" t="s">
        <v>281</v>
      </c>
      <c r="E241" s="2" t="s">
        <v>282</v>
      </c>
      <c r="F241" s="2" t="s">
        <v>268</v>
      </c>
      <c r="G241" s="2" t="s">
        <v>283</v>
      </c>
      <c r="H241" s="2" t="s">
        <v>284</v>
      </c>
      <c r="I241" s="2" t="s">
        <v>472</v>
      </c>
      <c r="J241" s="2" t="s">
        <v>73</v>
      </c>
      <c r="K241" s="2" t="s">
        <v>232</v>
      </c>
      <c r="L241" s="2" t="s">
        <v>97</v>
      </c>
      <c r="M241" s="38" t="str">
        <f t="shared" si="10"/>
        <v>25</v>
      </c>
      <c r="N241" s="38" t="str">
        <f t="shared" si="11"/>
        <v>08</v>
      </c>
      <c r="O241" s="50" t="s">
        <v>435</v>
      </c>
      <c r="P241" s="50" t="s">
        <v>435</v>
      </c>
      <c r="Q241" s="50">
        <v>207</v>
      </c>
    </row>
    <row r="242" spans="1:17" ht="16" x14ac:dyDescent="0.45">
      <c r="A242" s="2" t="str">
        <f>IFERROR(VLOOKUP(B242,CODE!$B:$D,3,0),"-")</f>
        <v>네트워크</v>
      </c>
      <c r="B242" s="2" t="str">
        <f>IF(L242="-",VLOOKUP(J242,CODE!$B:$D,2,0),L242)</f>
        <v>애드몹</v>
      </c>
      <c r="C242" s="2" t="s">
        <v>445</v>
      </c>
      <c r="D242" s="2" t="s">
        <v>281</v>
      </c>
      <c r="E242" s="2" t="s">
        <v>282</v>
      </c>
      <c r="F242" s="2" t="s">
        <v>268</v>
      </c>
      <c r="G242" s="2" t="s">
        <v>283</v>
      </c>
      <c r="H242" s="2" t="s">
        <v>284</v>
      </c>
      <c r="I242" s="2" t="s">
        <v>473</v>
      </c>
      <c r="J242" s="2" t="s">
        <v>73</v>
      </c>
      <c r="K242" s="2" t="s">
        <v>232</v>
      </c>
      <c r="L242" s="2" t="s">
        <v>97</v>
      </c>
      <c r="M242" s="38" t="str">
        <f t="shared" si="10"/>
        <v>25</v>
      </c>
      <c r="N242" s="38" t="str">
        <f t="shared" si="11"/>
        <v>08</v>
      </c>
      <c r="O242" s="50" t="s">
        <v>533</v>
      </c>
      <c r="P242" s="50" t="s">
        <v>533</v>
      </c>
      <c r="Q242" s="50">
        <v>207</v>
      </c>
    </row>
    <row r="243" spans="1:17" ht="16" x14ac:dyDescent="0.45">
      <c r="A243" s="2" t="str">
        <f>IFERROR(VLOOKUP(B243,CODE!$B:$D,3,0),"-")</f>
        <v>네트워크</v>
      </c>
      <c r="B243" s="2" t="str">
        <f>IF(L243="-",VLOOKUP(J243,CODE!$B:$D,2,0),L243)</f>
        <v>애드몹</v>
      </c>
      <c r="C243" s="2" t="s">
        <v>445</v>
      </c>
      <c r="D243" s="2" t="s">
        <v>281</v>
      </c>
      <c r="E243" s="2" t="s">
        <v>282</v>
      </c>
      <c r="F243" s="2" t="s">
        <v>268</v>
      </c>
      <c r="G243" s="2" t="s">
        <v>283</v>
      </c>
      <c r="H243" s="2" t="s">
        <v>284</v>
      </c>
      <c r="I243" s="2" t="s">
        <v>474</v>
      </c>
      <c r="J243" s="2" t="s">
        <v>73</v>
      </c>
      <c r="K243" s="2" t="s">
        <v>232</v>
      </c>
      <c r="L243" s="2" t="s">
        <v>97</v>
      </c>
      <c r="M243" s="38" t="str">
        <f t="shared" si="10"/>
        <v>25</v>
      </c>
      <c r="N243" s="38" t="str">
        <f t="shared" si="11"/>
        <v>08</v>
      </c>
      <c r="O243" s="50" t="s">
        <v>532</v>
      </c>
      <c r="P243" s="50" t="s">
        <v>532</v>
      </c>
      <c r="Q243" s="50">
        <v>207</v>
      </c>
    </row>
    <row r="244" spans="1:17" ht="16" x14ac:dyDescent="0.45">
      <c r="A244" s="2" t="str">
        <f>IFERROR(VLOOKUP(B244,CODE!$B:$D,3,0),"-")</f>
        <v>네트워크</v>
      </c>
      <c r="B244" s="2" t="str">
        <f>IF(L244="-",VLOOKUP(J244,CODE!$B:$D,2,0),L244)</f>
        <v>애드몹</v>
      </c>
      <c r="C244" s="2" t="s">
        <v>445</v>
      </c>
      <c r="D244" s="2" t="s">
        <v>281</v>
      </c>
      <c r="E244" s="2" t="s">
        <v>282</v>
      </c>
      <c r="F244" s="2" t="s">
        <v>268</v>
      </c>
      <c r="G244" s="2" t="s">
        <v>283</v>
      </c>
      <c r="H244" s="2" t="s">
        <v>284</v>
      </c>
      <c r="I244" s="2" t="s">
        <v>392</v>
      </c>
      <c r="J244" s="2" t="s">
        <v>7</v>
      </c>
      <c r="K244" s="2" t="s">
        <v>228</v>
      </c>
      <c r="L244" s="2" t="s">
        <v>97</v>
      </c>
      <c r="M244" s="38" t="str">
        <f t="shared" si="10"/>
        <v>25</v>
      </c>
      <c r="N244" s="38" t="str">
        <f t="shared" si="11"/>
        <v>07</v>
      </c>
      <c r="O244" s="50" t="s">
        <v>512</v>
      </c>
      <c r="P244" s="50" t="s">
        <v>512</v>
      </c>
      <c r="Q244" s="50">
        <v>290</v>
      </c>
    </row>
    <row r="245" spans="1:17" ht="16" x14ac:dyDescent="0.45">
      <c r="A245" s="2" t="str">
        <f>IFERROR(VLOOKUP(B245,CODE!$B:$D,3,0),"-")</f>
        <v>네트워크</v>
      </c>
      <c r="B245" s="2" t="str">
        <f>IF(L245="-",VLOOKUP(J245,CODE!$B:$D,2,0),L245)</f>
        <v>애드몹</v>
      </c>
      <c r="C245" s="2" t="s">
        <v>445</v>
      </c>
      <c r="D245" s="2" t="s">
        <v>281</v>
      </c>
      <c r="E245" s="2" t="s">
        <v>282</v>
      </c>
      <c r="F245" s="2" t="s">
        <v>268</v>
      </c>
      <c r="G245" s="2" t="s">
        <v>283</v>
      </c>
      <c r="H245" s="2" t="s">
        <v>284</v>
      </c>
      <c r="I245" s="2" t="s">
        <v>475</v>
      </c>
      <c r="J245" s="2" t="s">
        <v>73</v>
      </c>
      <c r="K245" s="2" t="s">
        <v>232</v>
      </c>
      <c r="L245" s="2" t="s">
        <v>97</v>
      </c>
      <c r="M245" s="38" t="str">
        <f t="shared" si="10"/>
        <v>25</v>
      </c>
      <c r="N245" s="38" t="str">
        <f t="shared" si="11"/>
        <v>07</v>
      </c>
      <c r="O245" s="50" t="s">
        <v>527</v>
      </c>
      <c r="P245" s="50" t="s">
        <v>527</v>
      </c>
      <c r="Q245" s="50">
        <v>178</v>
      </c>
    </row>
    <row r="246" spans="1:17" ht="16" x14ac:dyDescent="0.45">
      <c r="A246" s="2" t="str">
        <f>IFERROR(VLOOKUP(B246,CODE!$B:$D,3,0),"-")</f>
        <v>네트워크</v>
      </c>
      <c r="B246" s="2" t="str">
        <f>IF(L246="-",VLOOKUP(J246,CODE!$B:$D,2,0),L246)</f>
        <v>애드몹</v>
      </c>
      <c r="C246" s="2" t="s">
        <v>445</v>
      </c>
      <c r="D246" s="2" t="s">
        <v>281</v>
      </c>
      <c r="E246" s="2" t="s">
        <v>282</v>
      </c>
      <c r="F246" s="2" t="s">
        <v>268</v>
      </c>
      <c r="G246" s="2" t="s">
        <v>283</v>
      </c>
      <c r="H246" s="2" t="s">
        <v>284</v>
      </c>
      <c r="I246" s="2" t="s">
        <v>476</v>
      </c>
      <c r="J246" s="2" t="s">
        <v>78</v>
      </c>
      <c r="K246" s="2" t="s">
        <v>232</v>
      </c>
      <c r="L246" s="2" t="s">
        <v>97</v>
      </c>
      <c r="M246" s="38" t="str">
        <f t="shared" si="10"/>
        <v>25</v>
      </c>
      <c r="N246" s="38" t="str">
        <f t="shared" si="11"/>
        <v>07</v>
      </c>
      <c r="O246" s="50" t="s">
        <v>433</v>
      </c>
      <c r="P246" s="50" t="s">
        <v>433</v>
      </c>
      <c r="Q246" s="50">
        <v>178</v>
      </c>
    </row>
    <row r="247" spans="1:17" ht="16" x14ac:dyDescent="0.45">
      <c r="A247" s="2" t="str">
        <f>IFERROR(VLOOKUP(B247,CODE!$B:$D,3,0),"-")</f>
        <v>네트워크</v>
      </c>
      <c r="B247" s="2" t="str">
        <f>IF(L247="-",VLOOKUP(J247,CODE!$B:$D,2,0),L247)</f>
        <v>카카오광고</v>
      </c>
      <c r="C247" s="2" t="s">
        <v>266</v>
      </c>
      <c r="D247" s="2" t="s">
        <v>267</v>
      </c>
      <c r="E247" s="2" t="s">
        <v>267</v>
      </c>
      <c r="F247" s="2" t="s">
        <v>268</v>
      </c>
      <c r="G247" s="2" t="s">
        <v>269</v>
      </c>
      <c r="H247" s="2" t="s">
        <v>270</v>
      </c>
      <c r="I247" s="2" t="s">
        <v>95</v>
      </c>
      <c r="J247" s="2" t="s">
        <v>1</v>
      </c>
      <c r="K247" s="2" t="s">
        <v>228</v>
      </c>
      <c r="L247" s="2" t="s">
        <v>83</v>
      </c>
      <c r="M247" s="38" t="str">
        <f t="shared" si="10"/>
        <v>25</v>
      </c>
      <c r="N247" s="38" t="str">
        <f t="shared" si="11"/>
        <v>05</v>
      </c>
      <c r="O247" s="50" t="s">
        <v>635</v>
      </c>
      <c r="P247" s="50" t="s">
        <v>635</v>
      </c>
      <c r="Q247" s="50">
        <v>881</v>
      </c>
    </row>
    <row r="248" spans="1:17" ht="16" x14ac:dyDescent="0.45">
      <c r="A248" s="2" t="str">
        <f>IFERROR(VLOOKUP(B248,CODE!$B:$D,3,0),"-")</f>
        <v>네트워크</v>
      </c>
      <c r="B248" s="2" t="str">
        <f>IF(L248="-",VLOOKUP(J248,CODE!$B:$D,2,0),L248)</f>
        <v>카카오광고</v>
      </c>
      <c r="C248" s="2" t="s">
        <v>266</v>
      </c>
      <c r="D248" s="2" t="s">
        <v>267</v>
      </c>
      <c r="E248" s="2" t="s">
        <v>267</v>
      </c>
      <c r="F248" s="2" t="s">
        <v>268</v>
      </c>
      <c r="G248" s="2" t="s">
        <v>269</v>
      </c>
      <c r="H248" s="2" t="s">
        <v>270</v>
      </c>
      <c r="I248" s="2" t="s">
        <v>95</v>
      </c>
      <c r="J248" s="2" t="s">
        <v>1</v>
      </c>
      <c r="K248" s="2" t="s">
        <v>228</v>
      </c>
      <c r="L248" s="2" t="s">
        <v>83</v>
      </c>
      <c r="M248" s="38" t="str">
        <f t="shared" si="10"/>
        <v>25</v>
      </c>
      <c r="N248" s="38" t="str">
        <f t="shared" si="11"/>
        <v>06</v>
      </c>
      <c r="O248" s="50" t="s">
        <v>636</v>
      </c>
      <c r="P248" s="50" t="s">
        <v>636</v>
      </c>
      <c r="Q248" s="50">
        <v>881</v>
      </c>
    </row>
    <row r="249" spans="1:17" ht="16" x14ac:dyDescent="0.45">
      <c r="A249" s="2" t="str">
        <f>IFERROR(VLOOKUP(B249,CODE!$B:$D,3,0),"-")</f>
        <v>포털</v>
      </c>
      <c r="B249" s="2" t="str">
        <f>IF(L249="-",VLOOKUP(J249,CODE!$B:$D,2,0),L249)</f>
        <v>포털</v>
      </c>
      <c r="C249" s="2" t="s">
        <v>266</v>
      </c>
      <c r="D249" s="2" t="s">
        <v>267</v>
      </c>
      <c r="E249" s="2" t="s">
        <v>267</v>
      </c>
      <c r="F249" s="2" t="s">
        <v>268</v>
      </c>
      <c r="G249" s="2" t="s">
        <v>269</v>
      </c>
      <c r="H249" s="2" t="s">
        <v>270</v>
      </c>
      <c r="I249" s="2" t="s">
        <v>229</v>
      </c>
      <c r="J249" s="2" t="s">
        <v>1</v>
      </c>
      <c r="K249" s="2" t="s">
        <v>228</v>
      </c>
      <c r="L249" s="2" t="s">
        <v>82</v>
      </c>
      <c r="M249" s="38" t="str">
        <f t="shared" si="10"/>
        <v>25</v>
      </c>
      <c r="N249" s="38" t="str">
        <f t="shared" si="11"/>
        <v>05</v>
      </c>
      <c r="O249" s="50" t="s">
        <v>637</v>
      </c>
      <c r="P249" s="50" t="s">
        <v>638</v>
      </c>
      <c r="Q249" s="50">
        <v>6131</v>
      </c>
    </row>
    <row r="250" spans="1:17" ht="16" x14ac:dyDescent="0.45">
      <c r="A250" s="2" t="str">
        <f>IFERROR(VLOOKUP(B250,CODE!$B:$D,3,0),"-")</f>
        <v>포털</v>
      </c>
      <c r="B250" s="2" t="str">
        <f>IF(L250="-",VLOOKUP(J250,CODE!$B:$D,2,0),L250)</f>
        <v>포털</v>
      </c>
      <c r="C250" s="2" t="s">
        <v>266</v>
      </c>
      <c r="D250" s="2" t="s">
        <v>267</v>
      </c>
      <c r="E250" s="2" t="s">
        <v>267</v>
      </c>
      <c r="F250" s="2" t="s">
        <v>268</v>
      </c>
      <c r="G250" s="2" t="s">
        <v>269</v>
      </c>
      <c r="H250" s="2" t="s">
        <v>270</v>
      </c>
      <c r="I250" s="2" t="s">
        <v>229</v>
      </c>
      <c r="J250" s="2" t="s">
        <v>1</v>
      </c>
      <c r="K250" s="2" t="s">
        <v>228</v>
      </c>
      <c r="L250" s="2" t="s">
        <v>82</v>
      </c>
      <c r="M250" s="38" t="str">
        <f t="shared" si="10"/>
        <v>25</v>
      </c>
      <c r="N250" s="38" t="str">
        <f t="shared" si="11"/>
        <v>05</v>
      </c>
      <c r="O250" s="50" t="s">
        <v>639</v>
      </c>
      <c r="P250" s="50" t="s">
        <v>640</v>
      </c>
      <c r="Q250" s="50">
        <v>12262</v>
      </c>
    </row>
    <row r="251" spans="1:17" ht="16" x14ac:dyDescent="0.45">
      <c r="A251" s="2" t="str">
        <f>IFERROR(VLOOKUP(B251,CODE!$B:$D,3,0),"-")</f>
        <v>포털</v>
      </c>
      <c r="B251" s="2" t="str">
        <f>IF(L251="-",VLOOKUP(J251,CODE!$B:$D,2,0),L251)</f>
        <v>포털</v>
      </c>
      <c r="C251" s="2" t="s">
        <v>266</v>
      </c>
      <c r="D251" s="2" t="s">
        <v>267</v>
      </c>
      <c r="E251" s="2" t="s">
        <v>267</v>
      </c>
      <c r="F251" s="2" t="s">
        <v>268</v>
      </c>
      <c r="G251" s="2" t="s">
        <v>269</v>
      </c>
      <c r="H251" s="2" t="s">
        <v>270</v>
      </c>
      <c r="I251" s="2" t="s">
        <v>229</v>
      </c>
      <c r="J251" s="2" t="s">
        <v>1</v>
      </c>
      <c r="K251" s="2" t="s">
        <v>228</v>
      </c>
      <c r="L251" s="2" t="s">
        <v>82</v>
      </c>
      <c r="M251" s="38" t="str">
        <f t="shared" ref="M251:M314" si="12">LEFT(O251,2)</f>
        <v>25</v>
      </c>
      <c r="N251" s="38" t="str">
        <f t="shared" ref="N251:N314" si="13">MID(O251,4,2)</f>
        <v>05</v>
      </c>
      <c r="O251" s="50" t="s">
        <v>641</v>
      </c>
      <c r="P251" s="50" t="s">
        <v>642</v>
      </c>
      <c r="Q251" s="50">
        <v>6131</v>
      </c>
    </row>
    <row r="252" spans="1:17" ht="16" x14ac:dyDescent="0.45">
      <c r="A252" s="2" t="str">
        <f>IFERROR(VLOOKUP(B252,CODE!$B:$D,3,0),"-")</f>
        <v>포털</v>
      </c>
      <c r="B252" s="2" t="str">
        <f>IF(L252="-",VLOOKUP(J252,CODE!$B:$D,2,0),L252)</f>
        <v>포털</v>
      </c>
      <c r="C252" s="2" t="s">
        <v>266</v>
      </c>
      <c r="D252" s="2" t="s">
        <v>267</v>
      </c>
      <c r="E252" s="2" t="s">
        <v>267</v>
      </c>
      <c r="F252" s="2" t="s">
        <v>268</v>
      </c>
      <c r="G252" s="2" t="s">
        <v>269</v>
      </c>
      <c r="H252" s="2" t="s">
        <v>270</v>
      </c>
      <c r="I252" s="2" t="s">
        <v>229</v>
      </c>
      <c r="J252" s="2" t="s">
        <v>1</v>
      </c>
      <c r="K252" s="2" t="s">
        <v>228</v>
      </c>
      <c r="L252" s="2" t="s">
        <v>82</v>
      </c>
      <c r="M252" s="38" t="str">
        <f t="shared" si="12"/>
        <v>25</v>
      </c>
      <c r="N252" s="38" t="str">
        <f t="shared" si="13"/>
        <v>05</v>
      </c>
      <c r="O252" s="50" t="s">
        <v>643</v>
      </c>
      <c r="P252" s="50" t="s">
        <v>644</v>
      </c>
      <c r="Q252" s="50">
        <v>6131</v>
      </c>
    </row>
    <row r="253" spans="1:17" ht="16" x14ac:dyDescent="0.45">
      <c r="A253" s="2" t="str">
        <f>IFERROR(VLOOKUP(B253,CODE!$B:$D,3,0),"-")</f>
        <v>포털</v>
      </c>
      <c r="B253" s="2" t="str">
        <f>IF(L253="-",VLOOKUP(J253,CODE!$B:$D,2,0),L253)</f>
        <v>포털</v>
      </c>
      <c r="C253" s="2" t="s">
        <v>266</v>
      </c>
      <c r="D253" s="2" t="s">
        <v>267</v>
      </c>
      <c r="E253" s="2" t="s">
        <v>267</v>
      </c>
      <c r="F253" s="2" t="s">
        <v>268</v>
      </c>
      <c r="G253" s="2" t="s">
        <v>269</v>
      </c>
      <c r="H253" s="2" t="s">
        <v>270</v>
      </c>
      <c r="I253" s="2" t="s">
        <v>229</v>
      </c>
      <c r="J253" s="2" t="s">
        <v>1</v>
      </c>
      <c r="K253" s="2" t="s">
        <v>228</v>
      </c>
      <c r="L253" s="2" t="s">
        <v>82</v>
      </c>
      <c r="M253" s="38" t="str">
        <f t="shared" si="12"/>
        <v>25</v>
      </c>
      <c r="N253" s="38" t="str">
        <f t="shared" si="13"/>
        <v>06</v>
      </c>
      <c r="O253" s="50" t="s">
        <v>645</v>
      </c>
      <c r="P253" s="50" t="s">
        <v>646</v>
      </c>
      <c r="Q253" s="50">
        <v>30654</v>
      </c>
    </row>
    <row r="254" spans="1:17" ht="16" x14ac:dyDescent="0.45">
      <c r="A254" s="2" t="str">
        <f>IFERROR(VLOOKUP(B254,CODE!$B:$D,3,0),"-")</f>
        <v>포털</v>
      </c>
      <c r="B254" s="2" t="str">
        <f>IF(L254="-",VLOOKUP(J254,CODE!$B:$D,2,0),L254)</f>
        <v>포털</v>
      </c>
      <c r="C254" s="2" t="s">
        <v>266</v>
      </c>
      <c r="D254" s="2" t="s">
        <v>267</v>
      </c>
      <c r="E254" s="2" t="s">
        <v>267</v>
      </c>
      <c r="F254" s="2" t="s">
        <v>268</v>
      </c>
      <c r="G254" s="2" t="s">
        <v>269</v>
      </c>
      <c r="H254" s="2" t="s">
        <v>270</v>
      </c>
      <c r="I254" s="2" t="s">
        <v>229</v>
      </c>
      <c r="J254" s="2" t="s">
        <v>1</v>
      </c>
      <c r="K254" s="2" t="s">
        <v>228</v>
      </c>
      <c r="L254" s="2" t="s">
        <v>82</v>
      </c>
      <c r="M254" s="38" t="str">
        <f t="shared" si="12"/>
        <v>25</v>
      </c>
      <c r="N254" s="38" t="str">
        <f t="shared" si="13"/>
        <v>06</v>
      </c>
      <c r="O254" s="50" t="s">
        <v>636</v>
      </c>
      <c r="P254" s="50" t="s">
        <v>647</v>
      </c>
      <c r="Q254" s="50">
        <v>36786</v>
      </c>
    </row>
    <row r="255" spans="1:17" ht="16" x14ac:dyDescent="0.45">
      <c r="A255" s="2" t="str">
        <f>IFERROR(VLOOKUP(B255,CODE!$B:$D,3,0),"-")</f>
        <v>포털</v>
      </c>
      <c r="B255" s="2" t="str">
        <f>IF(L255="-",VLOOKUP(J255,CODE!$B:$D,2,0),L255)</f>
        <v>포털</v>
      </c>
      <c r="C255" s="2" t="s">
        <v>266</v>
      </c>
      <c r="D255" s="2" t="s">
        <v>267</v>
      </c>
      <c r="E255" s="2" t="s">
        <v>267</v>
      </c>
      <c r="F255" s="2" t="s">
        <v>268</v>
      </c>
      <c r="G255" s="2" t="s">
        <v>269</v>
      </c>
      <c r="H255" s="2" t="s">
        <v>270</v>
      </c>
      <c r="I255" s="2" t="s">
        <v>229</v>
      </c>
      <c r="J255" s="2" t="s">
        <v>1</v>
      </c>
      <c r="K255" s="2" t="s">
        <v>228</v>
      </c>
      <c r="L255" s="2" t="s">
        <v>82</v>
      </c>
      <c r="M255" s="38" t="str">
        <f t="shared" si="12"/>
        <v>25</v>
      </c>
      <c r="N255" s="38" t="str">
        <f t="shared" si="13"/>
        <v>06</v>
      </c>
      <c r="O255" s="50" t="s">
        <v>648</v>
      </c>
      <c r="P255" s="50" t="s">
        <v>648</v>
      </c>
      <c r="Q255" s="50">
        <v>6130</v>
      </c>
    </row>
    <row r="256" spans="1:17" ht="16" x14ac:dyDescent="0.45">
      <c r="A256" s="2" t="str">
        <f>IFERROR(VLOOKUP(B256,CODE!$B:$D,3,0),"-")</f>
        <v>네트워크</v>
      </c>
      <c r="B256" s="2" t="str">
        <f>IF(L256="-",VLOOKUP(J256,CODE!$B:$D,2,0),L256)</f>
        <v>카카오광고</v>
      </c>
      <c r="C256" s="2" t="s">
        <v>266</v>
      </c>
      <c r="D256" s="2" t="s">
        <v>267</v>
      </c>
      <c r="E256" s="2" t="s">
        <v>267</v>
      </c>
      <c r="F256" s="2" t="s">
        <v>268</v>
      </c>
      <c r="G256" s="2" t="s">
        <v>269</v>
      </c>
      <c r="H256" s="2" t="s">
        <v>270</v>
      </c>
      <c r="I256" s="2" t="s">
        <v>231</v>
      </c>
      <c r="J256" s="2" t="s">
        <v>76</v>
      </c>
      <c r="K256" s="2" t="s">
        <v>232</v>
      </c>
      <c r="L256" s="2" t="s">
        <v>83</v>
      </c>
      <c r="M256" s="38" t="str">
        <f t="shared" si="12"/>
        <v>25</v>
      </c>
      <c r="N256" s="38" t="str">
        <f t="shared" si="13"/>
        <v>02</v>
      </c>
      <c r="O256" s="50" t="s">
        <v>649</v>
      </c>
      <c r="P256" s="50" t="s">
        <v>649</v>
      </c>
      <c r="Q256" s="50">
        <v>5895</v>
      </c>
    </row>
    <row r="257" spans="1:17" ht="16" x14ac:dyDescent="0.45">
      <c r="A257" s="2" t="str">
        <f>IFERROR(VLOOKUP(B257,CODE!$B:$D,3,0),"-")</f>
        <v>네트워크</v>
      </c>
      <c r="B257" s="2" t="str">
        <f>IF(L257="-",VLOOKUP(J257,CODE!$B:$D,2,0),L257)</f>
        <v>카카오광고</v>
      </c>
      <c r="C257" s="2" t="s">
        <v>266</v>
      </c>
      <c r="D257" s="2" t="s">
        <v>267</v>
      </c>
      <c r="E257" s="2" t="s">
        <v>267</v>
      </c>
      <c r="F257" s="2" t="s">
        <v>268</v>
      </c>
      <c r="G257" s="2" t="s">
        <v>269</v>
      </c>
      <c r="H257" s="2" t="s">
        <v>270</v>
      </c>
      <c r="I257" s="2" t="s">
        <v>231</v>
      </c>
      <c r="J257" s="2" t="s">
        <v>76</v>
      </c>
      <c r="K257" s="2" t="s">
        <v>232</v>
      </c>
      <c r="L257" s="2" t="s">
        <v>83</v>
      </c>
      <c r="M257" s="38" t="str">
        <f t="shared" si="12"/>
        <v>25</v>
      </c>
      <c r="N257" s="38" t="str">
        <f t="shared" si="13"/>
        <v>02</v>
      </c>
      <c r="O257" s="50" t="s">
        <v>650</v>
      </c>
      <c r="P257" s="50" t="s">
        <v>650</v>
      </c>
      <c r="Q257" s="50">
        <v>5895</v>
      </c>
    </row>
    <row r="258" spans="1:17" ht="16" x14ac:dyDescent="0.45">
      <c r="A258" s="2" t="str">
        <f>IFERROR(VLOOKUP(B258,CODE!$B:$D,3,0),"-")</f>
        <v>네트워크</v>
      </c>
      <c r="B258" s="2" t="str">
        <f>IF(L258="-",VLOOKUP(J258,CODE!$B:$D,2,0),L258)</f>
        <v>카카오광고</v>
      </c>
      <c r="C258" s="2" t="s">
        <v>266</v>
      </c>
      <c r="D258" s="2" t="s">
        <v>267</v>
      </c>
      <c r="E258" s="2" t="s">
        <v>267</v>
      </c>
      <c r="F258" s="2" t="s">
        <v>268</v>
      </c>
      <c r="G258" s="2" t="s">
        <v>269</v>
      </c>
      <c r="H258" s="2" t="s">
        <v>270</v>
      </c>
      <c r="I258" s="2" t="s">
        <v>231</v>
      </c>
      <c r="J258" s="2" t="s">
        <v>76</v>
      </c>
      <c r="K258" s="2" t="s">
        <v>232</v>
      </c>
      <c r="L258" s="2" t="s">
        <v>83</v>
      </c>
      <c r="M258" s="38" t="str">
        <f t="shared" si="12"/>
        <v>25</v>
      </c>
      <c r="N258" s="38" t="str">
        <f t="shared" si="13"/>
        <v>02</v>
      </c>
      <c r="O258" s="50" t="s">
        <v>651</v>
      </c>
      <c r="P258" s="50" t="s">
        <v>652</v>
      </c>
      <c r="Q258" s="50">
        <v>17684</v>
      </c>
    </row>
    <row r="259" spans="1:17" ht="16" x14ac:dyDescent="0.45">
      <c r="A259" s="2" t="str">
        <f>IFERROR(VLOOKUP(B259,CODE!$B:$D,3,0),"-")</f>
        <v>네트워크</v>
      </c>
      <c r="B259" s="2" t="str">
        <f>IF(L259="-",VLOOKUP(J259,CODE!$B:$D,2,0),L259)</f>
        <v>카카오광고</v>
      </c>
      <c r="C259" s="2" t="s">
        <v>266</v>
      </c>
      <c r="D259" s="2" t="s">
        <v>267</v>
      </c>
      <c r="E259" s="2" t="s">
        <v>267</v>
      </c>
      <c r="F259" s="2" t="s">
        <v>268</v>
      </c>
      <c r="G259" s="2" t="s">
        <v>269</v>
      </c>
      <c r="H259" s="2" t="s">
        <v>270</v>
      </c>
      <c r="I259" s="2" t="s">
        <v>231</v>
      </c>
      <c r="J259" s="2" t="s">
        <v>76</v>
      </c>
      <c r="K259" s="2" t="s">
        <v>232</v>
      </c>
      <c r="L259" s="2" t="s">
        <v>83</v>
      </c>
      <c r="M259" s="38" t="str">
        <f t="shared" si="12"/>
        <v>25</v>
      </c>
      <c r="N259" s="38" t="str">
        <f t="shared" si="13"/>
        <v>02</v>
      </c>
      <c r="O259" s="50" t="s">
        <v>653</v>
      </c>
      <c r="P259" s="50" t="s">
        <v>654</v>
      </c>
      <c r="Q259" s="50">
        <v>29474</v>
      </c>
    </row>
    <row r="260" spans="1:17" ht="16" x14ac:dyDescent="0.45">
      <c r="A260" s="2" t="str">
        <f>IFERROR(VLOOKUP(B260,CODE!$B:$D,3,0),"-")</f>
        <v>네트워크</v>
      </c>
      <c r="B260" s="2" t="str">
        <f>IF(L260="-",VLOOKUP(J260,CODE!$B:$D,2,0),L260)</f>
        <v>카카오광고</v>
      </c>
      <c r="C260" s="2" t="s">
        <v>266</v>
      </c>
      <c r="D260" s="2" t="s">
        <v>267</v>
      </c>
      <c r="E260" s="2" t="s">
        <v>267</v>
      </c>
      <c r="F260" s="2" t="s">
        <v>268</v>
      </c>
      <c r="G260" s="2" t="s">
        <v>269</v>
      </c>
      <c r="H260" s="2" t="s">
        <v>270</v>
      </c>
      <c r="I260" s="2" t="s">
        <v>231</v>
      </c>
      <c r="J260" s="2" t="s">
        <v>76</v>
      </c>
      <c r="K260" s="2" t="s">
        <v>232</v>
      </c>
      <c r="L260" s="2" t="s">
        <v>83</v>
      </c>
      <c r="M260" s="38" t="str">
        <f t="shared" si="12"/>
        <v>25</v>
      </c>
      <c r="N260" s="38" t="str">
        <f t="shared" si="13"/>
        <v>03</v>
      </c>
      <c r="O260" s="50" t="s">
        <v>655</v>
      </c>
      <c r="P260" s="50" t="s">
        <v>656</v>
      </c>
      <c r="Q260" s="50">
        <v>13866</v>
      </c>
    </row>
    <row r="261" spans="1:17" ht="16" x14ac:dyDescent="0.45">
      <c r="A261" s="2" t="str">
        <f>IFERROR(VLOOKUP(B261,CODE!$B:$D,3,0),"-")</f>
        <v>네트워크</v>
      </c>
      <c r="B261" s="2" t="str">
        <f>IF(L261="-",VLOOKUP(J261,CODE!$B:$D,2,0),L261)</f>
        <v>카카오광고</v>
      </c>
      <c r="C261" s="2" t="s">
        <v>266</v>
      </c>
      <c r="D261" s="2" t="s">
        <v>267</v>
      </c>
      <c r="E261" s="2" t="s">
        <v>267</v>
      </c>
      <c r="F261" s="2" t="s">
        <v>268</v>
      </c>
      <c r="G261" s="2" t="s">
        <v>269</v>
      </c>
      <c r="H261" s="2" t="s">
        <v>270</v>
      </c>
      <c r="I261" s="2" t="s">
        <v>231</v>
      </c>
      <c r="J261" s="2" t="s">
        <v>76</v>
      </c>
      <c r="K261" s="2" t="s">
        <v>232</v>
      </c>
      <c r="L261" s="2" t="s">
        <v>83</v>
      </c>
      <c r="M261" s="38" t="str">
        <f t="shared" si="12"/>
        <v>25</v>
      </c>
      <c r="N261" s="38" t="str">
        <f t="shared" si="13"/>
        <v>06</v>
      </c>
      <c r="O261" s="50" t="s">
        <v>657</v>
      </c>
      <c r="P261" s="50" t="s">
        <v>657</v>
      </c>
      <c r="Q261" s="50">
        <v>11244</v>
      </c>
    </row>
    <row r="262" spans="1:17" ht="16" x14ac:dyDescent="0.45">
      <c r="A262" s="2" t="str">
        <f>IFERROR(VLOOKUP(B262,CODE!$B:$D,3,0),"-")</f>
        <v>네트워크</v>
      </c>
      <c r="B262" s="2" t="str">
        <f>IF(L262="-",VLOOKUP(J262,CODE!$B:$D,2,0),L262)</f>
        <v>카카오광고</v>
      </c>
      <c r="C262" s="2" t="s">
        <v>266</v>
      </c>
      <c r="D262" s="2" t="s">
        <v>267</v>
      </c>
      <c r="E262" s="2" t="s">
        <v>267</v>
      </c>
      <c r="F262" s="2" t="s">
        <v>268</v>
      </c>
      <c r="G262" s="2" t="s">
        <v>269</v>
      </c>
      <c r="H262" s="2" t="s">
        <v>270</v>
      </c>
      <c r="I262" s="2" t="s">
        <v>446</v>
      </c>
      <c r="J262" s="2" t="s">
        <v>74</v>
      </c>
      <c r="K262" s="2" t="s">
        <v>232</v>
      </c>
      <c r="L262" s="2" t="s">
        <v>83</v>
      </c>
      <c r="M262" s="38" t="str">
        <f t="shared" si="12"/>
        <v>25</v>
      </c>
      <c r="N262" s="38" t="str">
        <f t="shared" si="13"/>
        <v>06</v>
      </c>
      <c r="O262" s="50" t="s">
        <v>648</v>
      </c>
      <c r="P262" s="50" t="s">
        <v>648</v>
      </c>
      <c r="Q262" s="50">
        <v>16</v>
      </c>
    </row>
    <row r="263" spans="1:17" ht="16" x14ac:dyDescent="0.45">
      <c r="A263" s="2" t="str">
        <f>IFERROR(VLOOKUP(B263,CODE!$B:$D,3,0),"-")</f>
        <v>네트워크</v>
      </c>
      <c r="B263" s="2" t="str">
        <f>IF(L263="-",VLOOKUP(J263,CODE!$B:$D,2,0),L263)</f>
        <v>오픈마켓</v>
      </c>
      <c r="C263" s="2" t="s">
        <v>266</v>
      </c>
      <c r="D263" s="2" t="s">
        <v>267</v>
      </c>
      <c r="E263" s="2" t="s">
        <v>267</v>
      </c>
      <c r="F263" s="2" t="s">
        <v>268</v>
      </c>
      <c r="G263" s="2" t="s">
        <v>269</v>
      </c>
      <c r="H263" s="2" t="s">
        <v>270</v>
      </c>
      <c r="I263" s="2" t="s">
        <v>318</v>
      </c>
      <c r="J263" s="2" t="s">
        <v>3</v>
      </c>
      <c r="K263" s="2" t="s">
        <v>228</v>
      </c>
      <c r="L263" s="2" t="s">
        <v>82</v>
      </c>
      <c r="M263" s="38" t="str">
        <f t="shared" si="12"/>
        <v>25</v>
      </c>
      <c r="N263" s="38" t="str">
        <f t="shared" si="13"/>
        <v>05</v>
      </c>
      <c r="O263" s="50" t="s">
        <v>640</v>
      </c>
      <c r="P263" s="50" t="s">
        <v>640</v>
      </c>
      <c r="Q263" s="50">
        <v>66</v>
      </c>
    </row>
    <row r="264" spans="1:17" ht="16" x14ac:dyDescent="0.45">
      <c r="A264" s="2" t="str">
        <f>IFERROR(VLOOKUP(B264,CODE!$B:$D,3,0),"-")</f>
        <v>SNS</v>
      </c>
      <c r="B264" s="2" t="str">
        <f>IF(L264="-",VLOOKUP(J264,CODE!$B:$D,2,0),L264)</f>
        <v>SNS</v>
      </c>
      <c r="C264" s="2" t="s">
        <v>266</v>
      </c>
      <c r="D264" s="2" t="s">
        <v>267</v>
      </c>
      <c r="E264" s="2" t="s">
        <v>267</v>
      </c>
      <c r="F264" s="2" t="s">
        <v>268</v>
      </c>
      <c r="G264" s="2" t="s">
        <v>269</v>
      </c>
      <c r="H264" s="2" t="s">
        <v>270</v>
      </c>
      <c r="I264" s="2" t="s">
        <v>451</v>
      </c>
      <c r="J264" s="2" t="s">
        <v>4</v>
      </c>
      <c r="K264" s="2" t="s">
        <v>232</v>
      </c>
      <c r="L264" s="2" t="s">
        <v>82</v>
      </c>
      <c r="M264" s="38" t="str">
        <f t="shared" si="12"/>
        <v>25</v>
      </c>
      <c r="N264" s="38" t="str">
        <f t="shared" si="13"/>
        <v>02</v>
      </c>
      <c r="O264" s="50" t="s">
        <v>658</v>
      </c>
      <c r="P264" s="50" t="s">
        <v>659</v>
      </c>
      <c r="Q264" s="50">
        <v>1637</v>
      </c>
    </row>
    <row r="265" spans="1:17" ht="16" x14ac:dyDescent="0.45">
      <c r="A265" s="2" t="str">
        <f>IFERROR(VLOOKUP(B265,CODE!$B:$D,3,0),"-")</f>
        <v>SNS</v>
      </c>
      <c r="B265" s="2" t="str">
        <f>IF(L265="-",VLOOKUP(J265,CODE!$B:$D,2,0),L265)</f>
        <v>SNS</v>
      </c>
      <c r="C265" s="2" t="s">
        <v>266</v>
      </c>
      <c r="D265" s="2" t="s">
        <v>267</v>
      </c>
      <c r="E265" s="2" t="s">
        <v>267</v>
      </c>
      <c r="F265" s="2" t="s">
        <v>268</v>
      </c>
      <c r="G265" s="2" t="s">
        <v>269</v>
      </c>
      <c r="H265" s="2" t="s">
        <v>270</v>
      </c>
      <c r="I265" s="2" t="s">
        <v>451</v>
      </c>
      <c r="J265" s="2" t="s">
        <v>4</v>
      </c>
      <c r="K265" s="2" t="s">
        <v>232</v>
      </c>
      <c r="L265" s="2" t="s">
        <v>82</v>
      </c>
      <c r="M265" s="38" t="str">
        <f t="shared" si="12"/>
        <v>25</v>
      </c>
      <c r="N265" s="38" t="str">
        <f t="shared" si="13"/>
        <v>02</v>
      </c>
      <c r="O265" s="50" t="s">
        <v>660</v>
      </c>
      <c r="P265" s="50" t="s">
        <v>660</v>
      </c>
      <c r="Q265" s="50">
        <v>819</v>
      </c>
    </row>
    <row r="266" spans="1:17" ht="16" x14ac:dyDescent="0.45">
      <c r="A266" s="2" t="str">
        <f>IFERROR(VLOOKUP(B266,CODE!$B:$D,3,0),"-")</f>
        <v>네트워크</v>
      </c>
      <c r="B266" s="2" t="str">
        <f>IF(L266="-",VLOOKUP(J266,CODE!$B:$D,2,0),L266)</f>
        <v>ADPACKER</v>
      </c>
      <c r="C266" s="2" t="s">
        <v>266</v>
      </c>
      <c r="D266" s="2" t="s">
        <v>267</v>
      </c>
      <c r="E266" s="2" t="s">
        <v>267</v>
      </c>
      <c r="F266" s="2" t="s">
        <v>268</v>
      </c>
      <c r="G266" s="2" t="s">
        <v>269</v>
      </c>
      <c r="H266" s="2" t="s">
        <v>270</v>
      </c>
      <c r="I266" s="2" t="s">
        <v>534</v>
      </c>
      <c r="J266" s="2" t="s">
        <v>2</v>
      </c>
      <c r="K266" s="2" t="s">
        <v>232</v>
      </c>
      <c r="L266" s="2" t="s">
        <v>535</v>
      </c>
      <c r="M266" s="38" t="str">
        <f t="shared" si="12"/>
        <v>25</v>
      </c>
      <c r="N266" s="38" t="str">
        <f t="shared" si="13"/>
        <v>03</v>
      </c>
      <c r="O266" s="50" t="s">
        <v>661</v>
      </c>
      <c r="P266" s="50" t="s">
        <v>661</v>
      </c>
      <c r="Q266" s="50">
        <v>1654</v>
      </c>
    </row>
    <row r="267" spans="1:17" ht="16" x14ac:dyDescent="0.45">
      <c r="A267" s="2" t="str">
        <f>IFERROR(VLOOKUP(B267,CODE!$B:$D,3,0),"-")</f>
        <v>네트워크</v>
      </c>
      <c r="B267" s="2" t="str">
        <f>IF(L267="-",VLOOKUP(J267,CODE!$B:$D,2,0),L267)</f>
        <v>ADPACKER</v>
      </c>
      <c r="C267" s="2" t="s">
        <v>266</v>
      </c>
      <c r="D267" s="2" t="s">
        <v>267</v>
      </c>
      <c r="E267" s="2" t="s">
        <v>267</v>
      </c>
      <c r="F267" s="2" t="s">
        <v>268</v>
      </c>
      <c r="G267" s="2" t="s">
        <v>269</v>
      </c>
      <c r="H267" s="2" t="s">
        <v>270</v>
      </c>
      <c r="I267" s="2" t="s">
        <v>534</v>
      </c>
      <c r="J267" s="2" t="s">
        <v>2</v>
      </c>
      <c r="K267" s="2" t="s">
        <v>232</v>
      </c>
      <c r="L267" s="2" t="s">
        <v>535</v>
      </c>
      <c r="M267" s="38" t="str">
        <f t="shared" si="12"/>
        <v>25</v>
      </c>
      <c r="N267" s="38" t="str">
        <f t="shared" si="13"/>
        <v>03</v>
      </c>
      <c r="O267" s="50" t="s">
        <v>661</v>
      </c>
      <c r="P267" s="50" t="s">
        <v>662</v>
      </c>
      <c r="Q267" s="50">
        <v>4133</v>
      </c>
    </row>
    <row r="268" spans="1:17" ht="16" x14ac:dyDescent="0.45">
      <c r="A268" s="2" t="str">
        <f>IFERROR(VLOOKUP(B268,CODE!$B:$D,3,0),"-")</f>
        <v>네트워크</v>
      </c>
      <c r="B268" s="2" t="str">
        <f>IF(L268="-",VLOOKUP(J268,CODE!$B:$D,2,0),L268)</f>
        <v>ADPACKER</v>
      </c>
      <c r="C268" s="2" t="s">
        <v>266</v>
      </c>
      <c r="D268" s="2" t="s">
        <v>267</v>
      </c>
      <c r="E268" s="2" t="s">
        <v>267</v>
      </c>
      <c r="F268" s="2" t="s">
        <v>268</v>
      </c>
      <c r="G268" s="2" t="s">
        <v>269</v>
      </c>
      <c r="H268" s="2" t="s">
        <v>270</v>
      </c>
      <c r="I268" s="2" t="s">
        <v>534</v>
      </c>
      <c r="J268" s="2" t="s">
        <v>2</v>
      </c>
      <c r="K268" s="2" t="s">
        <v>232</v>
      </c>
      <c r="L268" s="2" t="s">
        <v>535</v>
      </c>
      <c r="M268" s="38" t="str">
        <f t="shared" si="12"/>
        <v>25</v>
      </c>
      <c r="N268" s="38" t="str">
        <f t="shared" si="13"/>
        <v>03</v>
      </c>
      <c r="O268" s="50" t="s">
        <v>663</v>
      </c>
      <c r="P268" s="50" t="s">
        <v>662</v>
      </c>
      <c r="Q268" s="50">
        <v>3306</v>
      </c>
    </row>
    <row r="269" spans="1:17" ht="16" x14ac:dyDescent="0.45">
      <c r="A269" s="2" t="str">
        <f>IFERROR(VLOOKUP(B269,CODE!$B:$D,3,0),"-")</f>
        <v>네트워크</v>
      </c>
      <c r="B269" s="2" t="str">
        <f>IF(L269="-",VLOOKUP(J269,CODE!$B:$D,2,0),L269)</f>
        <v>ADPACKER</v>
      </c>
      <c r="C269" s="2" t="s">
        <v>266</v>
      </c>
      <c r="D269" s="2" t="s">
        <v>267</v>
      </c>
      <c r="E269" s="2" t="s">
        <v>267</v>
      </c>
      <c r="F269" s="2" t="s">
        <v>268</v>
      </c>
      <c r="G269" s="2" t="s">
        <v>269</v>
      </c>
      <c r="H269" s="2" t="s">
        <v>270</v>
      </c>
      <c r="I269" s="2" t="s">
        <v>534</v>
      </c>
      <c r="J269" s="2" t="s">
        <v>2</v>
      </c>
      <c r="K269" s="2" t="s">
        <v>232</v>
      </c>
      <c r="L269" s="2" t="s">
        <v>535</v>
      </c>
      <c r="M269" s="38" t="str">
        <f t="shared" si="12"/>
        <v>25</v>
      </c>
      <c r="N269" s="38" t="str">
        <f t="shared" si="13"/>
        <v>03</v>
      </c>
      <c r="O269" s="50" t="s">
        <v>664</v>
      </c>
      <c r="P269" s="50" t="s">
        <v>665</v>
      </c>
      <c r="Q269" s="50">
        <v>6612</v>
      </c>
    </row>
    <row r="270" spans="1:17" ht="16" x14ac:dyDescent="0.45">
      <c r="A270" s="2" t="str">
        <f>IFERROR(VLOOKUP(B270,CODE!$B:$D,3,0),"-")</f>
        <v>SNS</v>
      </c>
      <c r="B270" s="2" t="str">
        <f>IF(L270="-",VLOOKUP(J270,CODE!$B:$D,2,0),L270)</f>
        <v>SNS</v>
      </c>
      <c r="C270" s="2" t="s">
        <v>266</v>
      </c>
      <c r="D270" s="2" t="s">
        <v>277</v>
      </c>
      <c r="E270" s="2" t="s">
        <v>278</v>
      </c>
      <c r="F270" s="2" t="s">
        <v>268</v>
      </c>
      <c r="G270" s="2" t="s">
        <v>269</v>
      </c>
      <c r="H270" s="2" t="s">
        <v>279</v>
      </c>
      <c r="I270" s="2" t="s">
        <v>451</v>
      </c>
      <c r="J270" s="2" t="s">
        <v>4</v>
      </c>
      <c r="K270" s="2" t="s">
        <v>232</v>
      </c>
      <c r="L270" s="2" t="s">
        <v>82</v>
      </c>
      <c r="M270" s="38" t="str">
        <f t="shared" si="12"/>
        <v>25</v>
      </c>
      <c r="N270" s="38" t="str">
        <f t="shared" si="13"/>
        <v>01</v>
      </c>
      <c r="O270" s="50" t="s">
        <v>328</v>
      </c>
      <c r="P270" s="50" t="s">
        <v>328</v>
      </c>
      <c r="Q270" s="50">
        <v>819</v>
      </c>
    </row>
    <row r="271" spans="1:17" ht="16" x14ac:dyDescent="0.45">
      <c r="A271" s="2" t="str">
        <f>IFERROR(VLOOKUP(B271,CODE!$B:$D,3,0),"-")</f>
        <v>SNS</v>
      </c>
      <c r="B271" s="2" t="str">
        <f>IF(L271="-",VLOOKUP(J271,CODE!$B:$D,2,0),L271)</f>
        <v>SNS</v>
      </c>
      <c r="C271" s="2" t="s">
        <v>266</v>
      </c>
      <c r="D271" s="2" t="s">
        <v>277</v>
      </c>
      <c r="E271" s="2" t="s">
        <v>278</v>
      </c>
      <c r="F271" s="2" t="s">
        <v>268</v>
      </c>
      <c r="G271" s="2" t="s">
        <v>269</v>
      </c>
      <c r="H271" s="2" t="s">
        <v>279</v>
      </c>
      <c r="I271" s="2" t="s">
        <v>451</v>
      </c>
      <c r="J271" s="2" t="s">
        <v>4</v>
      </c>
      <c r="K271" s="2" t="s">
        <v>232</v>
      </c>
      <c r="L271" s="2" t="s">
        <v>82</v>
      </c>
      <c r="M271" s="38" t="str">
        <f t="shared" si="12"/>
        <v>25</v>
      </c>
      <c r="N271" s="38" t="str">
        <f t="shared" si="13"/>
        <v>01</v>
      </c>
      <c r="O271" s="50" t="s">
        <v>666</v>
      </c>
      <c r="P271" s="50" t="s">
        <v>667</v>
      </c>
      <c r="Q271" s="50">
        <v>1637</v>
      </c>
    </row>
    <row r="272" spans="1:17" ht="16" x14ac:dyDescent="0.45">
      <c r="A272" s="2" t="str">
        <f>IFERROR(VLOOKUP(B272,CODE!$B:$D,3,0),"-")</f>
        <v>SNS</v>
      </c>
      <c r="B272" s="2" t="str">
        <f>IF(L272="-",VLOOKUP(J272,CODE!$B:$D,2,0),L272)</f>
        <v>SNS</v>
      </c>
      <c r="C272" s="2" t="s">
        <v>266</v>
      </c>
      <c r="D272" s="2" t="s">
        <v>277</v>
      </c>
      <c r="E272" s="2" t="s">
        <v>296</v>
      </c>
      <c r="F272" s="2" t="s">
        <v>268</v>
      </c>
      <c r="G272" s="2" t="s">
        <v>269</v>
      </c>
      <c r="H272" s="2" t="s">
        <v>297</v>
      </c>
      <c r="I272" s="2" t="s">
        <v>451</v>
      </c>
      <c r="J272" s="2" t="s">
        <v>4</v>
      </c>
      <c r="K272" s="2" t="s">
        <v>232</v>
      </c>
      <c r="L272" s="2" t="s">
        <v>82</v>
      </c>
      <c r="M272" s="38" t="str">
        <f t="shared" si="12"/>
        <v>25</v>
      </c>
      <c r="N272" s="38" t="str">
        <f t="shared" si="13"/>
        <v>02</v>
      </c>
      <c r="O272" s="50" t="s">
        <v>668</v>
      </c>
      <c r="P272" s="50" t="s">
        <v>654</v>
      </c>
      <c r="Q272" s="50">
        <v>2456</v>
      </c>
    </row>
    <row r="273" spans="1:17" ht="16" x14ac:dyDescent="0.45">
      <c r="A273" s="2" t="str">
        <f>IFERROR(VLOOKUP(B273,CODE!$B:$D,3,0),"-")</f>
        <v>SNS</v>
      </c>
      <c r="B273" s="2" t="str">
        <f>IF(L273="-",VLOOKUP(J273,CODE!$B:$D,2,0),L273)</f>
        <v>SNS</v>
      </c>
      <c r="C273" s="2" t="s">
        <v>266</v>
      </c>
      <c r="D273" s="2" t="s">
        <v>277</v>
      </c>
      <c r="E273" s="2" t="s">
        <v>296</v>
      </c>
      <c r="F273" s="2" t="s">
        <v>268</v>
      </c>
      <c r="G273" s="2" t="s">
        <v>269</v>
      </c>
      <c r="H273" s="2" t="s">
        <v>297</v>
      </c>
      <c r="I273" s="2" t="s">
        <v>451</v>
      </c>
      <c r="J273" s="2" t="s">
        <v>4</v>
      </c>
      <c r="K273" s="2" t="s">
        <v>232</v>
      </c>
      <c r="L273" s="2" t="s">
        <v>82</v>
      </c>
      <c r="M273" s="38" t="str">
        <f t="shared" si="12"/>
        <v>25</v>
      </c>
      <c r="N273" s="38" t="str">
        <f t="shared" si="13"/>
        <v>03</v>
      </c>
      <c r="O273" s="50" t="s">
        <v>655</v>
      </c>
      <c r="P273" s="50" t="s">
        <v>656</v>
      </c>
      <c r="Q273" s="50">
        <v>1637</v>
      </c>
    </row>
    <row r="274" spans="1:17" ht="16" x14ac:dyDescent="0.45">
      <c r="A274" s="2" t="str">
        <f>IFERROR(VLOOKUP(B274,CODE!$B:$D,3,0),"-")</f>
        <v>SNS</v>
      </c>
      <c r="B274" s="2" t="str">
        <f>IF(L274="-",VLOOKUP(J274,CODE!$B:$D,2,0),L274)</f>
        <v>SNS</v>
      </c>
      <c r="C274" s="2" t="s">
        <v>266</v>
      </c>
      <c r="D274" s="2" t="s">
        <v>277</v>
      </c>
      <c r="E274" s="2" t="s">
        <v>296</v>
      </c>
      <c r="F274" s="2" t="s">
        <v>268</v>
      </c>
      <c r="G274" s="2" t="s">
        <v>269</v>
      </c>
      <c r="H274" s="2" t="s">
        <v>297</v>
      </c>
      <c r="I274" s="2" t="s">
        <v>451</v>
      </c>
      <c r="J274" s="2" t="s">
        <v>4</v>
      </c>
      <c r="K274" s="2" t="s">
        <v>232</v>
      </c>
      <c r="L274" s="2" t="s">
        <v>82</v>
      </c>
      <c r="M274" s="38" t="str">
        <f t="shared" si="12"/>
        <v>25</v>
      </c>
      <c r="N274" s="38" t="str">
        <f t="shared" si="13"/>
        <v>03</v>
      </c>
      <c r="O274" s="50" t="s">
        <v>669</v>
      </c>
      <c r="P274" s="50" t="s">
        <v>670</v>
      </c>
      <c r="Q274" s="50">
        <v>1637</v>
      </c>
    </row>
    <row r="275" spans="1:17" ht="16" x14ac:dyDescent="0.45">
      <c r="A275" s="2" t="str">
        <f>IFERROR(VLOOKUP(B275,CODE!$B:$D,3,0),"-")</f>
        <v>SNS</v>
      </c>
      <c r="B275" s="2" t="str">
        <f>IF(L275="-",VLOOKUP(J275,CODE!$B:$D,2,0),L275)</f>
        <v>SNS</v>
      </c>
      <c r="C275" s="2" t="s">
        <v>266</v>
      </c>
      <c r="D275" s="2" t="s">
        <v>277</v>
      </c>
      <c r="E275" s="2" t="s">
        <v>296</v>
      </c>
      <c r="F275" s="2" t="s">
        <v>268</v>
      </c>
      <c r="G275" s="2" t="s">
        <v>269</v>
      </c>
      <c r="H275" s="2" t="s">
        <v>297</v>
      </c>
      <c r="I275" s="2" t="s">
        <v>451</v>
      </c>
      <c r="J275" s="2" t="s">
        <v>4</v>
      </c>
      <c r="K275" s="2" t="s">
        <v>232</v>
      </c>
      <c r="L275" s="2" t="s">
        <v>82</v>
      </c>
      <c r="M275" s="38" t="str">
        <f t="shared" si="12"/>
        <v>25</v>
      </c>
      <c r="N275" s="38" t="str">
        <f t="shared" si="13"/>
        <v>04</v>
      </c>
      <c r="O275" s="50" t="s">
        <v>671</v>
      </c>
      <c r="P275" s="50" t="s">
        <v>672</v>
      </c>
      <c r="Q275" s="50">
        <v>1613</v>
      </c>
    </row>
    <row r="276" spans="1:17" ht="16" x14ac:dyDescent="0.45">
      <c r="A276" s="2" t="str">
        <f>IFERROR(VLOOKUP(B276,CODE!$B:$D,3,0),"-")</f>
        <v>SNS</v>
      </c>
      <c r="B276" s="2" t="str">
        <f>IF(L276="-",VLOOKUP(J276,CODE!$B:$D,2,0),L276)</f>
        <v>SNS</v>
      </c>
      <c r="C276" s="2" t="s">
        <v>266</v>
      </c>
      <c r="D276" s="2" t="s">
        <v>277</v>
      </c>
      <c r="E276" s="2" t="s">
        <v>296</v>
      </c>
      <c r="F276" s="2" t="s">
        <v>268</v>
      </c>
      <c r="G276" s="2" t="s">
        <v>269</v>
      </c>
      <c r="H276" s="2" t="s">
        <v>297</v>
      </c>
      <c r="I276" s="2" t="s">
        <v>451</v>
      </c>
      <c r="J276" s="2" t="s">
        <v>4</v>
      </c>
      <c r="K276" s="2" t="s">
        <v>232</v>
      </c>
      <c r="L276" s="2" t="s">
        <v>82</v>
      </c>
      <c r="M276" s="38" t="str">
        <f t="shared" si="12"/>
        <v>25</v>
      </c>
      <c r="N276" s="38" t="str">
        <f t="shared" si="13"/>
        <v>04</v>
      </c>
      <c r="O276" s="50" t="s">
        <v>673</v>
      </c>
      <c r="P276" s="50" t="s">
        <v>674</v>
      </c>
      <c r="Q276" s="50">
        <v>2823</v>
      </c>
    </row>
    <row r="277" spans="1:17" ht="16" x14ac:dyDescent="0.45">
      <c r="A277" s="2" t="str">
        <f>IFERROR(VLOOKUP(B277,CODE!$B:$D,3,0),"-")</f>
        <v>SNS</v>
      </c>
      <c r="B277" s="2" t="str">
        <f>IF(L277="-",VLOOKUP(J277,CODE!$B:$D,2,0),L277)</f>
        <v>SNS</v>
      </c>
      <c r="C277" s="2" t="s">
        <v>266</v>
      </c>
      <c r="D277" s="2" t="s">
        <v>277</v>
      </c>
      <c r="E277" s="2" t="s">
        <v>296</v>
      </c>
      <c r="F277" s="2" t="s">
        <v>268</v>
      </c>
      <c r="G277" s="2" t="s">
        <v>269</v>
      </c>
      <c r="H277" s="2" t="s">
        <v>297</v>
      </c>
      <c r="I277" s="2" t="s">
        <v>451</v>
      </c>
      <c r="J277" s="2" t="s">
        <v>4</v>
      </c>
      <c r="K277" s="2" t="s">
        <v>232</v>
      </c>
      <c r="L277" s="2" t="s">
        <v>82</v>
      </c>
      <c r="M277" s="38" t="str">
        <f t="shared" si="12"/>
        <v>25</v>
      </c>
      <c r="N277" s="38" t="str">
        <f t="shared" si="13"/>
        <v>04</v>
      </c>
      <c r="O277" s="50" t="s">
        <v>675</v>
      </c>
      <c r="P277" s="50" t="s">
        <v>676</v>
      </c>
      <c r="Q277" s="50">
        <v>807</v>
      </c>
    </row>
    <row r="278" spans="1:17" ht="16" x14ac:dyDescent="0.45">
      <c r="A278" s="2" t="str">
        <f>IFERROR(VLOOKUP(B278,CODE!$B:$D,3,0),"-")</f>
        <v>SNS</v>
      </c>
      <c r="B278" s="2" t="str">
        <f>IF(L278="-",VLOOKUP(J278,CODE!$B:$D,2,0),L278)</f>
        <v>SNS</v>
      </c>
      <c r="C278" s="2" t="s">
        <v>266</v>
      </c>
      <c r="D278" s="2" t="s">
        <v>955</v>
      </c>
      <c r="E278" s="2" t="s">
        <v>280</v>
      </c>
      <c r="F278" s="2" t="s">
        <v>268</v>
      </c>
      <c r="G278" s="2" t="s">
        <v>269</v>
      </c>
      <c r="H278" s="2" t="s">
        <v>279</v>
      </c>
      <c r="I278" s="2" t="s">
        <v>451</v>
      </c>
      <c r="J278" s="2" t="s">
        <v>4</v>
      </c>
      <c r="K278" s="2" t="s">
        <v>232</v>
      </c>
      <c r="L278" s="2" t="s">
        <v>82</v>
      </c>
      <c r="M278" s="38" t="str">
        <f t="shared" si="12"/>
        <v>25</v>
      </c>
      <c r="N278" s="38" t="str">
        <f t="shared" si="13"/>
        <v>02</v>
      </c>
      <c r="O278" s="50" t="s">
        <v>677</v>
      </c>
      <c r="P278" s="50" t="s">
        <v>654</v>
      </c>
      <c r="Q278" s="50">
        <v>1637</v>
      </c>
    </row>
    <row r="279" spans="1:17" ht="16" x14ac:dyDescent="0.45">
      <c r="A279" s="2" t="str">
        <f>IFERROR(VLOOKUP(B279,CODE!$B:$D,3,0),"-")</f>
        <v>SNS</v>
      </c>
      <c r="B279" s="2" t="str">
        <f>IF(L279="-",VLOOKUP(J279,CODE!$B:$D,2,0),L279)</f>
        <v>SNS</v>
      </c>
      <c r="C279" s="2" t="s">
        <v>266</v>
      </c>
      <c r="D279" s="2" t="s">
        <v>955</v>
      </c>
      <c r="E279" s="2" t="s">
        <v>280</v>
      </c>
      <c r="F279" s="2" t="s">
        <v>268</v>
      </c>
      <c r="G279" s="2" t="s">
        <v>269</v>
      </c>
      <c r="H279" s="2" t="s">
        <v>279</v>
      </c>
      <c r="I279" s="2" t="s">
        <v>451</v>
      </c>
      <c r="J279" s="2" t="s">
        <v>4</v>
      </c>
      <c r="K279" s="2" t="s">
        <v>232</v>
      </c>
      <c r="L279" s="2" t="s">
        <v>82</v>
      </c>
      <c r="M279" s="38" t="str">
        <f t="shared" si="12"/>
        <v>25</v>
      </c>
      <c r="N279" s="38" t="str">
        <f t="shared" si="13"/>
        <v>06</v>
      </c>
      <c r="O279" s="50" t="s">
        <v>678</v>
      </c>
      <c r="P279" s="50" t="s">
        <v>679</v>
      </c>
      <c r="Q279" s="50">
        <v>1682</v>
      </c>
    </row>
    <row r="280" spans="1:17" ht="16" x14ac:dyDescent="0.45">
      <c r="A280" s="2" t="str">
        <f>IFERROR(VLOOKUP(B280,CODE!$B:$D,3,0),"-")</f>
        <v>SNS</v>
      </c>
      <c r="B280" s="2" t="str">
        <f>IF(L280="-",VLOOKUP(J280,CODE!$B:$D,2,0),L280)</f>
        <v>SNS</v>
      </c>
      <c r="C280" s="2" t="s">
        <v>266</v>
      </c>
      <c r="D280" s="2" t="s">
        <v>955</v>
      </c>
      <c r="E280" s="2" t="s">
        <v>280</v>
      </c>
      <c r="F280" s="2" t="s">
        <v>268</v>
      </c>
      <c r="G280" s="2" t="s">
        <v>269</v>
      </c>
      <c r="H280" s="2" t="s">
        <v>279</v>
      </c>
      <c r="I280" s="2" t="s">
        <v>451</v>
      </c>
      <c r="J280" s="2" t="s">
        <v>4</v>
      </c>
      <c r="K280" s="2" t="s">
        <v>232</v>
      </c>
      <c r="L280" s="2" t="s">
        <v>82</v>
      </c>
      <c r="M280" s="38" t="str">
        <f t="shared" si="12"/>
        <v>25</v>
      </c>
      <c r="N280" s="38" t="str">
        <f t="shared" si="13"/>
        <v>06</v>
      </c>
      <c r="O280" s="50" t="s">
        <v>680</v>
      </c>
      <c r="P280" s="50" t="s">
        <v>681</v>
      </c>
      <c r="Q280" s="50">
        <v>2803</v>
      </c>
    </row>
    <row r="281" spans="1:17" ht="16" x14ac:dyDescent="0.45">
      <c r="A281" s="2" t="str">
        <f>IFERROR(VLOOKUP(B281,CODE!$B:$D,3,0),"-")</f>
        <v>SNS</v>
      </c>
      <c r="B281" s="2" t="str">
        <f>IF(L281="-",VLOOKUP(J281,CODE!$B:$D,2,0),L281)</f>
        <v>SNS</v>
      </c>
      <c r="C281" s="2" t="s">
        <v>266</v>
      </c>
      <c r="D281" s="2" t="s">
        <v>955</v>
      </c>
      <c r="E281" s="2" t="s">
        <v>280</v>
      </c>
      <c r="F281" s="2" t="s">
        <v>268</v>
      </c>
      <c r="G281" s="2" t="s">
        <v>269</v>
      </c>
      <c r="H281" s="2" t="s">
        <v>279</v>
      </c>
      <c r="I281" s="2" t="s">
        <v>451</v>
      </c>
      <c r="J281" s="2" t="s">
        <v>4</v>
      </c>
      <c r="K281" s="2" t="s">
        <v>232</v>
      </c>
      <c r="L281" s="2" t="s">
        <v>82</v>
      </c>
      <c r="M281" s="38" t="str">
        <f t="shared" si="12"/>
        <v>25</v>
      </c>
      <c r="N281" s="38" t="str">
        <f t="shared" si="13"/>
        <v>06</v>
      </c>
      <c r="O281" s="50" t="s">
        <v>645</v>
      </c>
      <c r="P281" s="50" t="s">
        <v>682</v>
      </c>
      <c r="Q281" s="50">
        <v>1682</v>
      </c>
    </row>
    <row r="282" spans="1:17" ht="16" x14ac:dyDescent="0.45">
      <c r="A282" s="2" t="str">
        <f>IFERROR(VLOOKUP(B282,CODE!$B:$D,3,0),"-")</f>
        <v>네트워크</v>
      </c>
      <c r="B282" s="2" t="str">
        <f>IF(L282="-",VLOOKUP(J282,CODE!$B:$D,2,0),L282)</f>
        <v>애드몹</v>
      </c>
      <c r="C282" s="2" t="s">
        <v>266</v>
      </c>
      <c r="D282" s="2" t="s">
        <v>955</v>
      </c>
      <c r="E282" s="2" t="s">
        <v>280</v>
      </c>
      <c r="F282" s="2" t="s">
        <v>268</v>
      </c>
      <c r="G282" s="2" t="s">
        <v>269</v>
      </c>
      <c r="H282" s="2" t="s">
        <v>279</v>
      </c>
      <c r="I282" s="2" t="s">
        <v>536</v>
      </c>
      <c r="J282" s="2" t="s">
        <v>75</v>
      </c>
      <c r="K282" s="2" t="s">
        <v>232</v>
      </c>
      <c r="L282" s="2" t="s">
        <v>97</v>
      </c>
      <c r="M282" s="38" t="str">
        <f t="shared" si="12"/>
        <v>25</v>
      </c>
      <c r="N282" s="38" t="str">
        <f t="shared" si="13"/>
        <v>06</v>
      </c>
      <c r="O282" s="50" t="s">
        <v>683</v>
      </c>
      <c r="P282" s="50" t="s">
        <v>683</v>
      </c>
      <c r="Q282" s="50">
        <v>160</v>
      </c>
    </row>
    <row r="283" spans="1:17" ht="16" x14ac:dyDescent="0.45">
      <c r="A283" s="2" t="str">
        <f>IFERROR(VLOOKUP(B283,CODE!$B:$D,3,0),"-")</f>
        <v>SNS</v>
      </c>
      <c r="B283" s="2" t="str">
        <f>IF(L283="-",VLOOKUP(J283,CODE!$B:$D,2,0),L283)</f>
        <v>SNS</v>
      </c>
      <c r="C283" s="2" t="s">
        <v>266</v>
      </c>
      <c r="D283" s="2" t="s">
        <v>955</v>
      </c>
      <c r="E283" s="2" t="s">
        <v>398</v>
      </c>
      <c r="F283" s="2" t="s">
        <v>268</v>
      </c>
      <c r="G283" s="2" t="s">
        <v>269</v>
      </c>
      <c r="H283" s="2" t="s">
        <v>279</v>
      </c>
      <c r="I283" s="2" t="s">
        <v>451</v>
      </c>
      <c r="J283" s="2" t="s">
        <v>4</v>
      </c>
      <c r="K283" s="2" t="s">
        <v>232</v>
      </c>
      <c r="L283" s="2" t="s">
        <v>82</v>
      </c>
      <c r="M283" s="38" t="str">
        <f t="shared" si="12"/>
        <v>25</v>
      </c>
      <c r="N283" s="38" t="str">
        <f t="shared" si="13"/>
        <v>06</v>
      </c>
      <c r="O283" s="50" t="s">
        <v>657</v>
      </c>
      <c r="P283" s="50" t="s">
        <v>684</v>
      </c>
      <c r="Q283" s="50">
        <v>2242</v>
      </c>
    </row>
    <row r="284" spans="1:17" ht="16" x14ac:dyDescent="0.45">
      <c r="A284" s="2" t="str">
        <f>IFERROR(VLOOKUP(B284,CODE!$B:$D,3,0),"-")</f>
        <v>SNS</v>
      </c>
      <c r="B284" s="2" t="str">
        <f>IF(L284="-",VLOOKUP(J284,CODE!$B:$D,2,0),L284)</f>
        <v>SNS</v>
      </c>
      <c r="C284" s="2" t="s">
        <v>266</v>
      </c>
      <c r="D284" s="2" t="s">
        <v>955</v>
      </c>
      <c r="E284" s="2" t="s">
        <v>398</v>
      </c>
      <c r="F284" s="2" t="s">
        <v>268</v>
      </c>
      <c r="G284" s="2" t="s">
        <v>269</v>
      </c>
      <c r="H284" s="2" t="s">
        <v>279</v>
      </c>
      <c r="I284" s="2" t="s">
        <v>451</v>
      </c>
      <c r="J284" s="2" t="s">
        <v>4</v>
      </c>
      <c r="K284" s="2" t="s">
        <v>232</v>
      </c>
      <c r="L284" s="2" t="s">
        <v>82</v>
      </c>
      <c r="M284" s="38" t="str">
        <f t="shared" si="12"/>
        <v>25</v>
      </c>
      <c r="N284" s="38" t="str">
        <f t="shared" si="13"/>
        <v>06</v>
      </c>
      <c r="O284" s="50" t="s">
        <v>685</v>
      </c>
      <c r="P284" s="50" t="s">
        <v>686</v>
      </c>
      <c r="Q284" s="50">
        <v>2242</v>
      </c>
    </row>
    <row r="285" spans="1:17" ht="16" x14ac:dyDescent="0.45">
      <c r="A285" s="2" t="str">
        <f>IFERROR(VLOOKUP(B285,CODE!$B:$D,3,0),"-")</f>
        <v>네트워크</v>
      </c>
      <c r="B285" s="2" t="str">
        <f>IF(L285="-",VLOOKUP(J285,CODE!$B:$D,2,0),L285)</f>
        <v>카카오광고</v>
      </c>
      <c r="C285" s="2" t="s">
        <v>266</v>
      </c>
      <c r="D285" s="2" t="s">
        <v>281</v>
      </c>
      <c r="E285" s="2" t="s">
        <v>282</v>
      </c>
      <c r="F285" s="2" t="s">
        <v>268</v>
      </c>
      <c r="G285" s="2" t="s">
        <v>283</v>
      </c>
      <c r="H285" s="2" t="s">
        <v>284</v>
      </c>
      <c r="I285" s="2" t="s">
        <v>95</v>
      </c>
      <c r="J285" s="2" t="s">
        <v>1</v>
      </c>
      <c r="K285" s="2" t="s">
        <v>228</v>
      </c>
      <c r="L285" s="2" t="s">
        <v>83</v>
      </c>
      <c r="M285" s="38" t="str">
        <f t="shared" si="12"/>
        <v>25</v>
      </c>
      <c r="N285" s="38" t="str">
        <f t="shared" si="13"/>
        <v>02</v>
      </c>
      <c r="O285" s="50" t="s">
        <v>660</v>
      </c>
      <c r="P285" s="50" t="s">
        <v>332</v>
      </c>
      <c r="Q285" s="50">
        <v>3726</v>
      </c>
    </row>
    <row r="286" spans="1:17" ht="16" x14ac:dyDescent="0.45">
      <c r="A286" s="2" t="str">
        <f>IFERROR(VLOOKUP(B286,CODE!$B:$D,3,0),"-")</f>
        <v>네트워크</v>
      </c>
      <c r="B286" s="2" t="str">
        <f>IF(L286="-",VLOOKUP(J286,CODE!$B:$D,2,0),L286)</f>
        <v>카카오광고</v>
      </c>
      <c r="C286" s="2" t="s">
        <v>266</v>
      </c>
      <c r="D286" s="2" t="s">
        <v>281</v>
      </c>
      <c r="E286" s="2" t="s">
        <v>282</v>
      </c>
      <c r="F286" s="2" t="s">
        <v>268</v>
      </c>
      <c r="G286" s="2" t="s">
        <v>283</v>
      </c>
      <c r="H286" s="2" t="s">
        <v>284</v>
      </c>
      <c r="I286" s="2" t="s">
        <v>95</v>
      </c>
      <c r="J286" s="2" t="s">
        <v>1</v>
      </c>
      <c r="K286" s="2" t="s">
        <v>228</v>
      </c>
      <c r="L286" s="2" t="s">
        <v>83</v>
      </c>
      <c r="M286" s="38" t="str">
        <f t="shared" si="12"/>
        <v>25</v>
      </c>
      <c r="N286" s="38" t="str">
        <f t="shared" si="13"/>
        <v>02</v>
      </c>
      <c r="O286" s="50" t="s">
        <v>660</v>
      </c>
      <c r="P286" s="50" t="s">
        <v>687</v>
      </c>
      <c r="Q286" s="50">
        <v>5217</v>
      </c>
    </row>
    <row r="287" spans="1:17" ht="16" x14ac:dyDescent="0.45">
      <c r="A287" s="2" t="str">
        <f>IFERROR(VLOOKUP(B287,CODE!$B:$D,3,0),"-")</f>
        <v>네트워크</v>
      </c>
      <c r="B287" s="2" t="str">
        <f>IF(L287="-",VLOOKUP(J287,CODE!$B:$D,2,0),L287)</f>
        <v>카카오광고</v>
      </c>
      <c r="C287" s="2" t="s">
        <v>266</v>
      </c>
      <c r="D287" s="2" t="s">
        <v>281</v>
      </c>
      <c r="E287" s="2" t="s">
        <v>282</v>
      </c>
      <c r="F287" s="2" t="s">
        <v>268</v>
      </c>
      <c r="G287" s="2" t="s">
        <v>283</v>
      </c>
      <c r="H287" s="2" t="s">
        <v>284</v>
      </c>
      <c r="I287" s="2" t="s">
        <v>95</v>
      </c>
      <c r="J287" s="2" t="s">
        <v>1</v>
      </c>
      <c r="K287" s="2" t="s">
        <v>228</v>
      </c>
      <c r="L287" s="2" t="s">
        <v>83</v>
      </c>
      <c r="M287" s="38" t="str">
        <f t="shared" si="12"/>
        <v>25</v>
      </c>
      <c r="N287" s="38" t="str">
        <f t="shared" si="13"/>
        <v>02</v>
      </c>
      <c r="O287" s="50" t="s">
        <v>649</v>
      </c>
      <c r="P287" s="50" t="s">
        <v>688</v>
      </c>
      <c r="Q287" s="50">
        <v>8944</v>
      </c>
    </row>
    <row r="288" spans="1:17" ht="16" x14ac:dyDescent="0.45">
      <c r="A288" s="2" t="str">
        <f>IFERROR(VLOOKUP(B288,CODE!$B:$D,3,0),"-")</f>
        <v>포털</v>
      </c>
      <c r="B288" s="2" t="str">
        <f>IF(L288="-",VLOOKUP(J288,CODE!$B:$D,2,0),L288)</f>
        <v>포털</v>
      </c>
      <c r="C288" s="2" t="s">
        <v>266</v>
      </c>
      <c r="D288" s="2" t="s">
        <v>281</v>
      </c>
      <c r="E288" s="2" t="s">
        <v>282</v>
      </c>
      <c r="F288" s="2" t="s">
        <v>268</v>
      </c>
      <c r="G288" s="2" t="s">
        <v>283</v>
      </c>
      <c r="H288" s="2" t="s">
        <v>284</v>
      </c>
      <c r="I288" s="2" t="s">
        <v>229</v>
      </c>
      <c r="J288" s="2" t="s">
        <v>1</v>
      </c>
      <c r="K288" s="2" t="s">
        <v>228</v>
      </c>
      <c r="L288" s="2" t="s">
        <v>82</v>
      </c>
      <c r="M288" s="38" t="str">
        <f t="shared" si="12"/>
        <v>25</v>
      </c>
      <c r="N288" s="38" t="str">
        <f t="shared" si="13"/>
        <v>02</v>
      </c>
      <c r="O288" s="50" t="s">
        <v>332</v>
      </c>
      <c r="P288" s="50" t="s">
        <v>332</v>
      </c>
      <c r="Q288" s="50">
        <v>2547</v>
      </c>
    </row>
    <row r="289" spans="1:17" ht="16" x14ac:dyDescent="0.45">
      <c r="A289" s="2" t="str">
        <f>IFERROR(VLOOKUP(B289,CODE!$B:$D,3,0),"-")</f>
        <v>포털</v>
      </c>
      <c r="B289" s="2" t="str">
        <f>IF(L289="-",VLOOKUP(J289,CODE!$B:$D,2,0),L289)</f>
        <v>포털</v>
      </c>
      <c r="C289" s="2" t="s">
        <v>266</v>
      </c>
      <c r="D289" s="2" t="s">
        <v>281</v>
      </c>
      <c r="E289" s="2" t="s">
        <v>282</v>
      </c>
      <c r="F289" s="2" t="s">
        <v>268</v>
      </c>
      <c r="G289" s="2" t="s">
        <v>283</v>
      </c>
      <c r="H289" s="2" t="s">
        <v>284</v>
      </c>
      <c r="I289" s="2" t="s">
        <v>229</v>
      </c>
      <c r="J289" s="2" t="s">
        <v>1</v>
      </c>
      <c r="K289" s="2" t="s">
        <v>228</v>
      </c>
      <c r="L289" s="2" t="s">
        <v>82</v>
      </c>
      <c r="M289" s="38" t="str">
        <f t="shared" si="12"/>
        <v>25</v>
      </c>
      <c r="N289" s="38" t="str">
        <f t="shared" si="13"/>
        <v>04</v>
      </c>
      <c r="O289" s="50" t="s">
        <v>672</v>
      </c>
      <c r="P289" s="50" t="s">
        <v>672</v>
      </c>
      <c r="Q289" s="50">
        <v>5094</v>
      </c>
    </row>
    <row r="290" spans="1:17" ht="16" x14ac:dyDescent="0.45">
      <c r="A290" s="2" t="str">
        <f>IFERROR(VLOOKUP(B290,CODE!$B:$D,3,0),"-")</f>
        <v>포털</v>
      </c>
      <c r="B290" s="2" t="str">
        <f>IF(L290="-",VLOOKUP(J290,CODE!$B:$D,2,0),L290)</f>
        <v>포털</v>
      </c>
      <c r="C290" s="2" t="s">
        <v>266</v>
      </c>
      <c r="D290" s="2" t="s">
        <v>281</v>
      </c>
      <c r="E290" s="2" t="s">
        <v>282</v>
      </c>
      <c r="F290" s="2" t="s">
        <v>268</v>
      </c>
      <c r="G290" s="2" t="s">
        <v>283</v>
      </c>
      <c r="H290" s="2" t="s">
        <v>284</v>
      </c>
      <c r="I290" s="2" t="s">
        <v>229</v>
      </c>
      <c r="J290" s="2" t="s">
        <v>1</v>
      </c>
      <c r="K290" s="2" t="s">
        <v>228</v>
      </c>
      <c r="L290" s="2" t="s">
        <v>82</v>
      </c>
      <c r="M290" s="38" t="str">
        <f t="shared" si="12"/>
        <v>25</v>
      </c>
      <c r="N290" s="38" t="str">
        <f t="shared" si="13"/>
        <v>06</v>
      </c>
      <c r="O290" s="50" t="s">
        <v>689</v>
      </c>
      <c r="P290" s="50" t="s">
        <v>689</v>
      </c>
      <c r="Q290" s="50">
        <v>3065</v>
      </c>
    </row>
    <row r="291" spans="1:17" ht="16" x14ac:dyDescent="0.45">
      <c r="A291" s="2" t="str">
        <f>IFERROR(VLOOKUP(B291,CODE!$B:$D,3,0),"-")</f>
        <v>네트워크</v>
      </c>
      <c r="B291" s="2" t="str">
        <f>IF(L291="-",VLOOKUP(J291,CODE!$B:$D,2,0),L291)</f>
        <v>애드몹</v>
      </c>
      <c r="C291" s="2" t="s">
        <v>266</v>
      </c>
      <c r="D291" s="2" t="s">
        <v>281</v>
      </c>
      <c r="E291" s="2" t="s">
        <v>282</v>
      </c>
      <c r="F291" s="2" t="s">
        <v>268</v>
      </c>
      <c r="G291" s="2" t="s">
        <v>283</v>
      </c>
      <c r="H291" s="2" t="s">
        <v>284</v>
      </c>
      <c r="I291" s="2" t="s">
        <v>343</v>
      </c>
      <c r="J291" s="2" t="s">
        <v>7</v>
      </c>
      <c r="K291" s="2" t="s">
        <v>228</v>
      </c>
      <c r="L291" s="2" t="s">
        <v>97</v>
      </c>
      <c r="M291" s="38" t="str">
        <f t="shared" si="12"/>
        <v>25</v>
      </c>
      <c r="N291" s="38" t="str">
        <f t="shared" si="13"/>
        <v>01</v>
      </c>
      <c r="O291" s="50" t="s">
        <v>690</v>
      </c>
      <c r="P291" s="50" t="s">
        <v>690</v>
      </c>
      <c r="Q291" s="50">
        <v>159</v>
      </c>
    </row>
    <row r="292" spans="1:17" ht="16" x14ac:dyDescent="0.45">
      <c r="A292" s="2" t="str">
        <f>IFERROR(VLOOKUP(B292,CODE!$B:$D,3,0),"-")</f>
        <v>네트워크</v>
      </c>
      <c r="B292" s="2" t="str">
        <f>IF(L292="-",VLOOKUP(J292,CODE!$B:$D,2,0),L292)</f>
        <v>애드몹</v>
      </c>
      <c r="C292" s="2" t="s">
        <v>266</v>
      </c>
      <c r="D292" s="2" t="s">
        <v>281</v>
      </c>
      <c r="E292" s="2" t="s">
        <v>282</v>
      </c>
      <c r="F292" s="2" t="s">
        <v>268</v>
      </c>
      <c r="G292" s="2" t="s">
        <v>283</v>
      </c>
      <c r="H292" s="2" t="s">
        <v>284</v>
      </c>
      <c r="I292" s="2" t="s">
        <v>343</v>
      </c>
      <c r="J292" s="2" t="s">
        <v>7</v>
      </c>
      <c r="K292" s="2" t="s">
        <v>228</v>
      </c>
      <c r="L292" s="2" t="s">
        <v>97</v>
      </c>
      <c r="M292" s="38" t="str">
        <f t="shared" si="12"/>
        <v>25</v>
      </c>
      <c r="N292" s="38" t="str">
        <f t="shared" si="13"/>
        <v>01</v>
      </c>
      <c r="O292" s="50" t="s">
        <v>322</v>
      </c>
      <c r="P292" s="50" t="s">
        <v>322</v>
      </c>
      <c r="Q292" s="50">
        <v>159</v>
      </c>
    </row>
    <row r="293" spans="1:17" ht="16" x14ac:dyDescent="0.45">
      <c r="A293" s="2" t="str">
        <f>IFERROR(VLOOKUP(B293,CODE!$B:$D,3,0),"-")</f>
        <v>네트워크</v>
      </c>
      <c r="B293" s="2" t="str">
        <f>IF(L293="-",VLOOKUP(J293,CODE!$B:$D,2,0),L293)</f>
        <v>애드몹</v>
      </c>
      <c r="C293" s="2" t="s">
        <v>266</v>
      </c>
      <c r="D293" s="2" t="s">
        <v>281</v>
      </c>
      <c r="E293" s="2" t="s">
        <v>282</v>
      </c>
      <c r="F293" s="2" t="s">
        <v>268</v>
      </c>
      <c r="G293" s="2" t="s">
        <v>283</v>
      </c>
      <c r="H293" s="2" t="s">
        <v>284</v>
      </c>
      <c r="I293" s="2" t="s">
        <v>343</v>
      </c>
      <c r="J293" s="2" t="s">
        <v>7</v>
      </c>
      <c r="K293" s="2" t="s">
        <v>228</v>
      </c>
      <c r="L293" s="2" t="s">
        <v>97</v>
      </c>
      <c r="M293" s="38" t="str">
        <f t="shared" si="12"/>
        <v>25</v>
      </c>
      <c r="N293" s="38" t="str">
        <f t="shared" si="13"/>
        <v>02</v>
      </c>
      <c r="O293" s="50" t="s">
        <v>659</v>
      </c>
      <c r="P293" s="50" t="s">
        <v>659</v>
      </c>
      <c r="Q293" s="50">
        <v>220</v>
      </c>
    </row>
    <row r="294" spans="1:17" ht="16" x14ac:dyDescent="0.45">
      <c r="A294" s="2" t="str">
        <f>IFERROR(VLOOKUP(B294,CODE!$B:$D,3,0),"-")</f>
        <v>네트워크</v>
      </c>
      <c r="B294" s="2" t="str">
        <f>IF(L294="-",VLOOKUP(J294,CODE!$B:$D,2,0),L294)</f>
        <v>애드몹</v>
      </c>
      <c r="C294" s="2" t="s">
        <v>266</v>
      </c>
      <c r="D294" s="2" t="s">
        <v>281</v>
      </c>
      <c r="E294" s="2" t="s">
        <v>282</v>
      </c>
      <c r="F294" s="2" t="s">
        <v>268</v>
      </c>
      <c r="G294" s="2" t="s">
        <v>283</v>
      </c>
      <c r="H294" s="2" t="s">
        <v>284</v>
      </c>
      <c r="I294" s="2" t="s">
        <v>452</v>
      </c>
      <c r="J294" s="2" t="s">
        <v>60</v>
      </c>
      <c r="K294" s="2" t="s">
        <v>228</v>
      </c>
      <c r="L294" s="2" t="s">
        <v>97</v>
      </c>
      <c r="M294" s="38" t="str">
        <f t="shared" si="12"/>
        <v>25</v>
      </c>
      <c r="N294" s="38" t="str">
        <f t="shared" si="13"/>
        <v>02</v>
      </c>
      <c r="O294" s="50" t="s">
        <v>691</v>
      </c>
      <c r="P294" s="50" t="s">
        <v>691</v>
      </c>
      <c r="Q294" s="50">
        <v>220</v>
      </c>
    </row>
    <row r="295" spans="1:17" ht="16" x14ac:dyDescent="0.45">
      <c r="A295" s="2" t="str">
        <f>IFERROR(VLOOKUP(B295,CODE!$B:$D,3,0),"-")</f>
        <v>네트워크</v>
      </c>
      <c r="B295" s="2" t="str">
        <f>IF(L295="-",VLOOKUP(J295,CODE!$B:$D,2,0),L295)</f>
        <v>애드몹</v>
      </c>
      <c r="C295" s="2" t="s">
        <v>266</v>
      </c>
      <c r="D295" s="2" t="s">
        <v>281</v>
      </c>
      <c r="E295" s="2" t="s">
        <v>282</v>
      </c>
      <c r="F295" s="2" t="s">
        <v>268</v>
      </c>
      <c r="G295" s="2" t="s">
        <v>283</v>
      </c>
      <c r="H295" s="2" t="s">
        <v>284</v>
      </c>
      <c r="I295" s="2" t="s">
        <v>537</v>
      </c>
      <c r="J295" s="2" t="s">
        <v>272</v>
      </c>
      <c r="K295" s="2" t="s">
        <v>228</v>
      </c>
      <c r="L295" s="2" t="s">
        <v>97</v>
      </c>
      <c r="M295" s="38" t="str">
        <f t="shared" si="12"/>
        <v>25</v>
      </c>
      <c r="N295" s="38" t="str">
        <f t="shared" si="13"/>
        <v>04</v>
      </c>
      <c r="O295" s="50" t="s">
        <v>692</v>
      </c>
      <c r="P295" s="50" t="s">
        <v>692</v>
      </c>
      <c r="Q295" s="50">
        <v>452</v>
      </c>
    </row>
    <row r="296" spans="1:17" ht="16" x14ac:dyDescent="0.45">
      <c r="A296" s="2" t="str">
        <f>IFERROR(VLOOKUP(B296,CODE!$B:$D,3,0),"-")</f>
        <v>네트워크</v>
      </c>
      <c r="B296" s="2" t="str">
        <f>IF(L296="-",VLOOKUP(J296,CODE!$B:$D,2,0),L296)</f>
        <v>애드몹</v>
      </c>
      <c r="C296" s="2" t="s">
        <v>266</v>
      </c>
      <c r="D296" s="2" t="s">
        <v>281</v>
      </c>
      <c r="E296" s="2" t="s">
        <v>282</v>
      </c>
      <c r="F296" s="2" t="s">
        <v>268</v>
      </c>
      <c r="G296" s="2" t="s">
        <v>283</v>
      </c>
      <c r="H296" s="2" t="s">
        <v>284</v>
      </c>
      <c r="I296" s="2" t="s">
        <v>538</v>
      </c>
      <c r="J296" s="2" t="s">
        <v>98</v>
      </c>
      <c r="K296" s="2" t="s">
        <v>228</v>
      </c>
      <c r="L296" s="2" t="s">
        <v>97</v>
      </c>
      <c r="M296" s="38" t="str">
        <f t="shared" si="12"/>
        <v>25</v>
      </c>
      <c r="N296" s="38" t="str">
        <f t="shared" si="13"/>
        <v>02</v>
      </c>
      <c r="O296" s="50" t="s">
        <v>693</v>
      </c>
      <c r="P296" s="50" t="s">
        <v>693</v>
      </c>
      <c r="Q296" s="50">
        <v>436</v>
      </c>
    </row>
    <row r="297" spans="1:17" ht="16" x14ac:dyDescent="0.45">
      <c r="A297" s="2" t="str">
        <f>IFERROR(VLOOKUP(B297,CODE!$B:$D,3,0),"-")</f>
        <v>네트워크</v>
      </c>
      <c r="B297" s="2" t="str">
        <f>IF(L297="-",VLOOKUP(J297,CODE!$B:$D,2,0),L297)</f>
        <v>애드몹</v>
      </c>
      <c r="C297" s="2" t="s">
        <v>266</v>
      </c>
      <c r="D297" s="2" t="s">
        <v>281</v>
      </c>
      <c r="E297" s="2" t="s">
        <v>282</v>
      </c>
      <c r="F297" s="2" t="s">
        <v>268</v>
      </c>
      <c r="G297" s="2" t="s">
        <v>283</v>
      </c>
      <c r="H297" s="2" t="s">
        <v>284</v>
      </c>
      <c r="I297" s="2" t="s">
        <v>378</v>
      </c>
      <c r="J297" s="2" t="s">
        <v>60</v>
      </c>
      <c r="K297" s="2" t="s">
        <v>228</v>
      </c>
      <c r="L297" s="2" t="s">
        <v>97</v>
      </c>
      <c r="M297" s="38" t="str">
        <f t="shared" si="12"/>
        <v>25</v>
      </c>
      <c r="N297" s="38" t="str">
        <f t="shared" si="13"/>
        <v>02</v>
      </c>
      <c r="O297" s="50" t="s">
        <v>660</v>
      </c>
      <c r="P297" s="50" t="s">
        <v>660</v>
      </c>
      <c r="Q297" s="50">
        <v>220</v>
      </c>
    </row>
    <row r="298" spans="1:17" ht="16" x14ac:dyDescent="0.45">
      <c r="A298" s="2" t="str">
        <f>IFERROR(VLOOKUP(B298,CODE!$B:$D,3,0),"-")</f>
        <v>네트워크</v>
      </c>
      <c r="B298" s="2" t="str">
        <f>IF(L298="-",VLOOKUP(J298,CODE!$B:$D,2,0),L298)</f>
        <v>애드몹</v>
      </c>
      <c r="C298" s="2" t="s">
        <v>266</v>
      </c>
      <c r="D298" s="2" t="s">
        <v>281</v>
      </c>
      <c r="E298" s="2" t="s">
        <v>282</v>
      </c>
      <c r="F298" s="2" t="s">
        <v>268</v>
      </c>
      <c r="G298" s="2" t="s">
        <v>283</v>
      </c>
      <c r="H298" s="2" t="s">
        <v>284</v>
      </c>
      <c r="I298" s="2" t="s">
        <v>539</v>
      </c>
      <c r="J298" s="2" t="s">
        <v>58</v>
      </c>
      <c r="K298" s="2" t="s">
        <v>232</v>
      </c>
      <c r="L298" s="2" t="s">
        <v>97</v>
      </c>
      <c r="M298" s="38" t="str">
        <f t="shared" si="12"/>
        <v>25</v>
      </c>
      <c r="N298" s="38" t="str">
        <f t="shared" si="13"/>
        <v>02</v>
      </c>
      <c r="O298" s="50" t="s">
        <v>332</v>
      </c>
      <c r="P298" s="50" t="s">
        <v>332</v>
      </c>
      <c r="Q298" s="50">
        <v>128</v>
      </c>
    </row>
    <row r="299" spans="1:17" ht="16" x14ac:dyDescent="0.45">
      <c r="A299" s="2" t="str">
        <f>IFERROR(VLOOKUP(B299,CODE!$B:$D,3,0),"-")</f>
        <v>네트워크</v>
      </c>
      <c r="B299" s="2" t="str">
        <f>IF(L299="-",VLOOKUP(J299,CODE!$B:$D,2,0),L299)</f>
        <v>애드몹</v>
      </c>
      <c r="C299" s="2" t="s">
        <v>266</v>
      </c>
      <c r="D299" s="2" t="s">
        <v>281</v>
      </c>
      <c r="E299" s="2" t="s">
        <v>282</v>
      </c>
      <c r="F299" s="2" t="s">
        <v>268</v>
      </c>
      <c r="G299" s="2" t="s">
        <v>283</v>
      </c>
      <c r="H299" s="2" t="s">
        <v>284</v>
      </c>
      <c r="I299" s="2" t="s">
        <v>540</v>
      </c>
      <c r="J299" s="2" t="s">
        <v>73</v>
      </c>
      <c r="K299" s="2" t="s">
        <v>232</v>
      </c>
      <c r="L299" s="2" t="s">
        <v>97</v>
      </c>
      <c r="M299" s="38" t="str">
        <f t="shared" si="12"/>
        <v>25</v>
      </c>
      <c r="N299" s="38" t="str">
        <f t="shared" si="13"/>
        <v>02</v>
      </c>
      <c r="O299" s="50" t="s">
        <v>332</v>
      </c>
      <c r="P299" s="50" t="s">
        <v>332</v>
      </c>
      <c r="Q299" s="50">
        <v>128</v>
      </c>
    </row>
    <row r="300" spans="1:17" ht="16" x14ac:dyDescent="0.45">
      <c r="A300" s="2" t="str">
        <f>IFERROR(VLOOKUP(B300,CODE!$B:$D,3,0),"-")</f>
        <v>네트워크</v>
      </c>
      <c r="B300" s="2" t="str">
        <f>IF(L300="-",VLOOKUP(J300,CODE!$B:$D,2,0),L300)</f>
        <v>애드몹</v>
      </c>
      <c r="C300" s="2" t="s">
        <v>266</v>
      </c>
      <c r="D300" s="2" t="s">
        <v>281</v>
      </c>
      <c r="E300" s="2" t="s">
        <v>282</v>
      </c>
      <c r="F300" s="2" t="s">
        <v>268</v>
      </c>
      <c r="G300" s="2" t="s">
        <v>283</v>
      </c>
      <c r="H300" s="2" t="s">
        <v>284</v>
      </c>
      <c r="I300" s="2" t="s">
        <v>453</v>
      </c>
      <c r="J300" s="2" t="s">
        <v>73</v>
      </c>
      <c r="K300" s="2" t="s">
        <v>232</v>
      </c>
      <c r="L300" s="2" t="s">
        <v>97</v>
      </c>
      <c r="M300" s="38" t="str">
        <f t="shared" si="12"/>
        <v>25</v>
      </c>
      <c r="N300" s="38" t="str">
        <f t="shared" si="13"/>
        <v>01</v>
      </c>
      <c r="O300" s="50" t="s">
        <v>694</v>
      </c>
      <c r="P300" s="50" t="s">
        <v>694</v>
      </c>
      <c r="Q300" s="50">
        <v>93</v>
      </c>
    </row>
    <row r="301" spans="1:17" ht="16" x14ac:dyDescent="0.45">
      <c r="A301" s="2" t="str">
        <f>IFERROR(VLOOKUP(B301,CODE!$B:$D,3,0),"-")</f>
        <v>네트워크</v>
      </c>
      <c r="B301" s="2" t="str">
        <f>IF(L301="-",VLOOKUP(J301,CODE!$B:$D,2,0),L301)</f>
        <v>애드몹</v>
      </c>
      <c r="C301" s="2" t="s">
        <v>266</v>
      </c>
      <c r="D301" s="2" t="s">
        <v>281</v>
      </c>
      <c r="E301" s="2" t="s">
        <v>282</v>
      </c>
      <c r="F301" s="2" t="s">
        <v>268</v>
      </c>
      <c r="G301" s="2" t="s">
        <v>283</v>
      </c>
      <c r="H301" s="2" t="s">
        <v>284</v>
      </c>
      <c r="I301" s="2" t="s">
        <v>453</v>
      </c>
      <c r="J301" s="2" t="s">
        <v>73</v>
      </c>
      <c r="K301" s="2" t="s">
        <v>232</v>
      </c>
      <c r="L301" s="2" t="s">
        <v>97</v>
      </c>
      <c r="M301" s="38" t="str">
        <f t="shared" si="12"/>
        <v>25</v>
      </c>
      <c r="N301" s="38" t="str">
        <f t="shared" si="13"/>
        <v>02</v>
      </c>
      <c r="O301" s="50" t="s">
        <v>695</v>
      </c>
      <c r="P301" s="50" t="s">
        <v>695</v>
      </c>
      <c r="Q301" s="50">
        <v>128</v>
      </c>
    </row>
    <row r="302" spans="1:17" ht="16" x14ac:dyDescent="0.45">
      <c r="A302" s="2" t="str">
        <f>IFERROR(VLOOKUP(B302,CODE!$B:$D,3,0),"-")</f>
        <v>네트워크</v>
      </c>
      <c r="B302" s="2" t="str">
        <f>IF(L302="-",VLOOKUP(J302,CODE!$B:$D,2,0),L302)</f>
        <v>애드몹</v>
      </c>
      <c r="C302" s="2" t="s">
        <v>266</v>
      </c>
      <c r="D302" s="2" t="s">
        <v>281</v>
      </c>
      <c r="E302" s="2" t="s">
        <v>282</v>
      </c>
      <c r="F302" s="2" t="s">
        <v>268</v>
      </c>
      <c r="G302" s="2" t="s">
        <v>283</v>
      </c>
      <c r="H302" s="2" t="s">
        <v>284</v>
      </c>
      <c r="I302" s="2" t="s">
        <v>454</v>
      </c>
      <c r="J302" s="2" t="s">
        <v>79</v>
      </c>
      <c r="K302" s="2" t="s">
        <v>232</v>
      </c>
      <c r="L302" s="2" t="s">
        <v>97</v>
      </c>
      <c r="M302" s="38" t="str">
        <f t="shared" si="12"/>
        <v>25</v>
      </c>
      <c r="N302" s="38" t="str">
        <f t="shared" si="13"/>
        <v>04</v>
      </c>
      <c r="O302" s="50" t="s">
        <v>696</v>
      </c>
      <c r="P302" s="50" t="s">
        <v>696</v>
      </c>
      <c r="Q302" s="50">
        <v>133</v>
      </c>
    </row>
    <row r="303" spans="1:17" ht="16" x14ac:dyDescent="0.45">
      <c r="A303" s="2" t="str">
        <f>IFERROR(VLOOKUP(B303,CODE!$B:$D,3,0),"-")</f>
        <v>네트워크</v>
      </c>
      <c r="B303" s="2" t="str">
        <f>IF(L303="-",VLOOKUP(J303,CODE!$B:$D,2,0),L303)</f>
        <v>애드몹</v>
      </c>
      <c r="C303" s="2" t="s">
        <v>266</v>
      </c>
      <c r="D303" s="2" t="s">
        <v>281</v>
      </c>
      <c r="E303" s="2" t="s">
        <v>282</v>
      </c>
      <c r="F303" s="2" t="s">
        <v>268</v>
      </c>
      <c r="G303" s="2" t="s">
        <v>283</v>
      </c>
      <c r="H303" s="2" t="s">
        <v>284</v>
      </c>
      <c r="I303" s="2" t="s">
        <v>541</v>
      </c>
      <c r="J303" s="2" t="s">
        <v>58</v>
      </c>
      <c r="K303" s="2" t="s">
        <v>232</v>
      </c>
      <c r="L303" s="2" t="s">
        <v>97</v>
      </c>
      <c r="M303" s="38" t="str">
        <f t="shared" si="12"/>
        <v>25</v>
      </c>
      <c r="N303" s="38" t="str">
        <f t="shared" si="13"/>
        <v>01</v>
      </c>
      <c r="O303" s="50" t="s">
        <v>697</v>
      </c>
      <c r="P303" s="50" t="s">
        <v>697</v>
      </c>
      <c r="Q303" s="50">
        <v>93</v>
      </c>
    </row>
    <row r="304" spans="1:17" ht="16" x14ac:dyDescent="0.45">
      <c r="A304" s="2" t="str">
        <f>IFERROR(VLOOKUP(B304,CODE!$B:$D,3,0),"-")</f>
        <v>네트워크</v>
      </c>
      <c r="B304" s="2" t="str">
        <f>IF(L304="-",VLOOKUP(J304,CODE!$B:$D,2,0),L304)</f>
        <v>애드몹</v>
      </c>
      <c r="C304" s="2" t="s">
        <v>266</v>
      </c>
      <c r="D304" s="2" t="s">
        <v>281</v>
      </c>
      <c r="E304" s="2" t="s">
        <v>282</v>
      </c>
      <c r="F304" s="2" t="s">
        <v>268</v>
      </c>
      <c r="G304" s="2" t="s">
        <v>283</v>
      </c>
      <c r="H304" s="2" t="s">
        <v>284</v>
      </c>
      <c r="I304" s="2" t="s">
        <v>542</v>
      </c>
      <c r="J304" s="2" t="s">
        <v>79</v>
      </c>
      <c r="K304" s="2" t="s">
        <v>232</v>
      </c>
      <c r="L304" s="2" t="s">
        <v>97</v>
      </c>
      <c r="M304" s="38" t="str">
        <f t="shared" si="12"/>
        <v>25</v>
      </c>
      <c r="N304" s="38" t="str">
        <f t="shared" si="13"/>
        <v>04</v>
      </c>
      <c r="O304" s="50" t="s">
        <v>698</v>
      </c>
      <c r="P304" s="50" t="s">
        <v>698</v>
      </c>
      <c r="Q304" s="50">
        <v>133</v>
      </c>
    </row>
    <row r="305" spans="1:17" ht="16" x14ac:dyDescent="0.45">
      <c r="A305" s="2" t="str">
        <f>IFERROR(VLOOKUP(B305,CODE!$B:$D,3,0),"-")</f>
        <v>네트워크</v>
      </c>
      <c r="B305" s="2" t="str">
        <f>IF(L305="-",VLOOKUP(J305,CODE!$B:$D,2,0),L305)</f>
        <v>애드몹</v>
      </c>
      <c r="C305" s="2" t="s">
        <v>266</v>
      </c>
      <c r="D305" s="2" t="s">
        <v>281</v>
      </c>
      <c r="E305" s="2" t="s">
        <v>282</v>
      </c>
      <c r="F305" s="2" t="s">
        <v>268</v>
      </c>
      <c r="G305" s="2" t="s">
        <v>283</v>
      </c>
      <c r="H305" s="2" t="s">
        <v>284</v>
      </c>
      <c r="I305" s="2" t="s">
        <v>542</v>
      </c>
      <c r="J305" s="2" t="s">
        <v>79</v>
      </c>
      <c r="K305" s="2" t="s">
        <v>232</v>
      </c>
      <c r="L305" s="2" t="s">
        <v>97</v>
      </c>
      <c r="M305" s="38" t="str">
        <f t="shared" si="12"/>
        <v>25</v>
      </c>
      <c r="N305" s="38" t="str">
        <f t="shared" si="13"/>
        <v>04</v>
      </c>
      <c r="O305" s="50" t="s">
        <v>699</v>
      </c>
      <c r="P305" s="50" t="s">
        <v>699</v>
      </c>
      <c r="Q305" s="50">
        <v>133</v>
      </c>
    </row>
    <row r="306" spans="1:17" ht="16" x14ac:dyDescent="0.45">
      <c r="A306" s="2" t="str">
        <f>IFERROR(VLOOKUP(B306,CODE!$B:$D,3,0),"-")</f>
        <v>네트워크</v>
      </c>
      <c r="B306" s="2" t="str">
        <f>IF(L306="-",VLOOKUP(J306,CODE!$B:$D,2,0),L306)</f>
        <v>카카오광고</v>
      </c>
      <c r="C306" s="2" t="s">
        <v>266</v>
      </c>
      <c r="D306" s="2" t="s">
        <v>281</v>
      </c>
      <c r="E306" s="2" t="s">
        <v>282</v>
      </c>
      <c r="F306" s="2" t="s">
        <v>268</v>
      </c>
      <c r="G306" s="2" t="s">
        <v>283</v>
      </c>
      <c r="H306" s="2" t="s">
        <v>284</v>
      </c>
      <c r="I306" s="2" t="s">
        <v>231</v>
      </c>
      <c r="J306" s="2" t="s">
        <v>76</v>
      </c>
      <c r="K306" s="2" t="s">
        <v>232</v>
      </c>
      <c r="L306" s="2" t="s">
        <v>83</v>
      </c>
      <c r="M306" s="38" t="str">
        <f t="shared" si="12"/>
        <v>25</v>
      </c>
      <c r="N306" s="38" t="str">
        <f t="shared" si="13"/>
        <v>02</v>
      </c>
      <c r="O306" s="50" t="s">
        <v>700</v>
      </c>
      <c r="P306" s="50" t="s">
        <v>700</v>
      </c>
      <c r="Q306" s="50">
        <v>5895</v>
      </c>
    </row>
    <row r="307" spans="1:17" ht="16" x14ac:dyDescent="0.45">
      <c r="A307" s="2" t="str">
        <f>IFERROR(VLOOKUP(B307,CODE!$B:$D,3,0),"-")</f>
        <v>네트워크</v>
      </c>
      <c r="B307" s="2" t="str">
        <f>IF(L307="-",VLOOKUP(J307,CODE!$B:$D,2,0),L307)</f>
        <v>카카오광고</v>
      </c>
      <c r="C307" s="2" t="s">
        <v>266</v>
      </c>
      <c r="D307" s="2" t="s">
        <v>281</v>
      </c>
      <c r="E307" s="2" t="s">
        <v>282</v>
      </c>
      <c r="F307" s="2" t="s">
        <v>268</v>
      </c>
      <c r="G307" s="2" t="s">
        <v>283</v>
      </c>
      <c r="H307" s="2" t="s">
        <v>284</v>
      </c>
      <c r="I307" s="2" t="s">
        <v>231</v>
      </c>
      <c r="J307" s="2" t="s">
        <v>76</v>
      </c>
      <c r="K307" s="2" t="s">
        <v>232</v>
      </c>
      <c r="L307" s="2" t="s">
        <v>83</v>
      </c>
      <c r="M307" s="38" t="str">
        <f t="shared" si="12"/>
        <v>25</v>
      </c>
      <c r="N307" s="38" t="str">
        <f t="shared" si="13"/>
        <v>02</v>
      </c>
      <c r="O307" s="50" t="s">
        <v>701</v>
      </c>
      <c r="P307" s="50" t="s">
        <v>701</v>
      </c>
      <c r="Q307" s="50">
        <v>5895</v>
      </c>
    </row>
    <row r="308" spans="1:17" ht="16" x14ac:dyDescent="0.45">
      <c r="A308" s="2" t="str">
        <f>IFERROR(VLOOKUP(B308,CODE!$B:$D,3,0),"-")</f>
        <v>네트워크</v>
      </c>
      <c r="B308" s="2" t="str">
        <f>IF(L308="-",VLOOKUP(J308,CODE!$B:$D,2,0),L308)</f>
        <v>카카오광고</v>
      </c>
      <c r="C308" s="2" t="s">
        <v>266</v>
      </c>
      <c r="D308" s="2" t="s">
        <v>281</v>
      </c>
      <c r="E308" s="2" t="s">
        <v>282</v>
      </c>
      <c r="F308" s="2" t="s">
        <v>268</v>
      </c>
      <c r="G308" s="2" t="s">
        <v>283</v>
      </c>
      <c r="H308" s="2" t="s">
        <v>284</v>
      </c>
      <c r="I308" s="2" t="s">
        <v>231</v>
      </c>
      <c r="J308" s="2" t="s">
        <v>76</v>
      </c>
      <c r="K308" s="2" t="s">
        <v>232</v>
      </c>
      <c r="L308" s="2" t="s">
        <v>83</v>
      </c>
      <c r="M308" s="38" t="str">
        <f t="shared" si="12"/>
        <v>25</v>
      </c>
      <c r="N308" s="38" t="str">
        <f t="shared" si="13"/>
        <v>05</v>
      </c>
      <c r="O308" s="50" t="s">
        <v>642</v>
      </c>
      <c r="P308" s="50" t="s">
        <v>642</v>
      </c>
      <c r="Q308" s="50">
        <v>8193</v>
      </c>
    </row>
    <row r="309" spans="1:17" ht="16" x14ac:dyDescent="0.45">
      <c r="A309" s="2" t="str">
        <f>IFERROR(VLOOKUP(B309,CODE!$B:$D,3,0),"-")</f>
        <v>네트워크</v>
      </c>
      <c r="B309" s="2" t="str">
        <f>IF(L309="-",VLOOKUP(J309,CODE!$B:$D,2,0),L309)</f>
        <v>애드몹</v>
      </c>
      <c r="C309" s="2" t="s">
        <v>266</v>
      </c>
      <c r="D309" s="2" t="s">
        <v>281</v>
      </c>
      <c r="E309" s="2" t="s">
        <v>282</v>
      </c>
      <c r="F309" s="2" t="s">
        <v>268</v>
      </c>
      <c r="G309" s="2" t="s">
        <v>283</v>
      </c>
      <c r="H309" s="2" t="s">
        <v>284</v>
      </c>
      <c r="I309" s="2" t="s">
        <v>543</v>
      </c>
      <c r="J309" s="2" t="s">
        <v>58</v>
      </c>
      <c r="K309" s="2" t="s">
        <v>232</v>
      </c>
      <c r="L309" s="2" t="s">
        <v>97</v>
      </c>
      <c r="M309" s="38" t="str">
        <f t="shared" si="12"/>
        <v>25</v>
      </c>
      <c r="N309" s="38" t="str">
        <f t="shared" si="13"/>
        <v>02</v>
      </c>
      <c r="O309" s="50" t="s">
        <v>332</v>
      </c>
      <c r="P309" s="50" t="s">
        <v>332</v>
      </c>
      <c r="Q309" s="50">
        <v>128</v>
      </c>
    </row>
    <row r="310" spans="1:17" ht="16" x14ac:dyDescent="0.45">
      <c r="A310" s="2" t="str">
        <f>IFERROR(VLOOKUP(B310,CODE!$B:$D,3,0),"-")</f>
        <v>네트워크</v>
      </c>
      <c r="B310" s="2" t="str">
        <f>IF(L310="-",VLOOKUP(J310,CODE!$B:$D,2,0),L310)</f>
        <v>애드몹</v>
      </c>
      <c r="C310" s="2" t="s">
        <v>266</v>
      </c>
      <c r="D310" s="2" t="s">
        <v>281</v>
      </c>
      <c r="E310" s="2" t="s">
        <v>282</v>
      </c>
      <c r="F310" s="2" t="s">
        <v>268</v>
      </c>
      <c r="G310" s="2" t="s">
        <v>283</v>
      </c>
      <c r="H310" s="2" t="s">
        <v>284</v>
      </c>
      <c r="I310" s="2" t="s">
        <v>544</v>
      </c>
      <c r="J310" s="2" t="s">
        <v>73</v>
      </c>
      <c r="K310" s="2" t="s">
        <v>232</v>
      </c>
      <c r="L310" s="2" t="s">
        <v>97</v>
      </c>
      <c r="M310" s="38" t="str">
        <f t="shared" si="12"/>
        <v>25</v>
      </c>
      <c r="N310" s="38" t="str">
        <f t="shared" si="13"/>
        <v>01</v>
      </c>
      <c r="O310" s="50" t="s">
        <v>697</v>
      </c>
      <c r="P310" s="50" t="s">
        <v>697</v>
      </c>
      <c r="Q310" s="50">
        <v>93</v>
      </c>
    </row>
    <row r="311" spans="1:17" ht="16" x14ac:dyDescent="0.45">
      <c r="A311" s="2" t="str">
        <f>IFERROR(VLOOKUP(B311,CODE!$B:$D,3,0),"-")</f>
        <v>네트워크</v>
      </c>
      <c r="B311" s="2" t="str">
        <f>IF(L311="-",VLOOKUP(J311,CODE!$B:$D,2,0),L311)</f>
        <v>애드몹</v>
      </c>
      <c r="C311" s="2" t="s">
        <v>266</v>
      </c>
      <c r="D311" s="2" t="s">
        <v>281</v>
      </c>
      <c r="E311" s="2" t="s">
        <v>282</v>
      </c>
      <c r="F311" s="2" t="s">
        <v>268</v>
      </c>
      <c r="G311" s="2" t="s">
        <v>283</v>
      </c>
      <c r="H311" s="2" t="s">
        <v>284</v>
      </c>
      <c r="I311" s="2" t="s">
        <v>545</v>
      </c>
      <c r="J311" s="2" t="s">
        <v>78</v>
      </c>
      <c r="K311" s="2" t="s">
        <v>232</v>
      </c>
      <c r="L311" s="2" t="s">
        <v>97</v>
      </c>
      <c r="M311" s="38" t="str">
        <f t="shared" si="12"/>
        <v>25</v>
      </c>
      <c r="N311" s="38" t="str">
        <f t="shared" si="13"/>
        <v>04</v>
      </c>
      <c r="O311" s="50" t="s">
        <v>702</v>
      </c>
      <c r="P311" s="50" t="s">
        <v>702</v>
      </c>
      <c r="Q311" s="50">
        <v>133</v>
      </c>
    </row>
    <row r="312" spans="1:17" ht="16" x14ac:dyDescent="0.45">
      <c r="A312" s="2" t="str">
        <f>IFERROR(VLOOKUP(B312,CODE!$B:$D,3,0),"-")</f>
        <v>네트워크</v>
      </c>
      <c r="B312" s="2" t="str">
        <f>IF(L312="-",VLOOKUP(J312,CODE!$B:$D,2,0),L312)</f>
        <v>애드몹</v>
      </c>
      <c r="C312" s="2" t="s">
        <v>266</v>
      </c>
      <c r="D312" s="2" t="s">
        <v>281</v>
      </c>
      <c r="E312" s="2" t="s">
        <v>282</v>
      </c>
      <c r="F312" s="2" t="s">
        <v>268</v>
      </c>
      <c r="G312" s="2" t="s">
        <v>283</v>
      </c>
      <c r="H312" s="2" t="s">
        <v>284</v>
      </c>
      <c r="I312" s="2" t="s">
        <v>546</v>
      </c>
      <c r="J312" s="2" t="s">
        <v>8</v>
      </c>
      <c r="K312" s="2" t="s">
        <v>232</v>
      </c>
      <c r="L312" s="2" t="s">
        <v>97</v>
      </c>
      <c r="M312" s="38" t="str">
        <f t="shared" si="12"/>
        <v>25</v>
      </c>
      <c r="N312" s="38" t="str">
        <f t="shared" si="13"/>
        <v>02</v>
      </c>
      <c r="O312" s="50" t="s">
        <v>649</v>
      </c>
      <c r="P312" s="50" t="s">
        <v>649</v>
      </c>
      <c r="Q312" s="50">
        <v>128</v>
      </c>
    </row>
    <row r="313" spans="1:17" ht="16" x14ac:dyDescent="0.45">
      <c r="A313" s="2" t="str">
        <f>IFERROR(VLOOKUP(B313,CODE!$B:$D,3,0),"-")</f>
        <v>네트워크</v>
      </c>
      <c r="B313" s="2" t="str">
        <f>IF(L313="-",VLOOKUP(J313,CODE!$B:$D,2,0),L313)</f>
        <v>애드몹</v>
      </c>
      <c r="C313" s="2" t="s">
        <v>266</v>
      </c>
      <c r="D313" s="2" t="s">
        <v>281</v>
      </c>
      <c r="E313" s="2" t="s">
        <v>282</v>
      </c>
      <c r="F313" s="2" t="s">
        <v>268</v>
      </c>
      <c r="G313" s="2" t="s">
        <v>283</v>
      </c>
      <c r="H313" s="2" t="s">
        <v>284</v>
      </c>
      <c r="I313" s="2" t="s">
        <v>547</v>
      </c>
      <c r="J313" s="2" t="s">
        <v>60</v>
      </c>
      <c r="K313" s="2" t="s">
        <v>228</v>
      </c>
      <c r="L313" s="2" t="s">
        <v>97</v>
      </c>
      <c r="M313" s="38" t="str">
        <f t="shared" si="12"/>
        <v>25</v>
      </c>
      <c r="N313" s="38" t="str">
        <f t="shared" si="13"/>
        <v>01</v>
      </c>
      <c r="O313" s="50" t="s">
        <v>697</v>
      </c>
      <c r="P313" s="50" t="s">
        <v>697</v>
      </c>
      <c r="Q313" s="50">
        <v>277</v>
      </c>
    </row>
    <row r="314" spans="1:17" ht="16" x14ac:dyDescent="0.45">
      <c r="A314" s="2" t="str">
        <f>IFERROR(VLOOKUP(B314,CODE!$B:$D,3,0),"-")</f>
        <v>네트워크</v>
      </c>
      <c r="B314" s="2" t="str">
        <f>IF(L314="-",VLOOKUP(J314,CODE!$B:$D,2,0),L314)</f>
        <v>애드몹</v>
      </c>
      <c r="C314" s="2" t="s">
        <v>266</v>
      </c>
      <c r="D314" s="2" t="s">
        <v>281</v>
      </c>
      <c r="E314" s="2" t="s">
        <v>282</v>
      </c>
      <c r="F314" s="2" t="s">
        <v>268</v>
      </c>
      <c r="G314" s="2" t="s">
        <v>283</v>
      </c>
      <c r="H314" s="2" t="s">
        <v>284</v>
      </c>
      <c r="I314" s="2" t="s">
        <v>547</v>
      </c>
      <c r="J314" s="2" t="s">
        <v>60</v>
      </c>
      <c r="K314" s="2" t="s">
        <v>228</v>
      </c>
      <c r="L314" s="2" t="s">
        <v>97</v>
      </c>
      <c r="M314" s="38" t="str">
        <f t="shared" si="12"/>
        <v>25</v>
      </c>
      <c r="N314" s="38" t="str">
        <f t="shared" si="13"/>
        <v>01</v>
      </c>
      <c r="O314" s="50" t="s">
        <v>703</v>
      </c>
      <c r="P314" s="50" t="s">
        <v>703</v>
      </c>
      <c r="Q314" s="50">
        <v>277</v>
      </c>
    </row>
    <row r="315" spans="1:17" ht="16" x14ac:dyDescent="0.45">
      <c r="A315" s="2" t="str">
        <f>IFERROR(VLOOKUP(B315,CODE!$B:$D,3,0),"-")</f>
        <v>네트워크</v>
      </c>
      <c r="B315" s="2" t="str">
        <f>IF(L315="-",VLOOKUP(J315,CODE!$B:$D,2,0),L315)</f>
        <v>애드몹</v>
      </c>
      <c r="C315" s="2" t="s">
        <v>266</v>
      </c>
      <c r="D315" s="2" t="s">
        <v>281</v>
      </c>
      <c r="E315" s="2" t="s">
        <v>282</v>
      </c>
      <c r="F315" s="2" t="s">
        <v>268</v>
      </c>
      <c r="G315" s="2" t="s">
        <v>283</v>
      </c>
      <c r="H315" s="2" t="s">
        <v>284</v>
      </c>
      <c r="I315" s="2" t="s">
        <v>547</v>
      </c>
      <c r="J315" s="2" t="s">
        <v>60</v>
      </c>
      <c r="K315" s="2" t="s">
        <v>228</v>
      </c>
      <c r="L315" s="2" t="s">
        <v>97</v>
      </c>
      <c r="M315" s="38" t="str">
        <f t="shared" ref="M315:M378" si="14">LEFT(O315,2)</f>
        <v>25</v>
      </c>
      <c r="N315" s="38" t="str">
        <f t="shared" ref="N315:N378" si="15">MID(O315,4,2)</f>
        <v>01</v>
      </c>
      <c r="O315" s="50" t="s">
        <v>328</v>
      </c>
      <c r="P315" s="50" t="s">
        <v>328</v>
      </c>
      <c r="Q315" s="50">
        <v>277</v>
      </c>
    </row>
    <row r="316" spans="1:17" ht="16" x14ac:dyDescent="0.45">
      <c r="A316" s="2" t="str">
        <f>IFERROR(VLOOKUP(B316,CODE!$B:$D,3,0),"-")</f>
        <v>네트워크</v>
      </c>
      <c r="B316" s="2" t="str">
        <f>IF(L316="-",VLOOKUP(J316,CODE!$B:$D,2,0),L316)</f>
        <v>애드몹</v>
      </c>
      <c r="C316" s="2" t="s">
        <v>266</v>
      </c>
      <c r="D316" s="2" t="s">
        <v>281</v>
      </c>
      <c r="E316" s="2" t="s">
        <v>282</v>
      </c>
      <c r="F316" s="2" t="s">
        <v>268</v>
      </c>
      <c r="G316" s="2" t="s">
        <v>283</v>
      </c>
      <c r="H316" s="2" t="s">
        <v>284</v>
      </c>
      <c r="I316" s="2" t="s">
        <v>547</v>
      </c>
      <c r="J316" s="2" t="s">
        <v>60</v>
      </c>
      <c r="K316" s="2" t="s">
        <v>228</v>
      </c>
      <c r="L316" s="2" t="s">
        <v>97</v>
      </c>
      <c r="M316" s="38" t="str">
        <f t="shared" si="14"/>
        <v>25</v>
      </c>
      <c r="N316" s="38" t="str">
        <f t="shared" si="15"/>
        <v>02</v>
      </c>
      <c r="O316" s="50" t="s">
        <v>704</v>
      </c>
      <c r="P316" s="50" t="s">
        <v>704</v>
      </c>
      <c r="Q316" s="50">
        <v>384</v>
      </c>
    </row>
    <row r="317" spans="1:17" ht="16" x14ac:dyDescent="0.45">
      <c r="A317" s="2" t="str">
        <f>IFERROR(VLOOKUP(B317,CODE!$B:$D,3,0),"-")</f>
        <v>네트워크</v>
      </c>
      <c r="B317" s="2" t="str">
        <f>IF(L317="-",VLOOKUP(J317,CODE!$B:$D,2,0),L317)</f>
        <v>애드몹</v>
      </c>
      <c r="C317" s="2" t="s">
        <v>266</v>
      </c>
      <c r="D317" s="2" t="s">
        <v>281</v>
      </c>
      <c r="E317" s="2" t="s">
        <v>282</v>
      </c>
      <c r="F317" s="2" t="s">
        <v>268</v>
      </c>
      <c r="G317" s="2" t="s">
        <v>283</v>
      </c>
      <c r="H317" s="2" t="s">
        <v>284</v>
      </c>
      <c r="I317" s="2" t="s">
        <v>547</v>
      </c>
      <c r="J317" s="2" t="s">
        <v>60</v>
      </c>
      <c r="K317" s="2" t="s">
        <v>228</v>
      </c>
      <c r="L317" s="2" t="s">
        <v>97</v>
      </c>
      <c r="M317" s="38" t="str">
        <f t="shared" si="14"/>
        <v>25</v>
      </c>
      <c r="N317" s="38" t="str">
        <f t="shared" si="15"/>
        <v>02</v>
      </c>
      <c r="O317" s="50" t="s">
        <v>654</v>
      </c>
      <c r="P317" s="50" t="s">
        <v>654</v>
      </c>
      <c r="Q317" s="50">
        <v>384</v>
      </c>
    </row>
    <row r="318" spans="1:17" ht="16" x14ac:dyDescent="0.45">
      <c r="A318" s="2" t="str">
        <f>IFERROR(VLOOKUP(B318,CODE!$B:$D,3,0),"-")</f>
        <v>네트워크</v>
      </c>
      <c r="B318" s="2" t="str">
        <f>IF(L318="-",VLOOKUP(J318,CODE!$B:$D,2,0),L318)</f>
        <v>애드몹</v>
      </c>
      <c r="C318" s="2" t="s">
        <v>266</v>
      </c>
      <c r="D318" s="2" t="s">
        <v>281</v>
      </c>
      <c r="E318" s="2" t="s">
        <v>282</v>
      </c>
      <c r="F318" s="2" t="s">
        <v>268</v>
      </c>
      <c r="G318" s="2" t="s">
        <v>283</v>
      </c>
      <c r="H318" s="2" t="s">
        <v>284</v>
      </c>
      <c r="I318" s="2" t="s">
        <v>548</v>
      </c>
      <c r="J318" s="2" t="s">
        <v>73</v>
      </c>
      <c r="K318" s="2" t="s">
        <v>232</v>
      </c>
      <c r="L318" s="2" t="s">
        <v>97</v>
      </c>
      <c r="M318" s="38" t="str">
        <f t="shared" si="14"/>
        <v>25</v>
      </c>
      <c r="N318" s="38" t="str">
        <f t="shared" si="15"/>
        <v>02</v>
      </c>
      <c r="O318" s="50" t="s">
        <v>660</v>
      </c>
      <c r="P318" s="50" t="s">
        <v>660</v>
      </c>
      <c r="Q318" s="50">
        <v>128</v>
      </c>
    </row>
    <row r="319" spans="1:17" ht="16" x14ac:dyDescent="0.45">
      <c r="A319" s="2" t="str">
        <f>IFERROR(VLOOKUP(B319,CODE!$B:$D,3,0),"-")</f>
        <v>네트워크</v>
      </c>
      <c r="B319" s="2" t="str">
        <f>IF(L319="-",VLOOKUP(J319,CODE!$B:$D,2,0),L319)</f>
        <v>애드몹</v>
      </c>
      <c r="C319" s="2" t="s">
        <v>266</v>
      </c>
      <c r="D319" s="2" t="s">
        <v>281</v>
      </c>
      <c r="E319" s="2" t="s">
        <v>282</v>
      </c>
      <c r="F319" s="2" t="s">
        <v>268</v>
      </c>
      <c r="G319" s="2" t="s">
        <v>283</v>
      </c>
      <c r="H319" s="2" t="s">
        <v>284</v>
      </c>
      <c r="I319" s="2" t="s">
        <v>549</v>
      </c>
      <c r="J319" s="2" t="s">
        <v>75</v>
      </c>
      <c r="K319" s="2" t="s">
        <v>232</v>
      </c>
      <c r="L319" s="2" t="s">
        <v>97</v>
      </c>
      <c r="M319" s="38" t="str">
        <f t="shared" si="14"/>
        <v>25</v>
      </c>
      <c r="N319" s="38" t="str">
        <f t="shared" si="15"/>
        <v>02</v>
      </c>
      <c r="O319" s="50" t="s">
        <v>691</v>
      </c>
      <c r="P319" s="50" t="s">
        <v>691</v>
      </c>
      <c r="Q319" s="50">
        <v>128</v>
      </c>
    </row>
    <row r="320" spans="1:17" ht="16" x14ac:dyDescent="0.45">
      <c r="A320" s="2" t="str">
        <f>IFERROR(VLOOKUP(B320,CODE!$B:$D,3,0),"-")</f>
        <v>네트워크</v>
      </c>
      <c r="B320" s="2" t="str">
        <f>IF(L320="-",VLOOKUP(J320,CODE!$B:$D,2,0),L320)</f>
        <v>애드몹</v>
      </c>
      <c r="C320" s="2" t="s">
        <v>266</v>
      </c>
      <c r="D320" s="2" t="s">
        <v>281</v>
      </c>
      <c r="E320" s="2" t="s">
        <v>282</v>
      </c>
      <c r="F320" s="2" t="s">
        <v>268</v>
      </c>
      <c r="G320" s="2" t="s">
        <v>283</v>
      </c>
      <c r="H320" s="2" t="s">
        <v>284</v>
      </c>
      <c r="I320" s="2" t="s">
        <v>550</v>
      </c>
      <c r="J320" s="2" t="s">
        <v>77</v>
      </c>
      <c r="K320" s="2" t="s">
        <v>232</v>
      </c>
      <c r="L320" s="2" t="s">
        <v>97</v>
      </c>
      <c r="M320" s="38" t="str">
        <f t="shared" si="14"/>
        <v>25</v>
      </c>
      <c r="N320" s="38" t="str">
        <f t="shared" si="15"/>
        <v>02</v>
      </c>
      <c r="O320" s="50" t="s">
        <v>705</v>
      </c>
      <c r="P320" s="50" t="s">
        <v>705</v>
      </c>
      <c r="Q320" s="50">
        <v>128</v>
      </c>
    </row>
    <row r="321" spans="1:17" ht="16" x14ac:dyDescent="0.45">
      <c r="A321" s="2" t="str">
        <f>IFERROR(VLOOKUP(B321,CODE!$B:$D,3,0),"-")</f>
        <v>네트워크</v>
      </c>
      <c r="B321" s="2" t="str">
        <f>IF(L321="-",VLOOKUP(J321,CODE!$B:$D,2,0),L321)</f>
        <v>애드몹</v>
      </c>
      <c r="C321" s="2" t="s">
        <v>266</v>
      </c>
      <c r="D321" s="2" t="s">
        <v>281</v>
      </c>
      <c r="E321" s="2" t="s">
        <v>282</v>
      </c>
      <c r="F321" s="2" t="s">
        <v>268</v>
      </c>
      <c r="G321" s="2" t="s">
        <v>283</v>
      </c>
      <c r="H321" s="2" t="s">
        <v>284</v>
      </c>
      <c r="I321" s="2" t="s">
        <v>551</v>
      </c>
      <c r="J321" s="2" t="s">
        <v>58</v>
      </c>
      <c r="K321" s="2" t="s">
        <v>232</v>
      </c>
      <c r="L321" s="2" t="s">
        <v>97</v>
      </c>
      <c r="M321" s="38" t="str">
        <f t="shared" si="14"/>
        <v>25</v>
      </c>
      <c r="N321" s="38" t="str">
        <f t="shared" si="15"/>
        <v>01</v>
      </c>
      <c r="O321" s="50" t="s">
        <v>706</v>
      </c>
      <c r="P321" s="50" t="s">
        <v>706</v>
      </c>
      <c r="Q321" s="50">
        <v>93</v>
      </c>
    </row>
    <row r="322" spans="1:17" ht="16" x14ac:dyDescent="0.45">
      <c r="A322" s="2" t="str">
        <f>IFERROR(VLOOKUP(B322,CODE!$B:$D,3,0),"-")</f>
        <v>네트워크</v>
      </c>
      <c r="B322" s="2" t="str">
        <f>IF(L322="-",VLOOKUP(J322,CODE!$B:$D,2,0),L322)</f>
        <v>애드몹</v>
      </c>
      <c r="C322" s="2" t="s">
        <v>266</v>
      </c>
      <c r="D322" s="2" t="s">
        <v>281</v>
      </c>
      <c r="E322" s="2" t="s">
        <v>282</v>
      </c>
      <c r="F322" s="2" t="s">
        <v>268</v>
      </c>
      <c r="G322" s="2" t="s">
        <v>283</v>
      </c>
      <c r="H322" s="2" t="s">
        <v>284</v>
      </c>
      <c r="I322" s="2" t="s">
        <v>551</v>
      </c>
      <c r="J322" s="2" t="s">
        <v>58</v>
      </c>
      <c r="K322" s="2" t="s">
        <v>232</v>
      </c>
      <c r="L322" s="2" t="s">
        <v>97</v>
      </c>
      <c r="M322" s="38" t="str">
        <f t="shared" si="14"/>
        <v>25</v>
      </c>
      <c r="N322" s="38" t="str">
        <f t="shared" si="15"/>
        <v>02</v>
      </c>
      <c r="O322" s="50" t="s">
        <v>691</v>
      </c>
      <c r="P322" s="50" t="s">
        <v>691</v>
      </c>
      <c r="Q322" s="50">
        <v>128</v>
      </c>
    </row>
    <row r="323" spans="1:17" ht="16" x14ac:dyDescent="0.45">
      <c r="A323" s="2" t="str">
        <f>IFERROR(VLOOKUP(B323,CODE!$B:$D,3,0),"-")</f>
        <v>네트워크</v>
      </c>
      <c r="B323" s="2" t="str">
        <f>IF(L323="-",VLOOKUP(J323,CODE!$B:$D,2,0),L323)</f>
        <v>애드몹</v>
      </c>
      <c r="C323" s="2" t="s">
        <v>266</v>
      </c>
      <c r="D323" s="2" t="s">
        <v>281</v>
      </c>
      <c r="E323" s="2" t="s">
        <v>282</v>
      </c>
      <c r="F323" s="2" t="s">
        <v>268</v>
      </c>
      <c r="G323" s="2" t="s">
        <v>283</v>
      </c>
      <c r="H323" s="2" t="s">
        <v>284</v>
      </c>
      <c r="I323" s="2" t="s">
        <v>551</v>
      </c>
      <c r="J323" s="2" t="s">
        <v>58</v>
      </c>
      <c r="K323" s="2" t="s">
        <v>232</v>
      </c>
      <c r="L323" s="2" t="s">
        <v>97</v>
      </c>
      <c r="M323" s="38" t="str">
        <f t="shared" si="14"/>
        <v>25</v>
      </c>
      <c r="N323" s="38" t="str">
        <f t="shared" si="15"/>
        <v>02</v>
      </c>
      <c r="O323" s="50" t="s">
        <v>707</v>
      </c>
      <c r="P323" s="50" t="s">
        <v>707</v>
      </c>
      <c r="Q323" s="50">
        <v>128</v>
      </c>
    </row>
    <row r="324" spans="1:17" ht="16" x14ac:dyDescent="0.45">
      <c r="A324" s="2" t="str">
        <f>IFERROR(VLOOKUP(B324,CODE!$B:$D,3,0),"-")</f>
        <v>네트워크</v>
      </c>
      <c r="B324" s="2" t="str">
        <f>IF(L324="-",VLOOKUP(J324,CODE!$B:$D,2,0),L324)</f>
        <v>애드몹</v>
      </c>
      <c r="C324" s="2" t="s">
        <v>266</v>
      </c>
      <c r="D324" s="2" t="s">
        <v>281</v>
      </c>
      <c r="E324" s="2" t="s">
        <v>282</v>
      </c>
      <c r="F324" s="2" t="s">
        <v>268</v>
      </c>
      <c r="G324" s="2" t="s">
        <v>283</v>
      </c>
      <c r="H324" s="2" t="s">
        <v>284</v>
      </c>
      <c r="I324" s="2" t="s">
        <v>552</v>
      </c>
      <c r="J324" s="2" t="s">
        <v>58</v>
      </c>
      <c r="K324" s="2" t="s">
        <v>232</v>
      </c>
      <c r="L324" s="2" t="s">
        <v>97</v>
      </c>
      <c r="M324" s="38" t="str">
        <f t="shared" si="14"/>
        <v>25</v>
      </c>
      <c r="N324" s="38" t="str">
        <f t="shared" si="15"/>
        <v>01</v>
      </c>
      <c r="O324" s="50" t="s">
        <v>697</v>
      </c>
      <c r="P324" s="50" t="s">
        <v>697</v>
      </c>
      <c r="Q324" s="50">
        <v>93</v>
      </c>
    </row>
    <row r="325" spans="1:17" ht="16" x14ac:dyDescent="0.45">
      <c r="A325" s="2" t="str">
        <f>IFERROR(VLOOKUP(B325,CODE!$B:$D,3,0),"-")</f>
        <v>네트워크</v>
      </c>
      <c r="B325" s="2" t="str">
        <f>IF(L325="-",VLOOKUP(J325,CODE!$B:$D,2,0),L325)</f>
        <v>애드몹</v>
      </c>
      <c r="C325" s="2" t="s">
        <v>266</v>
      </c>
      <c r="D325" s="2" t="s">
        <v>281</v>
      </c>
      <c r="E325" s="2" t="s">
        <v>282</v>
      </c>
      <c r="F325" s="2" t="s">
        <v>268</v>
      </c>
      <c r="G325" s="2" t="s">
        <v>283</v>
      </c>
      <c r="H325" s="2" t="s">
        <v>284</v>
      </c>
      <c r="I325" s="2" t="s">
        <v>553</v>
      </c>
      <c r="J325" s="2" t="s">
        <v>78</v>
      </c>
      <c r="K325" s="2" t="s">
        <v>232</v>
      </c>
      <c r="L325" s="2" t="s">
        <v>97</v>
      </c>
      <c r="M325" s="38" t="str">
        <f t="shared" si="14"/>
        <v>25</v>
      </c>
      <c r="N325" s="38" t="str">
        <f t="shared" si="15"/>
        <v>01</v>
      </c>
      <c r="O325" s="50" t="s">
        <v>667</v>
      </c>
      <c r="P325" s="50" t="s">
        <v>667</v>
      </c>
      <c r="Q325" s="50">
        <v>93</v>
      </c>
    </row>
    <row r="326" spans="1:17" ht="16" x14ac:dyDescent="0.45">
      <c r="A326" s="2" t="str">
        <f>IFERROR(VLOOKUP(B326,CODE!$B:$D,3,0),"-")</f>
        <v>네트워크</v>
      </c>
      <c r="B326" s="2" t="str">
        <f>IF(L326="-",VLOOKUP(J326,CODE!$B:$D,2,0),L326)</f>
        <v>애드몹</v>
      </c>
      <c r="C326" s="2" t="s">
        <v>266</v>
      </c>
      <c r="D326" s="2" t="s">
        <v>281</v>
      </c>
      <c r="E326" s="2" t="s">
        <v>282</v>
      </c>
      <c r="F326" s="2" t="s">
        <v>268</v>
      </c>
      <c r="G326" s="2" t="s">
        <v>283</v>
      </c>
      <c r="H326" s="2" t="s">
        <v>284</v>
      </c>
      <c r="I326" s="2" t="s">
        <v>553</v>
      </c>
      <c r="J326" s="2" t="s">
        <v>78</v>
      </c>
      <c r="K326" s="2" t="s">
        <v>232</v>
      </c>
      <c r="L326" s="2" t="s">
        <v>97</v>
      </c>
      <c r="M326" s="38" t="str">
        <f t="shared" si="14"/>
        <v>25</v>
      </c>
      <c r="N326" s="38" t="str">
        <f t="shared" si="15"/>
        <v>04</v>
      </c>
      <c r="O326" s="50" t="s">
        <v>699</v>
      </c>
      <c r="P326" s="50" t="s">
        <v>699</v>
      </c>
      <c r="Q326" s="50">
        <v>266</v>
      </c>
    </row>
    <row r="327" spans="1:17" ht="16" x14ac:dyDescent="0.45">
      <c r="A327" s="2" t="str">
        <f>IFERROR(VLOOKUP(B327,CODE!$B:$D,3,0),"-")</f>
        <v>네트워크</v>
      </c>
      <c r="B327" s="2" t="str">
        <f>IF(L327="-",VLOOKUP(J327,CODE!$B:$D,2,0),L327)</f>
        <v>애드몹</v>
      </c>
      <c r="C327" s="2" t="s">
        <v>266</v>
      </c>
      <c r="D327" s="2" t="s">
        <v>281</v>
      </c>
      <c r="E327" s="2" t="s">
        <v>282</v>
      </c>
      <c r="F327" s="2" t="s">
        <v>268</v>
      </c>
      <c r="G327" s="2" t="s">
        <v>283</v>
      </c>
      <c r="H327" s="2" t="s">
        <v>284</v>
      </c>
      <c r="I327" s="2" t="s">
        <v>553</v>
      </c>
      <c r="J327" s="2" t="s">
        <v>78</v>
      </c>
      <c r="K327" s="2" t="s">
        <v>232</v>
      </c>
      <c r="L327" s="2" t="s">
        <v>97</v>
      </c>
      <c r="M327" s="38" t="str">
        <f t="shared" si="14"/>
        <v>25</v>
      </c>
      <c r="N327" s="38" t="str">
        <f t="shared" si="15"/>
        <v>04</v>
      </c>
      <c r="O327" s="50" t="s">
        <v>702</v>
      </c>
      <c r="P327" s="50" t="s">
        <v>331</v>
      </c>
      <c r="Q327" s="50">
        <v>399</v>
      </c>
    </row>
    <row r="328" spans="1:17" ht="16" x14ac:dyDescent="0.45">
      <c r="A328" s="2" t="str">
        <f>IFERROR(VLOOKUP(B328,CODE!$B:$D,3,0),"-")</f>
        <v>네트워크</v>
      </c>
      <c r="B328" s="2" t="str">
        <f>IF(L328="-",VLOOKUP(J328,CODE!$B:$D,2,0),L328)</f>
        <v>애드몹</v>
      </c>
      <c r="C328" s="2" t="s">
        <v>266</v>
      </c>
      <c r="D328" s="2" t="s">
        <v>281</v>
      </c>
      <c r="E328" s="2" t="s">
        <v>282</v>
      </c>
      <c r="F328" s="2" t="s">
        <v>268</v>
      </c>
      <c r="G328" s="2" t="s">
        <v>283</v>
      </c>
      <c r="H328" s="2" t="s">
        <v>284</v>
      </c>
      <c r="I328" s="2" t="s">
        <v>554</v>
      </c>
      <c r="J328" s="2" t="s">
        <v>77</v>
      </c>
      <c r="K328" s="2" t="s">
        <v>232</v>
      </c>
      <c r="L328" s="2" t="s">
        <v>97</v>
      </c>
      <c r="M328" s="38" t="str">
        <f t="shared" si="14"/>
        <v>25</v>
      </c>
      <c r="N328" s="38" t="str">
        <f t="shared" si="15"/>
        <v>02</v>
      </c>
      <c r="O328" s="50" t="s">
        <v>708</v>
      </c>
      <c r="P328" s="50" t="s">
        <v>708</v>
      </c>
      <c r="Q328" s="50">
        <v>128</v>
      </c>
    </row>
    <row r="329" spans="1:17" ht="16" x14ac:dyDescent="0.45">
      <c r="A329" s="2" t="str">
        <f>IFERROR(VLOOKUP(B329,CODE!$B:$D,3,0),"-")</f>
        <v>네트워크</v>
      </c>
      <c r="B329" s="2" t="str">
        <f>IF(L329="-",VLOOKUP(J329,CODE!$B:$D,2,0),L329)</f>
        <v>애드몹</v>
      </c>
      <c r="C329" s="2" t="s">
        <v>266</v>
      </c>
      <c r="D329" s="2" t="s">
        <v>281</v>
      </c>
      <c r="E329" s="2" t="s">
        <v>282</v>
      </c>
      <c r="F329" s="2" t="s">
        <v>268</v>
      </c>
      <c r="G329" s="2" t="s">
        <v>283</v>
      </c>
      <c r="H329" s="2" t="s">
        <v>284</v>
      </c>
      <c r="I329" s="2" t="s">
        <v>555</v>
      </c>
      <c r="J329" s="2" t="s">
        <v>73</v>
      </c>
      <c r="K329" s="2" t="s">
        <v>232</v>
      </c>
      <c r="L329" s="2" t="s">
        <v>97</v>
      </c>
      <c r="M329" s="38" t="str">
        <f t="shared" si="14"/>
        <v>25</v>
      </c>
      <c r="N329" s="38" t="str">
        <f t="shared" si="15"/>
        <v>02</v>
      </c>
      <c r="O329" s="50" t="s">
        <v>688</v>
      </c>
      <c r="P329" s="50" t="s">
        <v>688</v>
      </c>
      <c r="Q329" s="50">
        <v>128</v>
      </c>
    </row>
    <row r="330" spans="1:17" ht="16" x14ac:dyDescent="0.45">
      <c r="A330" s="2" t="str">
        <f>IFERROR(VLOOKUP(B330,CODE!$B:$D,3,0),"-")</f>
        <v>네트워크</v>
      </c>
      <c r="B330" s="2" t="str">
        <f>IF(L330="-",VLOOKUP(J330,CODE!$B:$D,2,0),L330)</f>
        <v>애드몹</v>
      </c>
      <c r="C330" s="2" t="s">
        <v>266</v>
      </c>
      <c r="D330" s="2" t="s">
        <v>281</v>
      </c>
      <c r="E330" s="2" t="s">
        <v>282</v>
      </c>
      <c r="F330" s="2" t="s">
        <v>268</v>
      </c>
      <c r="G330" s="2" t="s">
        <v>283</v>
      </c>
      <c r="H330" s="2" t="s">
        <v>284</v>
      </c>
      <c r="I330" s="2" t="s">
        <v>556</v>
      </c>
      <c r="J330" s="2" t="s">
        <v>78</v>
      </c>
      <c r="K330" s="2" t="s">
        <v>232</v>
      </c>
      <c r="L330" s="2" t="s">
        <v>97</v>
      </c>
      <c r="M330" s="38" t="str">
        <f t="shared" si="14"/>
        <v>25</v>
      </c>
      <c r="N330" s="38" t="str">
        <f t="shared" si="15"/>
        <v>04</v>
      </c>
      <c r="O330" s="50" t="s">
        <v>696</v>
      </c>
      <c r="P330" s="50" t="s">
        <v>699</v>
      </c>
      <c r="Q330" s="50">
        <v>399</v>
      </c>
    </row>
    <row r="331" spans="1:17" ht="16" x14ac:dyDescent="0.45">
      <c r="A331" s="2" t="str">
        <f>IFERROR(VLOOKUP(B331,CODE!$B:$D,3,0),"-")</f>
        <v>네트워크</v>
      </c>
      <c r="B331" s="2" t="str">
        <f>IF(L331="-",VLOOKUP(J331,CODE!$B:$D,2,0),L331)</f>
        <v>애드몹</v>
      </c>
      <c r="C331" s="2" t="s">
        <v>266</v>
      </c>
      <c r="D331" s="2" t="s">
        <v>281</v>
      </c>
      <c r="E331" s="2" t="s">
        <v>282</v>
      </c>
      <c r="F331" s="2" t="s">
        <v>268</v>
      </c>
      <c r="G331" s="2" t="s">
        <v>283</v>
      </c>
      <c r="H331" s="2" t="s">
        <v>284</v>
      </c>
      <c r="I331" s="2" t="s">
        <v>557</v>
      </c>
      <c r="J331" s="2" t="s">
        <v>58</v>
      </c>
      <c r="K331" s="2" t="s">
        <v>232</v>
      </c>
      <c r="L331" s="2" t="s">
        <v>97</v>
      </c>
      <c r="M331" s="38" t="str">
        <f t="shared" si="14"/>
        <v>25</v>
      </c>
      <c r="N331" s="38" t="str">
        <f t="shared" si="15"/>
        <v>01</v>
      </c>
      <c r="O331" s="50" t="s">
        <v>667</v>
      </c>
      <c r="P331" s="50" t="s">
        <v>667</v>
      </c>
      <c r="Q331" s="50">
        <v>93</v>
      </c>
    </row>
    <row r="332" spans="1:17" ht="16" x14ac:dyDescent="0.45">
      <c r="A332" s="2" t="str">
        <f>IFERROR(VLOOKUP(B332,CODE!$B:$D,3,0),"-")</f>
        <v>네트워크</v>
      </c>
      <c r="B332" s="2" t="str">
        <f>IF(L332="-",VLOOKUP(J332,CODE!$B:$D,2,0),L332)</f>
        <v>애드몹</v>
      </c>
      <c r="C332" s="2" t="s">
        <v>266</v>
      </c>
      <c r="D332" s="2" t="s">
        <v>281</v>
      </c>
      <c r="E332" s="2" t="s">
        <v>282</v>
      </c>
      <c r="F332" s="2" t="s">
        <v>268</v>
      </c>
      <c r="G332" s="2" t="s">
        <v>283</v>
      </c>
      <c r="H332" s="2" t="s">
        <v>284</v>
      </c>
      <c r="I332" s="2" t="s">
        <v>557</v>
      </c>
      <c r="J332" s="2" t="s">
        <v>58</v>
      </c>
      <c r="K332" s="2" t="s">
        <v>232</v>
      </c>
      <c r="L332" s="2" t="s">
        <v>97</v>
      </c>
      <c r="M332" s="38" t="str">
        <f t="shared" si="14"/>
        <v>25</v>
      </c>
      <c r="N332" s="38" t="str">
        <f t="shared" si="15"/>
        <v>02</v>
      </c>
      <c r="O332" s="50" t="s">
        <v>709</v>
      </c>
      <c r="P332" s="50" t="s">
        <v>709</v>
      </c>
      <c r="Q332" s="50">
        <v>128</v>
      </c>
    </row>
    <row r="333" spans="1:17" ht="16" x14ac:dyDescent="0.45">
      <c r="A333" s="2" t="str">
        <f>IFERROR(VLOOKUP(B333,CODE!$B:$D,3,0),"-")</f>
        <v>네트워크</v>
      </c>
      <c r="B333" s="2" t="str">
        <f>IF(L333="-",VLOOKUP(J333,CODE!$B:$D,2,0),L333)</f>
        <v>애드몹</v>
      </c>
      <c r="C333" s="2" t="s">
        <v>266</v>
      </c>
      <c r="D333" s="2" t="s">
        <v>281</v>
      </c>
      <c r="E333" s="2" t="s">
        <v>282</v>
      </c>
      <c r="F333" s="2" t="s">
        <v>268</v>
      </c>
      <c r="G333" s="2" t="s">
        <v>283</v>
      </c>
      <c r="H333" s="2" t="s">
        <v>284</v>
      </c>
      <c r="I333" s="2" t="s">
        <v>557</v>
      </c>
      <c r="J333" s="2" t="s">
        <v>58</v>
      </c>
      <c r="K333" s="2" t="s">
        <v>232</v>
      </c>
      <c r="L333" s="2" t="s">
        <v>97</v>
      </c>
      <c r="M333" s="38" t="str">
        <f t="shared" si="14"/>
        <v>25</v>
      </c>
      <c r="N333" s="38" t="str">
        <f t="shared" si="15"/>
        <v>04</v>
      </c>
      <c r="O333" s="50" t="s">
        <v>710</v>
      </c>
      <c r="P333" s="50" t="s">
        <v>711</v>
      </c>
      <c r="Q333" s="50">
        <v>399</v>
      </c>
    </row>
    <row r="334" spans="1:17" ht="16" x14ac:dyDescent="0.45">
      <c r="A334" s="2" t="str">
        <f>IFERROR(VLOOKUP(B334,CODE!$B:$D,3,0),"-")</f>
        <v>네트워크</v>
      </c>
      <c r="B334" s="2" t="str">
        <f>IF(L334="-",VLOOKUP(J334,CODE!$B:$D,2,0),L334)</f>
        <v>애드몹</v>
      </c>
      <c r="C334" s="2" t="s">
        <v>266</v>
      </c>
      <c r="D334" s="2" t="s">
        <v>281</v>
      </c>
      <c r="E334" s="2" t="s">
        <v>282</v>
      </c>
      <c r="F334" s="2" t="s">
        <v>268</v>
      </c>
      <c r="G334" s="2" t="s">
        <v>283</v>
      </c>
      <c r="H334" s="2" t="s">
        <v>284</v>
      </c>
      <c r="I334" s="2" t="s">
        <v>557</v>
      </c>
      <c r="J334" s="2" t="s">
        <v>58</v>
      </c>
      <c r="K334" s="2" t="s">
        <v>232</v>
      </c>
      <c r="L334" s="2" t="s">
        <v>97</v>
      </c>
      <c r="M334" s="38" t="str">
        <f t="shared" si="14"/>
        <v>25</v>
      </c>
      <c r="N334" s="38" t="str">
        <f t="shared" si="15"/>
        <v>04</v>
      </c>
      <c r="O334" s="50" t="s">
        <v>712</v>
      </c>
      <c r="P334" s="50" t="s">
        <v>712</v>
      </c>
      <c r="Q334" s="50">
        <v>133</v>
      </c>
    </row>
    <row r="335" spans="1:17" ht="16" x14ac:dyDescent="0.45">
      <c r="A335" s="2" t="str">
        <f>IFERROR(VLOOKUP(B335,CODE!$B:$D,3,0),"-")</f>
        <v>네트워크</v>
      </c>
      <c r="B335" s="2" t="str">
        <f>IF(L335="-",VLOOKUP(J335,CODE!$B:$D,2,0),L335)</f>
        <v>애드몹</v>
      </c>
      <c r="C335" s="2" t="s">
        <v>266</v>
      </c>
      <c r="D335" s="2" t="s">
        <v>281</v>
      </c>
      <c r="E335" s="2" t="s">
        <v>282</v>
      </c>
      <c r="F335" s="2" t="s">
        <v>268</v>
      </c>
      <c r="G335" s="2" t="s">
        <v>283</v>
      </c>
      <c r="H335" s="2" t="s">
        <v>284</v>
      </c>
      <c r="I335" s="2" t="s">
        <v>558</v>
      </c>
      <c r="J335" s="2" t="s">
        <v>559</v>
      </c>
      <c r="K335" s="2" t="s">
        <v>232</v>
      </c>
      <c r="L335" s="2" t="s">
        <v>97</v>
      </c>
      <c r="M335" s="38" t="str">
        <f t="shared" si="14"/>
        <v>25</v>
      </c>
      <c r="N335" s="38" t="str">
        <f t="shared" si="15"/>
        <v>01</v>
      </c>
      <c r="O335" s="50" t="s">
        <v>713</v>
      </c>
      <c r="P335" s="50" t="s">
        <v>713</v>
      </c>
      <c r="Q335" s="50">
        <v>93</v>
      </c>
    </row>
    <row r="336" spans="1:17" ht="16" x14ac:dyDescent="0.45">
      <c r="A336" s="2" t="str">
        <f>IFERROR(VLOOKUP(B336,CODE!$B:$D,3,0),"-")</f>
        <v>네트워크</v>
      </c>
      <c r="B336" s="2" t="str">
        <f>IF(L336="-",VLOOKUP(J336,CODE!$B:$D,2,0),L336)</f>
        <v>애드몹</v>
      </c>
      <c r="C336" s="2" t="s">
        <v>266</v>
      </c>
      <c r="D336" s="2" t="s">
        <v>281</v>
      </c>
      <c r="E336" s="2" t="s">
        <v>282</v>
      </c>
      <c r="F336" s="2" t="s">
        <v>268</v>
      </c>
      <c r="G336" s="2" t="s">
        <v>283</v>
      </c>
      <c r="H336" s="2" t="s">
        <v>284</v>
      </c>
      <c r="I336" s="2" t="s">
        <v>558</v>
      </c>
      <c r="J336" s="2" t="s">
        <v>559</v>
      </c>
      <c r="K336" s="2" t="s">
        <v>232</v>
      </c>
      <c r="L336" s="2" t="s">
        <v>97</v>
      </c>
      <c r="M336" s="38" t="str">
        <f t="shared" si="14"/>
        <v>25</v>
      </c>
      <c r="N336" s="38" t="str">
        <f t="shared" si="15"/>
        <v>02</v>
      </c>
      <c r="O336" s="50" t="s">
        <v>714</v>
      </c>
      <c r="P336" s="50" t="s">
        <v>714</v>
      </c>
      <c r="Q336" s="50">
        <v>128</v>
      </c>
    </row>
    <row r="337" spans="1:17" ht="16" x14ac:dyDescent="0.45">
      <c r="A337" s="2" t="str">
        <f>IFERROR(VLOOKUP(B337,CODE!$B:$D,3,0),"-")</f>
        <v>네트워크</v>
      </c>
      <c r="B337" s="2" t="str">
        <f>IF(L337="-",VLOOKUP(J337,CODE!$B:$D,2,0),L337)</f>
        <v>애드몹</v>
      </c>
      <c r="C337" s="2" t="s">
        <v>266</v>
      </c>
      <c r="D337" s="2" t="s">
        <v>281</v>
      </c>
      <c r="E337" s="2" t="s">
        <v>282</v>
      </c>
      <c r="F337" s="2" t="s">
        <v>268</v>
      </c>
      <c r="G337" s="2" t="s">
        <v>283</v>
      </c>
      <c r="H337" s="2" t="s">
        <v>284</v>
      </c>
      <c r="I337" s="2" t="s">
        <v>560</v>
      </c>
      <c r="J337" s="2" t="s">
        <v>58</v>
      </c>
      <c r="K337" s="2" t="s">
        <v>232</v>
      </c>
      <c r="L337" s="2" t="s">
        <v>97</v>
      </c>
      <c r="M337" s="38" t="str">
        <f t="shared" si="14"/>
        <v>25</v>
      </c>
      <c r="N337" s="38" t="str">
        <f t="shared" si="15"/>
        <v>02</v>
      </c>
      <c r="O337" s="50" t="s">
        <v>660</v>
      </c>
      <c r="P337" s="50" t="s">
        <v>660</v>
      </c>
      <c r="Q337" s="50">
        <v>128</v>
      </c>
    </row>
    <row r="338" spans="1:17" ht="16" x14ac:dyDescent="0.45">
      <c r="A338" s="2" t="str">
        <f>IFERROR(VLOOKUP(B338,CODE!$B:$D,3,0),"-")</f>
        <v>네트워크</v>
      </c>
      <c r="B338" s="2" t="str">
        <f>IF(L338="-",VLOOKUP(J338,CODE!$B:$D,2,0),L338)</f>
        <v>애드몹</v>
      </c>
      <c r="C338" s="2" t="s">
        <v>266</v>
      </c>
      <c r="D338" s="2" t="s">
        <v>281</v>
      </c>
      <c r="E338" s="2" t="s">
        <v>282</v>
      </c>
      <c r="F338" s="2" t="s">
        <v>268</v>
      </c>
      <c r="G338" s="2" t="s">
        <v>283</v>
      </c>
      <c r="H338" s="2" t="s">
        <v>284</v>
      </c>
      <c r="I338" s="2" t="s">
        <v>561</v>
      </c>
      <c r="J338" s="2" t="s">
        <v>73</v>
      </c>
      <c r="K338" s="2" t="s">
        <v>232</v>
      </c>
      <c r="L338" s="2" t="s">
        <v>97</v>
      </c>
      <c r="M338" s="38" t="str">
        <f t="shared" si="14"/>
        <v>25</v>
      </c>
      <c r="N338" s="38" t="str">
        <f t="shared" si="15"/>
        <v>04</v>
      </c>
      <c r="O338" s="50" t="s">
        <v>715</v>
      </c>
      <c r="P338" s="50" t="s">
        <v>715</v>
      </c>
      <c r="Q338" s="50">
        <v>133</v>
      </c>
    </row>
    <row r="339" spans="1:17" ht="16" x14ac:dyDescent="0.45">
      <c r="A339" s="2" t="str">
        <f>IFERROR(VLOOKUP(B339,CODE!$B:$D,3,0),"-")</f>
        <v>네트워크</v>
      </c>
      <c r="B339" s="2" t="str">
        <f>IF(L339="-",VLOOKUP(J339,CODE!$B:$D,2,0),L339)</f>
        <v>애드몹</v>
      </c>
      <c r="C339" s="2" t="s">
        <v>266</v>
      </c>
      <c r="D339" s="2" t="s">
        <v>281</v>
      </c>
      <c r="E339" s="2" t="s">
        <v>282</v>
      </c>
      <c r="F339" s="2" t="s">
        <v>268</v>
      </c>
      <c r="G339" s="2" t="s">
        <v>283</v>
      </c>
      <c r="H339" s="2" t="s">
        <v>284</v>
      </c>
      <c r="I339" s="2" t="s">
        <v>562</v>
      </c>
      <c r="J339" s="2" t="s">
        <v>73</v>
      </c>
      <c r="K339" s="2" t="s">
        <v>232</v>
      </c>
      <c r="L339" s="2" t="s">
        <v>97</v>
      </c>
      <c r="M339" s="38" t="str">
        <f t="shared" si="14"/>
        <v>25</v>
      </c>
      <c r="N339" s="38" t="str">
        <f t="shared" si="15"/>
        <v>01</v>
      </c>
      <c r="O339" s="50" t="s">
        <v>703</v>
      </c>
      <c r="P339" s="50" t="s">
        <v>703</v>
      </c>
      <c r="Q339" s="50">
        <v>93</v>
      </c>
    </row>
    <row r="340" spans="1:17" ht="16" x14ac:dyDescent="0.45">
      <c r="A340" s="2" t="str">
        <f>IFERROR(VLOOKUP(B340,CODE!$B:$D,3,0),"-")</f>
        <v>네트워크</v>
      </c>
      <c r="B340" s="2" t="str">
        <f>IF(L340="-",VLOOKUP(J340,CODE!$B:$D,2,0),L340)</f>
        <v>애드몹</v>
      </c>
      <c r="C340" s="2" t="s">
        <v>266</v>
      </c>
      <c r="D340" s="2" t="s">
        <v>281</v>
      </c>
      <c r="E340" s="2" t="s">
        <v>282</v>
      </c>
      <c r="F340" s="2" t="s">
        <v>268</v>
      </c>
      <c r="G340" s="2" t="s">
        <v>283</v>
      </c>
      <c r="H340" s="2" t="s">
        <v>284</v>
      </c>
      <c r="I340" s="2" t="s">
        <v>563</v>
      </c>
      <c r="J340" s="2" t="s">
        <v>73</v>
      </c>
      <c r="K340" s="2" t="s">
        <v>232</v>
      </c>
      <c r="L340" s="2" t="s">
        <v>97</v>
      </c>
      <c r="M340" s="38" t="str">
        <f t="shared" si="14"/>
        <v>25</v>
      </c>
      <c r="N340" s="38" t="str">
        <f t="shared" si="15"/>
        <v>02</v>
      </c>
      <c r="O340" s="50" t="s">
        <v>714</v>
      </c>
      <c r="P340" s="50" t="s">
        <v>714</v>
      </c>
      <c r="Q340" s="50">
        <v>128</v>
      </c>
    </row>
    <row r="341" spans="1:17" ht="16" x14ac:dyDescent="0.45">
      <c r="A341" s="2" t="str">
        <f>IFERROR(VLOOKUP(B341,CODE!$B:$D,3,0),"-")</f>
        <v>네트워크</v>
      </c>
      <c r="B341" s="2" t="str">
        <f>IF(L341="-",VLOOKUP(J341,CODE!$B:$D,2,0),L341)</f>
        <v>애드몹</v>
      </c>
      <c r="C341" s="2" t="s">
        <v>266</v>
      </c>
      <c r="D341" s="2" t="s">
        <v>281</v>
      </c>
      <c r="E341" s="2" t="s">
        <v>282</v>
      </c>
      <c r="F341" s="2" t="s">
        <v>268</v>
      </c>
      <c r="G341" s="2" t="s">
        <v>283</v>
      </c>
      <c r="H341" s="2" t="s">
        <v>284</v>
      </c>
      <c r="I341" s="2" t="s">
        <v>564</v>
      </c>
      <c r="J341" s="2" t="s">
        <v>2</v>
      </c>
      <c r="K341" s="2" t="s">
        <v>232</v>
      </c>
      <c r="L341" s="2" t="s">
        <v>97</v>
      </c>
      <c r="M341" s="38" t="str">
        <f t="shared" si="14"/>
        <v>25</v>
      </c>
      <c r="N341" s="38" t="str">
        <f t="shared" si="15"/>
        <v>01</v>
      </c>
      <c r="O341" s="50" t="s">
        <v>703</v>
      </c>
      <c r="P341" s="50" t="s">
        <v>703</v>
      </c>
      <c r="Q341" s="50">
        <v>93</v>
      </c>
    </row>
    <row r="342" spans="1:17" ht="16" x14ac:dyDescent="0.45">
      <c r="A342" s="2" t="str">
        <f>IFERROR(VLOOKUP(B342,CODE!$B:$D,3,0),"-")</f>
        <v>네트워크</v>
      </c>
      <c r="B342" s="2" t="str">
        <f>IF(L342="-",VLOOKUP(J342,CODE!$B:$D,2,0),L342)</f>
        <v>애드몹</v>
      </c>
      <c r="C342" s="2" t="s">
        <v>266</v>
      </c>
      <c r="D342" s="2" t="s">
        <v>281</v>
      </c>
      <c r="E342" s="2" t="s">
        <v>282</v>
      </c>
      <c r="F342" s="2" t="s">
        <v>268</v>
      </c>
      <c r="G342" s="2" t="s">
        <v>283</v>
      </c>
      <c r="H342" s="2" t="s">
        <v>284</v>
      </c>
      <c r="I342" s="2" t="s">
        <v>564</v>
      </c>
      <c r="J342" s="2" t="s">
        <v>2</v>
      </c>
      <c r="K342" s="2" t="s">
        <v>232</v>
      </c>
      <c r="L342" s="2" t="s">
        <v>97</v>
      </c>
      <c r="M342" s="38" t="str">
        <f t="shared" si="14"/>
        <v>25</v>
      </c>
      <c r="N342" s="38" t="str">
        <f t="shared" si="15"/>
        <v>01</v>
      </c>
      <c r="O342" s="50" t="s">
        <v>666</v>
      </c>
      <c r="P342" s="50" t="s">
        <v>666</v>
      </c>
      <c r="Q342" s="50">
        <v>93</v>
      </c>
    </row>
    <row r="343" spans="1:17" ht="16" x14ac:dyDescent="0.45">
      <c r="A343" s="2" t="str">
        <f>IFERROR(VLOOKUP(B343,CODE!$B:$D,3,0),"-")</f>
        <v>네트워크</v>
      </c>
      <c r="B343" s="2" t="str">
        <f>IF(L343="-",VLOOKUP(J343,CODE!$B:$D,2,0),L343)</f>
        <v>애드몹</v>
      </c>
      <c r="C343" s="2" t="s">
        <v>266</v>
      </c>
      <c r="D343" s="2" t="s">
        <v>281</v>
      </c>
      <c r="E343" s="2" t="s">
        <v>282</v>
      </c>
      <c r="F343" s="2" t="s">
        <v>268</v>
      </c>
      <c r="G343" s="2" t="s">
        <v>283</v>
      </c>
      <c r="H343" s="2" t="s">
        <v>284</v>
      </c>
      <c r="I343" s="2" t="s">
        <v>565</v>
      </c>
      <c r="J343" s="2" t="s">
        <v>73</v>
      </c>
      <c r="K343" s="2" t="s">
        <v>232</v>
      </c>
      <c r="L343" s="2" t="s">
        <v>97</v>
      </c>
      <c r="M343" s="38" t="str">
        <f t="shared" si="14"/>
        <v>25</v>
      </c>
      <c r="N343" s="38" t="str">
        <f t="shared" si="15"/>
        <v>01</v>
      </c>
      <c r="O343" s="50" t="s">
        <v>703</v>
      </c>
      <c r="P343" s="50" t="s">
        <v>703</v>
      </c>
      <c r="Q343" s="50">
        <v>93</v>
      </c>
    </row>
    <row r="344" spans="1:17" ht="16" x14ac:dyDescent="0.45">
      <c r="A344" s="2" t="str">
        <f>IFERROR(VLOOKUP(B344,CODE!$B:$D,3,0),"-")</f>
        <v>네트워크</v>
      </c>
      <c r="B344" s="2" t="str">
        <f>IF(L344="-",VLOOKUP(J344,CODE!$B:$D,2,0),L344)</f>
        <v>애드몹</v>
      </c>
      <c r="C344" s="2" t="s">
        <v>266</v>
      </c>
      <c r="D344" s="2" t="s">
        <v>281</v>
      </c>
      <c r="E344" s="2" t="s">
        <v>282</v>
      </c>
      <c r="F344" s="2" t="s">
        <v>268</v>
      </c>
      <c r="G344" s="2" t="s">
        <v>283</v>
      </c>
      <c r="H344" s="2" t="s">
        <v>284</v>
      </c>
      <c r="I344" s="2" t="s">
        <v>565</v>
      </c>
      <c r="J344" s="2" t="s">
        <v>73</v>
      </c>
      <c r="K344" s="2" t="s">
        <v>232</v>
      </c>
      <c r="L344" s="2" t="s">
        <v>97</v>
      </c>
      <c r="M344" s="38" t="str">
        <f t="shared" si="14"/>
        <v>25</v>
      </c>
      <c r="N344" s="38" t="str">
        <f t="shared" si="15"/>
        <v>02</v>
      </c>
      <c r="O344" s="50" t="s">
        <v>708</v>
      </c>
      <c r="P344" s="50" t="s">
        <v>708</v>
      </c>
      <c r="Q344" s="50">
        <v>128</v>
      </c>
    </row>
    <row r="345" spans="1:17" ht="16" x14ac:dyDescent="0.45">
      <c r="A345" s="2" t="str">
        <f>IFERROR(VLOOKUP(B345,CODE!$B:$D,3,0),"-")</f>
        <v>네트워크</v>
      </c>
      <c r="B345" s="2" t="str">
        <f>IF(L345="-",VLOOKUP(J345,CODE!$B:$D,2,0),L345)</f>
        <v>애드몹</v>
      </c>
      <c r="C345" s="2" t="s">
        <v>266</v>
      </c>
      <c r="D345" s="2" t="s">
        <v>281</v>
      </c>
      <c r="E345" s="2" t="s">
        <v>282</v>
      </c>
      <c r="F345" s="2" t="s">
        <v>268</v>
      </c>
      <c r="G345" s="2" t="s">
        <v>283</v>
      </c>
      <c r="H345" s="2" t="s">
        <v>284</v>
      </c>
      <c r="I345" s="2" t="s">
        <v>566</v>
      </c>
      <c r="J345" s="2" t="s">
        <v>73</v>
      </c>
      <c r="K345" s="2" t="s">
        <v>232</v>
      </c>
      <c r="L345" s="2" t="s">
        <v>97</v>
      </c>
      <c r="M345" s="38" t="str">
        <f t="shared" si="14"/>
        <v>25</v>
      </c>
      <c r="N345" s="38" t="str">
        <f t="shared" si="15"/>
        <v>02</v>
      </c>
      <c r="O345" s="50" t="s">
        <v>652</v>
      </c>
      <c r="P345" s="50" t="s">
        <v>652</v>
      </c>
      <c r="Q345" s="50">
        <v>128</v>
      </c>
    </row>
    <row r="346" spans="1:17" ht="16" x14ac:dyDescent="0.45">
      <c r="A346" s="2" t="str">
        <f>IFERROR(VLOOKUP(B346,CODE!$B:$D,3,0),"-")</f>
        <v>네트워크</v>
      </c>
      <c r="B346" s="2" t="str">
        <f>IF(L346="-",VLOOKUP(J346,CODE!$B:$D,2,0),L346)</f>
        <v>애드몹</v>
      </c>
      <c r="C346" s="2" t="s">
        <v>266</v>
      </c>
      <c r="D346" s="2" t="s">
        <v>281</v>
      </c>
      <c r="E346" s="2" t="s">
        <v>282</v>
      </c>
      <c r="F346" s="2" t="s">
        <v>268</v>
      </c>
      <c r="G346" s="2" t="s">
        <v>283</v>
      </c>
      <c r="H346" s="2" t="s">
        <v>284</v>
      </c>
      <c r="I346" s="2" t="s">
        <v>567</v>
      </c>
      <c r="J346" s="2" t="s">
        <v>73</v>
      </c>
      <c r="K346" s="2" t="s">
        <v>232</v>
      </c>
      <c r="L346" s="2" t="s">
        <v>97</v>
      </c>
      <c r="M346" s="38" t="str">
        <f t="shared" si="14"/>
        <v>25</v>
      </c>
      <c r="N346" s="38" t="str">
        <f t="shared" si="15"/>
        <v>02</v>
      </c>
      <c r="O346" s="50" t="s">
        <v>716</v>
      </c>
      <c r="P346" s="50" t="s">
        <v>716</v>
      </c>
      <c r="Q346" s="50">
        <v>128</v>
      </c>
    </row>
    <row r="347" spans="1:17" ht="16" x14ac:dyDescent="0.45">
      <c r="A347" s="2" t="str">
        <f>IFERROR(VLOOKUP(B347,CODE!$B:$D,3,0),"-")</f>
        <v>네트워크</v>
      </c>
      <c r="B347" s="2" t="str">
        <f>IF(L347="-",VLOOKUP(J347,CODE!$B:$D,2,0),L347)</f>
        <v>애드몹</v>
      </c>
      <c r="C347" s="2" t="s">
        <v>266</v>
      </c>
      <c r="D347" s="2" t="s">
        <v>281</v>
      </c>
      <c r="E347" s="2" t="s">
        <v>282</v>
      </c>
      <c r="F347" s="2" t="s">
        <v>268</v>
      </c>
      <c r="G347" s="2" t="s">
        <v>283</v>
      </c>
      <c r="H347" s="2" t="s">
        <v>284</v>
      </c>
      <c r="I347" s="2" t="s">
        <v>568</v>
      </c>
      <c r="J347" s="2" t="s">
        <v>73</v>
      </c>
      <c r="K347" s="2" t="s">
        <v>232</v>
      </c>
      <c r="L347" s="2" t="s">
        <v>97</v>
      </c>
      <c r="M347" s="38" t="str">
        <f t="shared" si="14"/>
        <v>25</v>
      </c>
      <c r="N347" s="38" t="str">
        <f t="shared" si="15"/>
        <v>02</v>
      </c>
      <c r="O347" s="50" t="s">
        <v>688</v>
      </c>
      <c r="P347" s="50" t="s">
        <v>688</v>
      </c>
      <c r="Q347" s="50">
        <v>128</v>
      </c>
    </row>
    <row r="348" spans="1:17" ht="16" x14ac:dyDescent="0.45">
      <c r="A348" s="2" t="str">
        <f>IFERROR(VLOOKUP(B348,CODE!$B:$D,3,0),"-")</f>
        <v>네트워크</v>
      </c>
      <c r="B348" s="2" t="str">
        <f>IF(L348="-",VLOOKUP(J348,CODE!$B:$D,2,0),L348)</f>
        <v>애드몹</v>
      </c>
      <c r="C348" s="2" t="s">
        <v>266</v>
      </c>
      <c r="D348" s="2" t="s">
        <v>281</v>
      </c>
      <c r="E348" s="2" t="s">
        <v>282</v>
      </c>
      <c r="F348" s="2" t="s">
        <v>268</v>
      </c>
      <c r="G348" s="2" t="s">
        <v>283</v>
      </c>
      <c r="H348" s="2" t="s">
        <v>284</v>
      </c>
      <c r="I348" s="2" t="s">
        <v>569</v>
      </c>
      <c r="J348" s="2" t="s">
        <v>73</v>
      </c>
      <c r="K348" s="2" t="s">
        <v>232</v>
      </c>
      <c r="L348" s="2" t="s">
        <v>97</v>
      </c>
      <c r="M348" s="38" t="str">
        <f t="shared" si="14"/>
        <v>25</v>
      </c>
      <c r="N348" s="38" t="str">
        <f t="shared" si="15"/>
        <v>02</v>
      </c>
      <c r="O348" s="50" t="s">
        <v>653</v>
      </c>
      <c r="P348" s="50" t="s">
        <v>653</v>
      </c>
      <c r="Q348" s="50">
        <v>128</v>
      </c>
    </row>
    <row r="349" spans="1:17" ht="16" x14ac:dyDescent="0.45">
      <c r="A349" s="2" t="str">
        <f>IFERROR(VLOOKUP(B349,CODE!$B:$D,3,0),"-")</f>
        <v>네트워크</v>
      </c>
      <c r="B349" s="2" t="str">
        <f>IF(L349="-",VLOOKUP(J349,CODE!$B:$D,2,0),L349)</f>
        <v>애드몹</v>
      </c>
      <c r="C349" s="2" t="s">
        <v>266</v>
      </c>
      <c r="D349" s="2" t="s">
        <v>281</v>
      </c>
      <c r="E349" s="2" t="s">
        <v>282</v>
      </c>
      <c r="F349" s="2" t="s">
        <v>268</v>
      </c>
      <c r="G349" s="2" t="s">
        <v>283</v>
      </c>
      <c r="H349" s="2" t="s">
        <v>284</v>
      </c>
      <c r="I349" s="2" t="s">
        <v>570</v>
      </c>
      <c r="J349" s="2" t="s">
        <v>73</v>
      </c>
      <c r="K349" s="2" t="s">
        <v>232</v>
      </c>
      <c r="L349" s="2" t="s">
        <v>97</v>
      </c>
      <c r="M349" s="38" t="str">
        <f t="shared" si="14"/>
        <v>25</v>
      </c>
      <c r="N349" s="38" t="str">
        <f t="shared" si="15"/>
        <v>02</v>
      </c>
      <c r="O349" s="50" t="s">
        <v>332</v>
      </c>
      <c r="P349" s="50" t="s">
        <v>332</v>
      </c>
      <c r="Q349" s="50">
        <v>128</v>
      </c>
    </row>
    <row r="350" spans="1:17" ht="16" x14ac:dyDescent="0.45">
      <c r="A350" s="2" t="str">
        <f>IFERROR(VLOOKUP(B350,CODE!$B:$D,3,0),"-")</f>
        <v>네트워크</v>
      </c>
      <c r="B350" s="2" t="str">
        <f>IF(L350="-",VLOOKUP(J350,CODE!$B:$D,2,0),L350)</f>
        <v>애드몹</v>
      </c>
      <c r="C350" s="2" t="s">
        <v>266</v>
      </c>
      <c r="D350" s="2" t="s">
        <v>281</v>
      </c>
      <c r="E350" s="2" t="s">
        <v>282</v>
      </c>
      <c r="F350" s="2" t="s">
        <v>268</v>
      </c>
      <c r="G350" s="2" t="s">
        <v>283</v>
      </c>
      <c r="H350" s="2" t="s">
        <v>284</v>
      </c>
      <c r="I350" s="2" t="s">
        <v>570</v>
      </c>
      <c r="J350" s="2" t="s">
        <v>73</v>
      </c>
      <c r="K350" s="2" t="s">
        <v>232</v>
      </c>
      <c r="L350" s="2" t="s">
        <v>97</v>
      </c>
      <c r="M350" s="38" t="str">
        <f t="shared" si="14"/>
        <v>25</v>
      </c>
      <c r="N350" s="38" t="str">
        <f t="shared" si="15"/>
        <v>02</v>
      </c>
      <c r="O350" s="50" t="s">
        <v>650</v>
      </c>
      <c r="P350" s="50" t="s">
        <v>650</v>
      </c>
      <c r="Q350" s="50">
        <v>128</v>
      </c>
    </row>
    <row r="351" spans="1:17" ht="16" x14ac:dyDescent="0.45">
      <c r="A351" s="2" t="str">
        <f>IFERROR(VLOOKUP(B351,CODE!$B:$D,3,0),"-")</f>
        <v>네트워크</v>
      </c>
      <c r="B351" s="2" t="str">
        <f>IF(L351="-",VLOOKUP(J351,CODE!$B:$D,2,0),L351)</f>
        <v>애드몹</v>
      </c>
      <c r="C351" s="2" t="s">
        <v>266</v>
      </c>
      <c r="D351" s="2" t="s">
        <v>281</v>
      </c>
      <c r="E351" s="2" t="s">
        <v>282</v>
      </c>
      <c r="F351" s="2" t="s">
        <v>268</v>
      </c>
      <c r="G351" s="2" t="s">
        <v>283</v>
      </c>
      <c r="H351" s="2" t="s">
        <v>284</v>
      </c>
      <c r="I351" s="2" t="s">
        <v>571</v>
      </c>
      <c r="J351" s="2" t="s">
        <v>73</v>
      </c>
      <c r="K351" s="2" t="s">
        <v>232</v>
      </c>
      <c r="L351" s="2" t="s">
        <v>97</v>
      </c>
      <c r="M351" s="38" t="str">
        <f t="shared" si="14"/>
        <v>25</v>
      </c>
      <c r="N351" s="38" t="str">
        <f t="shared" si="15"/>
        <v>02</v>
      </c>
      <c r="O351" s="50" t="s">
        <v>332</v>
      </c>
      <c r="P351" s="50" t="s">
        <v>332</v>
      </c>
      <c r="Q351" s="50">
        <v>128</v>
      </c>
    </row>
    <row r="352" spans="1:17" ht="16" x14ac:dyDescent="0.45">
      <c r="A352" s="2" t="str">
        <f>IFERROR(VLOOKUP(B352,CODE!$B:$D,3,0),"-")</f>
        <v>SNS</v>
      </c>
      <c r="B352" s="2" t="str">
        <f>IF(L352="-",VLOOKUP(J352,CODE!$B:$D,2,0),L352)</f>
        <v>SNS</v>
      </c>
      <c r="C352" s="2" t="s">
        <v>266</v>
      </c>
      <c r="D352" s="2" t="s">
        <v>281</v>
      </c>
      <c r="E352" s="2" t="s">
        <v>282</v>
      </c>
      <c r="F352" s="2" t="s">
        <v>268</v>
      </c>
      <c r="G352" s="2" t="s">
        <v>283</v>
      </c>
      <c r="H352" s="2" t="s">
        <v>284</v>
      </c>
      <c r="I352" s="2" t="s">
        <v>451</v>
      </c>
      <c r="J352" s="2" t="s">
        <v>4</v>
      </c>
      <c r="K352" s="2" t="s">
        <v>232</v>
      </c>
      <c r="L352" s="2" t="s">
        <v>82</v>
      </c>
      <c r="M352" s="38" t="str">
        <f t="shared" si="14"/>
        <v>25</v>
      </c>
      <c r="N352" s="38" t="str">
        <f t="shared" si="15"/>
        <v>02</v>
      </c>
      <c r="O352" s="50" t="s">
        <v>649</v>
      </c>
      <c r="P352" s="50" t="s">
        <v>650</v>
      </c>
      <c r="Q352" s="50">
        <v>1637</v>
      </c>
    </row>
    <row r="353" spans="1:17" ht="16" x14ac:dyDescent="0.45">
      <c r="A353" s="2" t="str">
        <f>IFERROR(VLOOKUP(B353,CODE!$B:$D,3,0),"-")</f>
        <v>SNS</v>
      </c>
      <c r="B353" s="2" t="str">
        <f>IF(L353="-",VLOOKUP(J353,CODE!$B:$D,2,0),L353)</f>
        <v>SNS</v>
      </c>
      <c r="C353" s="2" t="s">
        <v>266</v>
      </c>
      <c r="D353" s="2" t="s">
        <v>281</v>
      </c>
      <c r="E353" s="2" t="s">
        <v>282</v>
      </c>
      <c r="F353" s="2" t="s">
        <v>268</v>
      </c>
      <c r="G353" s="2" t="s">
        <v>283</v>
      </c>
      <c r="H353" s="2" t="s">
        <v>284</v>
      </c>
      <c r="I353" s="2" t="s">
        <v>451</v>
      </c>
      <c r="J353" s="2" t="s">
        <v>4</v>
      </c>
      <c r="K353" s="2" t="s">
        <v>232</v>
      </c>
      <c r="L353" s="2" t="s">
        <v>82</v>
      </c>
      <c r="M353" s="38" t="str">
        <f t="shared" si="14"/>
        <v>25</v>
      </c>
      <c r="N353" s="38" t="str">
        <f t="shared" si="15"/>
        <v>02</v>
      </c>
      <c r="O353" s="50" t="s">
        <v>668</v>
      </c>
      <c r="P353" s="50" t="s">
        <v>668</v>
      </c>
      <c r="Q353" s="50">
        <v>819</v>
      </c>
    </row>
    <row r="354" spans="1:17" ht="16" x14ac:dyDescent="0.45">
      <c r="A354" s="2" t="str">
        <f>IFERROR(VLOOKUP(B354,CODE!$B:$D,3,0),"-")</f>
        <v>SNS</v>
      </c>
      <c r="B354" s="2" t="str">
        <f>IF(L354="-",VLOOKUP(J354,CODE!$B:$D,2,0),L354)</f>
        <v>SNS</v>
      </c>
      <c r="C354" s="2" t="s">
        <v>266</v>
      </c>
      <c r="D354" s="2" t="s">
        <v>281</v>
      </c>
      <c r="E354" s="2" t="s">
        <v>282</v>
      </c>
      <c r="F354" s="2" t="s">
        <v>268</v>
      </c>
      <c r="G354" s="2" t="s">
        <v>283</v>
      </c>
      <c r="H354" s="2" t="s">
        <v>284</v>
      </c>
      <c r="I354" s="2" t="s">
        <v>451</v>
      </c>
      <c r="J354" s="2" t="s">
        <v>4</v>
      </c>
      <c r="K354" s="2" t="s">
        <v>232</v>
      </c>
      <c r="L354" s="2" t="s">
        <v>82</v>
      </c>
      <c r="M354" s="38" t="str">
        <f t="shared" si="14"/>
        <v>25</v>
      </c>
      <c r="N354" s="38" t="str">
        <f t="shared" si="15"/>
        <v>04</v>
      </c>
      <c r="O354" s="50" t="s">
        <v>717</v>
      </c>
      <c r="P354" s="50" t="s">
        <v>674</v>
      </c>
      <c r="Q354" s="50">
        <v>2016</v>
      </c>
    </row>
    <row r="355" spans="1:17" ht="16" x14ac:dyDescent="0.45">
      <c r="A355" s="2" t="str">
        <f>IFERROR(VLOOKUP(B355,CODE!$B:$D,3,0),"-")</f>
        <v>SNS</v>
      </c>
      <c r="B355" s="2" t="str">
        <f>IF(L355="-",VLOOKUP(J355,CODE!$B:$D,2,0),L355)</f>
        <v>SNS</v>
      </c>
      <c r="C355" s="2" t="s">
        <v>266</v>
      </c>
      <c r="D355" s="2" t="s">
        <v>281</v>
      </c>
      <c r="E355" s="2" t="s">
        <v>282</v>
      </c>
      <c r="F355" s="2" t="s">
        <v>268</v>
      </c>
      <c r="G355" s="2" t="s">
        <v>283</v>
      </c>
      <c r="H355" s="2" t="s">
        <v>284</v>
      </c>
      <c r="I355" s="2" t="s">
        <v>451</v>
      </c>
      <c r="J355" s="2" t="s">
        <v>4</v>
      </c>
      <c r="K355" s="2" t="s">
        <v>232</v>
      </c>
      <c r="L355" s="2" t="s">
        <v>82</v>
      </c>
      <c r="M355" s="38" t="str">
        <f t="shared" si="14"/>
        <v>25</v>
      </c>
      <c r="N355" s="38" t="str">
        <f t="shared" si="15"/>
        <v>04</v>
      </c>
      <c r="O355" s="50" t="s">
        <v>675</v>
      </c>
      <c r="P355" s="50" t="s">
        <v>676</v>
      </c>
      <c r="Q355" s="50">
        <v>807</v>
      </c>
    </row>
    <row r="356" spans="1:17" ht="16" x14ac:dyDescent="0.45">
      <c r="A356" s="2" t="str">
        <f>IFERROR(VLOOKUP(B356,CODE!$B:$D,3,0),"-")</f>
        <v>네트워크</v>
      </c>
      <c r="B356" s="2" t="str">
        <f>IF(L356="-",VLOOKUP(J356,CODE!$B:$D,2,0),L356)</f>
        <v>애드몹</v>
      </c>
      <c r="C356" s="2" t="s">
        <v>266</v>
      </c>
      <c r="D356" s="2" t="s">
        <v>281</v>
      </c>
      <c r="E356" s="2" t="s">
        <v>282</v>
      </c>
      <c r="F356" s="2" t="s">
        <v>268</v>
      </c>
      <c r="G356" s="2" t="s">
        <v>283</v>
      </c>
      <c r="H356" s="2" t="s">
        <v>284</v>
      </c>
      <c r="I356" s="2" t="s">
        <v>572</v>
      </c>
      <c r="J356" s="2" t="s">
        <v>58</v>
      </c>
      <c r="K356" s="2" t="s">
        <v>232</v>
      </c>
      <c r="L356" s="2" t="s">
        <v>97</v>
      </c>
      <c r="M356" s="38" t="str">
        <f t="shared" si="14"/>
        <v>25</v>
      </c>
      <c r="N356" s="38" t="str">
        <f t="shared" si="15"/>
        <v>02</v>
      </c>
      <c r="O356" s="50" t="s">
        <v>649</v>
      </c>
      <c r="P356" s="50" t="s">
        <v>649</v>
      </c>
      <c r="Q356" s="50">
        <v>128</v>
      </c>
    </row>
    <row r="357" spans="1:17" ht="16" x14ac:dyDescent="0.45">
      <c r="A357" s="2" t="str">
        <f>IFERROR(VLOOKUP(B357,CODE!$B:$D,3,0),"-")</f>
        <v>네트워크</v>
      </c>
      <c r="B357" s="2" t="str">
        <f>IF(L357="-",VLOOKUP(J357,CODE!$B:$D,2,0),L357)</f>
        <v>애드몹</v>
      </c>
      <c r="C357" s="2" t="s">
        <v>266</v>
      </c>
      <c r="D357" s="2" t="s">
        <v>281</v>
      </c>
      <c r="E357" s="2" t="s">
        <v>282</v>
      </c>
      <c r="F357" s="2" t="s">
        <v>268</v>
      </c>
      <c r="G357" s="2" t="s">
        <v>283</v>
      </c>
      <c r="H357" s="2" t="s">
        <v>284</v>
      </c>
      <c r="I357" s="2" t="s">
        <v>573</v>
      </c>
      <c r="J357" s="2" t="s">
        <v>574</v>
      </c>
      <c r="K357" s="2" t="s">
        <v>232</v>
      </c>
      <c r="L357" s="2" t="s">
        <v>97</v>
      </c>
      <c r="M357" s="38" t="str">
        <f t="shared" si="14"/>
        <v>25</v>
      </c>
      <c r="N357" s="38" t="str">
        <f t="shared" si="15"/>
        <v>02</v>
      </c>
      <c r="O357" s="50" t="s">
        <v>650</v>
      </c>
      <c r="P357" s="50" t="s">
        <v>650</v>
      </c>
      <c r="Q357" s="50">
        <v>128</v>
      </c>
    </row>
    <row r="358" spans="1:17" ht="16" x14ac:dyDescent="0.45">
      <c r="A358" s="2" t="str">
        <f>IFERROR(VLOOKUP(B358,CODE!$B:$D,3,0),"-")</f>
        <v>네트워크</v>
      </c>
      <c r="B358" s="2" t="str">
        <f>IF(L358="-",VLOOKUP(J358,CODE!$B:$D,2,0),L358)</f>
        <v>애드몹</v>
      </c>
      <c r="C358" s="2" t="s">
        <v>266</v>
      </c>
      <c r="D358" s="2" t="s">
        <v>281</v>
      </c>
      <c r="E358" s="2" t="s">
        <v>282</v>
      </c>
      <c r="F358" s="2" t="s">
        <v>268</v>
      </c>
      <c r="G358" s="2" t="s">
        <v>283</v>
      </c>
      <c r="H358" s="2" t="s">
        <v>284</v>
      </c>
      <c r="I358" s="2" t="s">
        <v>575</v>
      </c>
      <c r="J358" s="2" t="s">
        <v>73</v>
      </c>
      <c r="K358" s="2" t="s">
        <v>232</v>
      </c>
      <c r="L358" s="2" t="s">
        <v>97</v>
      </c>
      <c r="M358" s="38" t="str">
        <f t="shared" si="14"/>
        <v>25</v>
      </c>
      <c r="N358" s="38" t="str">
        <f t="shared" si="15"/>
        <v>02</v>
      </c>
      <c r="O358" s="50" t="s">
        <v>695</v>
      </c>
      <c r="P358" s="50" t="s">
        <v>695</v>
      </c>
      <c r="Q358" s="50">
        <v>128</v>
      </c>
    </row>
    <row r="359" spans="1:17" ht="16" x14ac:dyDescent="0.45">
      <c r="A359" s="2" t="str">
        <f>IFERROR(VLOOKUP(B359,CODE!$B:$D,3,0),"-")</f>
        <v>네트워크</v>
      </c>
      <c r="B359" s="2" t="str">
        <f>IF(L359="-",VLOOKUP(J359,CODE!$B:$D,2,0),L359)</f>
        <v>애드몹</v>
      </c>
      <c r="C359" s="2" t="s">
        <v>266</v>
      </c>
      <c r="D359" s="2" t="s">
        <v>281</v>
      </c>
      <c r="E359" s="2" t="s">
        <v>282</v>
      </c>
      <c r="F359" s="2" t="s">
        <v>268</v>
      </c>
      <c r="G359" s="2" t="s">
        <v>283</v>
      </c>
      <c r="H359" s="2" t="s">
        <v>284</v>
      </c>
      <c r="I359" s="2" t="s">
        <v>575</v>
      </c>
      <c r="J359" s="2" t="s">
        <v>73</v>
      </c>
      <c r="K359" s="2" t="s">
        <v>232</v>
      </c>
      <c r="L359" s="2" t="s">
        <v>97</v>
      </c>
      <c r="M359" s="38" t="str">
        <f t="shared" si="14"/>
        <v>25</v>
      </c>
      <c r="N359" s="38" t="str">
        <f t="shared" si="15"/>
        <v>02</v>
      </c>
      <c r="O359" s="50" t="s">
        <v>660</v>
      </c>
      <c r="P359" s="50" t="s">
        <v>660</v>
      </c>
      <c r="Q359" s="50">
        <v>128</v>
      </c>
    </row>
    <row r="360" spans="1:17" ht="16" x14ac:dyDescent="0.45">
      <c r="A360" s="2" t="str">
        <f>IFERROR(VLOOKUP(B360,CODE!$B:$D,3,0),"-")</f>
        <v>네트워크</v>
      </c>
      <c r="B360" s="2" t="str">
        <f>IF(L360="-",VLOOKUP(J360,CODE!$B:$D,2,0),L360)</f>
        <v>애드몹</v>
      </c>
      <c r="C360" s="2" t="s">
        <v>266</v>
      </c>
      <c r="D360" s="2" t="s">
        <v>281</v>
      </c>
      <c r="E360" s="2" t="s">
        <v>282</v>
      </c>
      <c r="F360" s="2" t="s">
        <v>268</v>
      </c>
      <c r="G360" s="2" t="s">
        <v>283</v>
      </c>
      <c r="H360" s="2" t="s">
        <v>284</v>
      </c>
      <c r="I360" s="2" t="s">
        <v>575</v>
      </c>
      <c r="J360" s="2" t="s">
        <v>73</v>
      </c>
      <c r="K360" s="2" t="s">
        <v>232</v>
      </c>
      <c r="L360" s="2" t="s">
        <v>97</v>
      </c>
      <c r="M360" s="38" t="str">
        <f t="shared" si="14"/>
        <v>25</v>
      </c>
      <c r="N360" s="38" t="str">
        <f t="shared" si="15"/>
        <v>02</v>
      </c>
      <c r="O360" s="50" t="s">
        <v>649</v>
      </c>
      <c r="P360" s="50" t="s">
        <v>649</v>
      </c>
      <c r="Q360" s="50">
        <v>128</v>
      </c>
    </row>
    <row r="361" spans="1:17" ht="16" x14ac:dyDescent="0.45">
      <c r="A361" s="2" t="str">
        <f>IFERROR(VLOOKUP(B361,CODE!$B:$D,3,0),"-")</f>
        <v>네트워크</v>
      </c>
      <c r="B361" s="2" t="str">
        <f>IF(L361="-",VLOOKUP(J361,CODE!$B:$D,2,0),L361)</f>
        <v>애드몹</v>
      </c>
      <c r="C361" s="2" t="s">
        <v>266</v>
      </c>
      <c r="D361" s="2" t="s">
        <v>281</v>
      </c>
      <c r="E361" s="2" t="s">
        <v>282</v>
      </c>
      <c r="F361" s="2" t="s">
        <v>268</v>
      </c>
      <c r="G361" s="2" t="s">
        <v>283</v>
      </c>
      <c r="H361" s="2" t="s">
        <v>284</v>
      </c>
      <c r="I361" s="2" t="s">
        <v>576</v>
      </c>
      <c r="J361" s="2" t="s">
        <v>577</v>
      </c>
      <c r="K361" s="2" t="s">
        <v>232</v>
      </c>
      <c r="L361" s="2" t="s">
        <v>97</v>
      </c>
      <c r="M361" s="38" t="str">
        <f t="shared" si="14"/>
        <v>25</v>
      </c>
      <c r="N361" s="38" t="str">
        <f t="shared" si="15"/>
        <v>02</v>
      </c>
      <c r="O361" s="50" t="s">
        <v>708</v>
      </c>
      <c r="P361" s="50" t="s">
        <v>708</v>
      </c>
      <c r="Q361" s="50">
        <v>128</v>
      </c>
    </row>
    <row r="362" spans="1:17" ht="16" x14ac:dyDescent="0.45">
      <c r="A362" s="2" t="str">
        <f>IFERROR(VLOOKUP(B362,CODE!$B:$D,3,0),"-")</f>
        <v>네트워크</v>
      </c>
      <c r="B362" s="2" t="str">
        <f>IF(L362="-",VLOOKUP(J362,CODE!$B:$D,2,0),L362)</f>
        <v>애드몹</v>
      </c>
      <c r="C362" s="2" t="s">
        <v>266</v>
      </c>
      <c r="D362" s="2" t="s">
        <v>281</v>
      </c>
      <c r="E362" s="2" t="s">
        <v>282</v>
      </c>
      <c r="F362" s="2" t="s">
        <v>268</v>
      </c>
      <c r="G362" s="2" t="s">
        <v>283</v>
      </c>
      <c r="H362" s="2" t="s">
        <v>284</v>
      </c>
      <c r="I362" s="2" t="s">
        <v>578</v>
      </c>
      <c r="J362" s="2" t="s">
        <v>78</v>
      </c>
      <c r="K362" s="2" t="s">
        <v>232</v>
      </c>
      <c r="L362" s="2" t="s">
        <v>97</v>
      </c>
      <c r="M362" s="38" t="str">
        <f t="shared" si="14"/>
        <v>25</v>
      </c>
      <c r="N362" s="38" t="str">
        <f t="shared" si="15"/>
        <v>01</v>
      </c>
      <c r="O362" s="50" t="s">
        <v>330</v>
      </c>
      <c r="P362" s="50" t="s">
        <v>330</v>
      </c>
      <c r="Q362" s="50">
        <v>93</v>
      </c>
    </row>
    <row r="363" spans="1:17" ht="16" x14ac:dyDescent="0.45">
      <c r="A363" s="2" t="str">
        <f>IFERROR(VLOOKUP(B363,CODE!$B:$D,3,0),"-")</f>
        <v>네트워크</v>
      </c>
      <c r="B363" s="2" t="str">
        <f>IF(L363="-",VLOOKUP(J363,CODE!$B:$D,2,0),L363)</f>
        <v>애드몹</v>
      </c>
      <c r="C363" s="2" t="s">
        <v>266</v>
      </c>
      <c r="D363" s="2" t="s">
        <v>281</v>
      </c>
      <c r="E363" s="2" t="s">
        <v>282</v>
      </c>
      <c r="F363" s="2" t="s">
        <v>268</v>
      </c>
      <c r="G363" s="2" t="s">
        <v>283</v>
      </c>
      <c r="H363" s="2" t="s">
        <v>284</v>
      </c>
      <c r="I363" s="2" t="s">
        <v>579</v>
      </c>
      <c r="J363" s="2" t="s">
        <v>73</v>
      </c>
      <c r="K363" s="2" t="s">
        <v>232</v>
      </c>
      <c r="L363" s="2" t="s">
        <v>97</v>
      </c>
      <c r="M363" s="38" t="str">
        <f t="shared" si="14"/>
        <v>25</v>
      </c>
      <c r="N363" s="38" t="str">
        <f t="shared" si="15"/>
        <v>01</v>
      </c>
      <c r="O363" s="50" t="s">
        <v>718</v>
      </c>
      <c r="P363" s="50" t="s">
        <v>718</v>
      </c>
      <c r="Q363" s="50">
        <v>93</v>
      </c>
    </row>
    <row r="364" spans="1:17" ht="16" x14ac:dyDescent="0.45">
      <c r="A364" s="2" t="str">
        <f>IFERROR(VLOOKUP(B364,CODE!$B:$D,3,0),"-")</f>
        <v>네트워크</v>
      </c>
      <c r="B364" s="2" t="str">
        <f>IF(L364="-",VLOOKUP(J364,CODE!$B:$D,2,0),L364)</f>
        <v>애드몹</v>
      </c>
      <c r="C364" s="2" t="s">
        <v>266</v>
      </c>
      <c r="D364" s="2" t="s">
        <v>281</v>
      </c>
      <c r="E364" s="2" t="s">
        <v>282</v>
      </c>
      <c r="F364" s="2" t="s">
        <v>268</v>
      </c>
      <c r="G364" s="2" t="s">
        <v>283</v>
      </c>
      <c r="H364" s="2" t="s">
        <v>284</v>
      </c>
      <c r="I364" s="2" t="s">
        <v>580</v>
      </c>
      <c r="J364" s="2" t="s">
        <v>73</v>
      </c>
      <c r="K364" s="2" t="s">
        <v>232</v>
      </c>
      <c r="L364" s="2" t="s">
        <v>97</v>
      </c>
      <c r="M364" s="38" t="str">
        <f t="shared" si="14"/>
        <v>25</v>
      </c>
      <c r="N364" s="38" t="str">
        <f t="shared" si="15"/>
        <v>01</v>
      </c>
      <c r="O364" s="50" t="s">
        <v>329</v>
      </c>
      <c r="P364" s="50" t="s">
        <v>329</v>
      </c>
      <c r="Q364" s="50">
        <v>93</v>
      </c>
    </row>
    <row r="365" spans="1:17" ht="16" x14ac:dyDescent="0.45">
      <c r="A365" s="2" t="str">
        <f>IFERROR(VLOOKUP(B365,CODE!$B:$D,3,0),"-")</f>
        <v>네트워크</v>
      </c>
      <c r="B365" s="2" t="str">
        <f>IF(L365="-",VLOOKUP(J365,CODE!$B:$D,2,0),L365)</f>
        <v>애드몹</v>
      </c>
      <c r="C365" s="2" t="s">
        <v>266</v>
      </c>
      <c r="D365" s="2" t="s">
        <v>281</v>
      </c>
      <c r="E365" s="2" t="s">
        <v>282</v>
      </c>
      <c r="F365" s="2" t="s">
        <v>268</v>
      </c>
      <c r="G365" s="2" t="s">
        <v>283</v>
      </c>
      <c r="H365" s="2" t="s">
        <v>284</v>
      </c>
      <c r="I365" s="2" t="s">
        <v>580</v>
      </c>
      <c r="J365" s="2" t="s">
        <v>73</v>
      </c>
      <c r="K365" s="2" t="s">
        <v>232</v>
      </c>
      <c r="L365" s="2" t="s">
        <v>97</v>
      </c>
      <c r="M365" s="38" t="str">
        <f t="shared" si="14"/>
        <v>25</v>
      </c>
      <c r="N365" s="38" t="str">
        <f t="shared" si="15"/>
        <v>02</v>
      </c>
      <c r="O365" s="50" t="s">
        <v>709</v>
      </c>
      <c r="P365" s="50" t="s">
        <v>709</v>
      </c>
      <c r="Q365" s="50">
        <v>128</v>
      </c>
    </row>
    <row r="366" spans="1:17" ht="16" x14ac:dyDescent="0.45">
      <c r="A366" s="2" t="str">
        <f>IFERROR(VLOOKUP(B366,CODE!$B:$D,3,0),"-")</f>
        <v>네트워크</v>
      </c>
      <c r="B366" s="2" t="str">
        <f>IF(L366="-",VLOOKUP(J366,CODE!$B:$D,2,0),L366)</f>
        <v>애드몹</v>
      </c>
      <c r="C366" s="2" t="s">
        <v>266</v>
      </c>
      <c r="D366" s="2" t="s">
        <v>281</v>
      </c>
      <c r="E366" s="2" t="s">
        <v>282</v>
      </c>
      <c r="F366" s="2" t="s">
        <v>268</v>
      </c>
      <c r="G366" s="2" t="s">
        <v>283</v>
      </c>
      <c r="H366" s="2" t="s">
        <v>284</v>
      </c>
      <c r="I366" s="2" t="s">
        <v>581</v>
      </c>
      <c r="J366" s="2" t="s">
        <v>73</v>
      </c>
      <c r="K366" s="2" t="s">
        <v>232</v>
      </c>
      <c r="L366" s="2" t="s">
        <v>97</v>
      </c>
      <c r="M366" s="38" t="str">
        <f t="shared" si="14"/>
        <v>25</v>
      </c>
      <c r="N366" s="38" t="str">
        <f t="shared" si="15"/>
        <v>02</v>
      </c>
      <c r="O366" s="50" t="s">
        <v>332</v>
      </c>
      <c r="P366" s="50" t="s">
        <v>332</v>
      </c>
      <c r="Q366" s="50">
        <v>128</v>
      </c>
    </row>
    <row r="367" spans="1:17" ht="16" x14ac:dyDescent="0.45">
      <c r="A367" s="2" t="str">
        <f>IFERROR(VLOOKUP(B367,CODE!$B:$D,3,0),"-")</f>
        <v>네트워크</v>
      </c>
      <c r="B367" s="2" t="str">
        <f>IF(L367="-",VLOOKUP(J367,CODE!$B:$D,2,0),L367)</f>
        <v>애드몹</v>
      </c>
      <c r="C367" s="2" t="s">
        <v>266</v>
      </c>
      <c r="D367" s="2" t="s">
        <v>281</v>
      </c>
      <c r="E367" s="2" t="s">
        <v>282</v>
      </c>
      <c r="F367" s="2" t="s">
        <v>268</v>
      </c>
      <c r="G367" s="2" t="s">
        <v>283</v>
      </c>
      <c r="H367" s="2" t="s">
        <v>284</v>
      </c>
      <c r="I367" s="2" t="s">
        <v>467</v>
      </c>
      <c r="J367" s="2" t="s">
        <v>73</v>
      </c>
      <c r="K367" s="2" t="s">
        <v>232</v>
      </c>
      <c r="L367" s="2" t="s">
        <v>97</v>
      </c>
      <c r="M367" s="38" t="str">
        <f t="shared" si="14"/>
        <v>25</v>
      </c>
      <c r="N367" s="38" t="str">
        <f t="shared" si="15"/>
        <v>02</v>
      </c>
      <c r="O367" s="50" t="s">
        <v>716</v>
      </c>
      <c r="P367" s="50" t="s">
        <v>716</v>
      </c>
      <c r="Q367" s="50">
        <v>128</v>
      </c>
    </row>
    <row r="368" spans="1:17" ht="16" x14ac:dyDescent="0.45">
      <c r="A368" s="2" t="str">
        <f>IFERROR(VLOOKUP(B368,CODE!$B:$D,3,0),"-")</f>
        <v>네트워크</v>
      </c>
      <c r="B368" s="2" t="str">
        <f>IF(L368="-",VLOOKUP(J368,CODE!$B:$D,2,0),L368)</f>
        <v>애드몹</v>
      </c>
      <c r="C368" s="2" t="s">
        <v>266</v>
      </c>
      <c r="D368" s="2" t="s">
        <v>281</v>
      </c>
      <c r="E368" s="2" t="s">
        <v>282</v>
      </c>
      <c r="F368" s="2" t="s">
        <v>268</v>
      </c>
      <c r="G368" s="2" t="s">
        <v>283</v>
      </c>
      <c r="H368" s="2" t="s">
        <v>284</v>
      </c>
      <c r="I368" s="2" t="s">
        <v>582</v>
      </c>
      <c r="J368" s="2" t="s">
        <v>73</v>
      </c>
      <c r="K368" s="2" t="s">
        <v>232</v>
      </c>
      <c r="L368" s="2" t="s">
        <v>97</v>
      </c>
      <c r="M368" s="38" t="str">
        <f t="shared" si="14"/>
        <v>25</v>
      </c>
      <c r="N368" s="38" t="str">
        <f t="shared" si="15"/>
        <v>01</v>
      </c>
      <c r="O368" s="50" t="s">
        <v>327</v>
      </c>
      <c r="P368" s="50" t="s">
        <v>327</v>
      </c>
      <c r="Q368" s="50">
        <v>93</v>
      </c>
    </row>
    <row r="369" spans="1:17" ht="16" x14ac:dyDescent="0.45">
      <c r="A369" s="2" t="str">
        <f>IFERROR(VLOOKUP(B369,CODE!$B:$D,3,0),"-")</f>
        <v>네트워크</v>
      </c>
      <c r="B369" s="2" t="str">
        <f>IF(L369="-",VLOOKUP(J369,CODE!$B:$D,2,0),L369)</f>
        <v>애드몹</v>
      </c>
      <c r="C369" s="2" t="s">
        <v>266</v>
      </c>
      <c r="D369" s="2" t="s">
        <v>281</v>
      </c>
      <c r="E369" s="2" t="s">
        <v>282</v>
      </c>
      <c r="F369" s="2" t="s">
        <v>268</v>
      </c>
      <c r="G369" s="2" t="s">
        <v>283</v>
      </c>
      <c r="H369" s="2" t="s">
        <v>284</v>
      </c>
      <c r="I369" s="2" t="s">
        <v>582</v>
      </c>
      <c r="J369" s="2" t="s">
        <v>73</v>
      </c>
      <c r="K369" s="2" t="s">
        <v>232</v>
      </c>
      <c r="L369" s="2" t="s">
        <v>97</v>
      </c>
      <c r="M369" s="38" t="str">
        <f t="shared" si="14"/>
        <v>25</v>
      </c>
      <c r="N369" s="38" t="str">
        <f t="shared" si="15"/>
        <v>01</v>
      </c>
      <c r="O369" s="50" t="s">
        <v>666</v>
      </c>
      <c r="P369" s="50" t="s">
        <v>666</v>
      </c>
      <c r="Q369" s="50">
        <v>93</v>
      </c>
    </row>
    <row r="370" spans="1:17" ht="16" x14ac:dyDescent="0.45">
      <c r="A370" s="2" t="str">
        <f>IFERROR(VLOOKUP(B370,CODE!$B:$D,3,0),"-")</f>
        <v>네트워크</v>
      </c>
      <c r="B370" s="2" t="str">
        <f>IF(L370="-",VLOOKUP(J370,CODE!$B:$D,2,0),L370)</f>
        <v>애드몹</v>
      </c>
      <c r="C370" s="2" t="s">
        <v>266</v>
      </c>
      <c r="D370" s="2" t="s">
        <v>281</v>
      </c>
      <c r="E370" s="2" t="s">
        <v>282</v>
      </c>
      <c r="F370" s="2" t="s">
        <v>268</v>
      </c>
      <c r="G370" s="2" t="s">
        <v>283</v>
      </c>
      <c r="H370" s="2" t="s">
        <v>284</v>
      </c>
      <c r="I370" s="2" t="s">
        <v>583</v>
      </c>
      <c r="J370" s="2" t="s">
        <v>77</v>
      </c>
      <c r="K370" s="2" t="s">
        <v>232</v>
      </c>
      <c r="L370" s="2" t="s">
        <v>97</v>
      </c>
      <c r="M370" s="38" t="str">
        <f t="shared" si="14"/>
        <v>25</v>
      </c>
      <c r="N370" s="38" t="str">
        <f t="shared" si="15"/>
        <v>02</v>
      </c>
      <c r="O370" s="50" t="s">
        <v>701</v>
      </c>
      <c r="P370" s="50" t="s">
        <v>701</v>
      </c>
      <c r="Q370" s="50">
        <v>128</v>
      </c>
    </row>
    <row r="371" spans="1:17" ht="16" x14ac:dyDescent="0.45">
      <c r="A371" s="2" t="str">
        <f>IFERROR(VLOOKUP(B371,CODE!$B:$D,3,0),"-")</f>
        <v>네트워크</v>
      </c>
      <c r="B371" s="2" t="str">
        <f>IF(L371="-",VLOOKUP(J371,CODE!$B:$D,2,0),L371)</f>
        <v>애드몹</v>
      </c>
      <c r="C371" s="2" t="s">
        <v>266</v>
      </c>
      <c r="D371" s="2" t="s">
        <v>281</v>
      </c>
      <c r="E371" s="2" t="s">
        <v>282</v>
      </c>
      <c r="F371" s="2" t="s">
        <v>268</v>
      </c>
      <c r="G371" s="2" t="s">
        <v>283</v>
      </c>
      <c r="H371" s="2" t="s">
        <v>284</v>
      </c>
      <c r="I371" s="2" t="s">
        <v>584</v>
      </c>
      <c r="J371" s="2" t="s">
        <v>79</v>
      </c>
      <c r="K371" s="2" t="s">
        <v>232</v>
      </c>
      <c r="L371" s="2" t="s">
        <v>97</v>
      </c>
      <c r="M371" s="38" t="str">
        <f t="shared" si="14"/>
        <v>25</v>
      </c>
      <c r="N371" s="38" t="str">
        <f t="shared" si="15"/>
        <v>04</v>
      </c>
      <c r="O371" s="50" t="s">
        <v>698</v>
      </c>
      <c r="P371" s="50" t="s">
        <v>698</v>
      </c>
      <c r="Q371" s="50">
        <v>133</v>
      </c>
    </row>
    <row r="372" spans="1:17" ht="16" x14ac:dyDescent="0.45">
      <c r="A372" s="2" t="str">
        <f>IFERROR(VLOOKUP(B372,CODE!$B:$D,3,0),"-")</f>
        <v>네트워크</v>
      </c>
      <c r="B372" s="2" t="str">
        <f>IF(L372="-",VLOOKUP(J372,CODE!$B:$D,2,0),L372)</f>
        <v>애드몹</v>
      </c>
      <c r="C372" s="2" t="s">
        <v>266</v>
      </c>
      <c r="D372" s="2" t="s">
        <v>281</v>
      </c>
      <c r="E372" s="2" t="s">
        <v>282</v>
      </c>
      <c r="F372" s="2" t="s">
        <v>268</v>
      </c>
      <c r="G372" s="2" t="s">
        <v>283</v>
      </c>
      <c r="H372" s="2" t="s">
        <v>284</v>
      </c>
      <c r="I372" s="2" t="s">
        <v>585</v>
      </c>
      <c r="J372" s="2" t="s">
        <v>78</v>
      </c>
      <c r="K372" s="2" t="s">
        <v>232</v>
      </c>
      <c r="L372" s="2" t="s">
        <v>97</v>
      </c>
      <c r="M372" s="38" t="str">
        <f t="shared" si="14"/>
        <v>25</v>
      </c>
      <c r="N372" s="38" t="str">
        <f t="shared" si="15"/>
        <v>02</v>
      </c>
      <c r="O372" s="50" t="s">
        <v>708</v>
      </c>
      <c r="P372" s="50" t="s">
        <v>708</v>
      </c>
      <c r="Q372" s="50">
        <v>128</v>
      </c>
    </row>
    <row r="373" spans="1:17" ht="16" x14ac:dyDescent="0.45">
      <c r="A373" s="2" t="str">
        <f>IFERROR(VLOOKUP(B373,CODE!$B:$D,3,0),"-")</f>
        <v>네트워크</v>
      </c>
      <c r="B373" s="2" t="str">
        <f>IF(L373="-",VLOOKUP(J373,CODE!$B:$D,2,0),L373)</f>
        <v>애드몹</v>
      </c>
      <c r="C373" s="2" t="s">
        <v>266</v>
      </c>
      <c r="D373" s="2" t="s">
        <v>281</v>
      </c>
      <c r="E373" s="2" t="s">
        <v>282</v>
      </c>
      <c r="F373" s="2" t="s">
        <v>268</v>
      </c>
      <c r="G373" s="2" t="s">
        <v>283</v>
      </c>
      <c r="H373" s="2" t="s">
        <v>284</v>
      </c>
      <c r="I373" s="2" t="s">
        <v>470</v>
      </c>
      <c r="J373" s="2" t="s">
        <v>73</v>
      </c>
      <c r="K373" s="2" t="s">
        <v>232</v>
      </c>
      <c r="L373" s="2" t="s">
        <v>97</v>
      </c>
      <c r="M373" s="38" t="str">
        <f t="shared" si="14"/>
        <v>25</v>
      </c>
      <c r="N373" s="38" t="str">
        <f t="shared" si="15"/>
        <v>04</v>
      </c>
      <c r="O373" s="50" t="s">
        <v>698</v>
      </c>
      <c r="P373" s="50" t="s">
        <v>698</v>
      </c>
      <c r="Q373" s="50">
        <v>133</v>
      </c>
    </row>
    <row r="374" spans="1:17" ht="16" x14ac:dyDescent="0.45">
      <c r="A374" s="2" t="str">
        <f>IFERROR(VLOOKUP(B374,CODE!$B:$D,3,0),"-")</f>
        <v>네트워크</v>
      </c>
      <c r="B374" s="2" t="str">
        <f>IF(L374="-",VLOOKUP(J374,CODE!$B:$D,2,0),L374)</f>
        <v>애드몹</v>
      </c>
      <c r="C374" s="2" t="s">
        <v>266</v>
      </c>
      <c r="D374" s="2" t="s">
        <v>281</v>
      </c>
      <c r="E374" s="2" t="s">
        <v>282</v>
      </c>
      <c r="F374" s="2" t="s">
        <v>268</v>
      </c>
      <c r="G374" s="2" t="s">
        <v>283</v>
      </c>
      <c r="H374" s="2" t="s">
        <v>284</v>
      </c>
      <c r="I374" s="2" t="s">
        <v>586</v>
      </c>
      <c r="J374" s="2" t="s">
        <v>73</v>
      </c>
      <c r="K374" s="2" t="s">
        <v>232</v>
      </c>
      <c r="L374" s="2" t="s">
        <v>97</v>
      </c>
      <c r="M374" s="38" t="str">
        <f t="shared" si="14"/>
        <v>25</v>
      </c>
      <c r="N374" s="38" t="str">
        <f t="shared" si="15"/>
        <v>01</v>
      </c>
      <c r="O374" s="50" t="s">
        <v>690</v>
      </c>
      <c r="P374" s="50" t="s">
        <v>690</v>
      </c>
      <c r="Q374" s="50">
        <v>93</v>
      </c>
    </row>
    <row r="375" spans="1:17" ht="16" x14ac:dyDescent="0.45">
      <c r="A375" s="2" t="str">
        <f>IFERROR(VLOOKUP(B375,CODE!$B:$D,3,0),"-")</f>
        <v>네트워크</v>
      </c>
      <c r="B375" s="2" t="str">
        <f>IF(L375="-",VLOOKUP(J375,CODE!$B:$D,2,0),L375)</f>
        <v>애드몹</v>
      </c>
      <c r="C375" s="2" t="s">
        <v>266</v>
      </c>
      <c r="D375" s="2" t="s">
        <v>281</v>
      </c>
      <c r="E375" s="2" t="s">
        <v>282</v>
      </c>
      <c r="F375" s="2" t="s">
        <v>268</v>
      </c>
      <c r="G375" s="2" t="s">
        <v>283</v>
      </c>
      <c r="H375" s="2" t="s">
        <v>284</v>
      </c>
      <c r="I375" s="2" t="s">
        <v>587</v>
      </c>
      <c r="J375" s="2" t="s">
        <v>73</v>
      </c>
      <c r="K375" s="2" t="s">
        <v>232</v>
      </c>
      <c r="L375" s="2" t="s">
        <v>97</v>
      </c>
      <c r="M375" s="38" t="str">
        <f t="shared" si="14"/>
        <v>25</v>
      </c>
      <c r="N375" s="38" t="str">
        <f t="shared" si="15"/>
        <v>01</v>
      </c>
      <c r="O375" s="50" t="s">
        <v>328</v>
      </c>
      <c r="P375" s="50" t="s">
        <v>328</v>
      </c>
      <c r="Q375" s="50">
        <v>93</v>
      </c>
    </row>
    <row r="376" spans="1:17" ht="16" x14ac:dyDescent="0.45">
      <c r="A376" s="2" t="str">
        <f>IFERROR(VLOOKUP(B376,CODE!$B:$D,3,0),"-")</f>
        <v>네트워크</v>
      </c>
      <c r="B376" s="2" t="str">
        <f>IF(L376="-",VLOOKUP(J376,CODE!$B:$D,2,0),L376)</f>
        <v>애드몹</v>
      </c>
      <c r="C376" s="2" t="s">
        <v>266</v>
      </c>
      <c r="D376" s="2" t="s">
        <v>281</v>
      </c>
      <c r="E376" s="2" t="s">
        <v>282</v>
      </c>
      <c r="F376" s="2" t="s">
        <v>268</v>
      </c>
      <c r="G376" s="2" t="s">
        <v>283</v>
      </c>
      <c r="H376" s="2" t="s">
        <v>284</v>
      </c>
      <c r="I376" s="2" t="s">
        <v>588</v>
      </c>
      <c r="J376" s="2" t="s">
        <v>73</v>
      </c>
      <c r="K376" s="2" t="s">
        <v>232</v>
      </c>
      <c r="L376" s="2" t="s">
        <v>97</v>
      </c>
      <c r="M376" s="38" t="str">
        <f t="shared" si="14"/>
        <v>25</v>
      </c>
      <c r="N376" s="38" t="str">
        <f t="shared" si="15"/>
        <v>02</v>
      </c>
      <c r="O376" s="50" t="s">
        <v>693</v>
      </c>
      <c r="P376" s="50" t="s">
        <v>693</v>
      </c>
      <c r="Q376" s="50">
        <v>128</v>
      </c>
    </row>
    <row r="377" spans="1:17" ht="16" x14ac:dyDescent="0.45">
      <c r="A377" s="2" t="str">
        <f>IFERROR(VLOOKUP(B377,CODE!$B:$D,3,0),"-")</f>
        <v>네트워크</v>
      </c>
      <c r="B377" s="2" t="str">
        <f>IF(L377="-",VLOOKUP(J377,CODE!$B:$D,2,0),L377)</f>
        <v>애드몹</v>
      </c>
      <c r="C377" s="2" t="s">
        <v>266</v>
      </c>
      <c r="D377" s="2" t="s">
        <v>281</v>
      </c>
      <c r="E377" s="2" t="s">
        <v>282</v>
      </c>
      <c r="F377" s="2" t="s">
        <v>268</v>
      </c>
      <c r="G377" s="2" t="s">
        <v>283</v>
      </c>
      <c r="H377" s="2" t="s">
        <v>284</v>
      </c>
      <c r="I377" s="2" t="s">
        <v>589</v>
      </c>
      <c r="J377" s="2" t="s">
        <v>79</v>
      </c>
      <c r="K377" s="2" t="s">
        <v>232</v>
      </c>
      <c r="L377" s="2" t="s">
        <v>97</v>
      </c>
      <c r="M377" s="38" t="str">
        <f t="shared" si="14"/>
        <v>25</v>
      </c>
      <c r="N377" s="38" t="str">
        <f t="shared" si="15"/>
        <v>02</v>
      </c>
      <c r="O377" s="50" t="s">
        <v>691</v>
      </c>
      <c r="P377" s="50" t="s">
        <v>691</v>
      </c>
      <c r="Q377" s="50">
        <v>128</v>
      </c>
    </row>
    <row r="378" spans="1:17" ht="16" x14ac:dyDescent="0.45">
      <c r="A378" s="2" t="str">
        <f>IFERROR(VLOOKUP(B378,CODE!$B:$D,3,0),"-")</f>
        <v>네트워크</v>
      </c>
      <c r="B378" s="2" t="str">
        <f>IF(L378="-",VLOOKUP(J378,CODE!$B:$D,2,0),L378)</f>
        <v>애드몹</v>
      </c>
      <c r="C378" s="2" t="s">
        <v>266</v>
      </c>
      <c r="D378" s="2" t="s">
        <v>281</v>
      </c>
      <c r="E378" s="2" t="s">
        <v>282</v>
      </c>
      <c r="F378" s="2" t="s">
        <v>268</v>
      </c>
      <c r="G378" s="2" t="s">
        <v>283</v>
      </c>
      <c r="H378" s="2" t="s">
        <v>284</v>
      </c>
      <c r="I378" s="2" t="s">
        <v>590</v>
      </c>
      <c r="J378" s="2" t="s">
        <v>79</v>
      </c>
      <c r="K378" s="2" t="s">
        <v>232</v>
      </c>
      <c r="L378" s="2" t="s">
        <v>97</v>
      </c>
      <c r="M378" s="38" t="str">
        <f t="shared" si="14"/>
        <v>25</v>
      </c>
      <c r="N378" s="38" t="str">
        <f t="shared" si="15"/>
        <v>02</v>
      </c>
      <c r="O378" s="50" t="s">
        <v>719</v>
      </c>
      <c r="P378" s="50" t="s">
        <v>719</v>
      </c>
      <c r="Q378" s="50">
        <v>128</v>
      </c>
    </row>
    <row r="379" spans="1:17" ht="16" x14ac:dyDescent="0.45">
      <c r="A379" s="2" t="str">
        <f>IFERROR(VLOOKUP(B379,CODE!$B:$D,3,0),"-")</f>
        <v>네트워크</v>
      </c>
      <c r="B379" s="2" t="str">
        <f>IF(L379="-",VLOOKUP(J379,CODE!$B:$D,2,0),L379)</f>
        <v>애드몹</v>
      </c>
      <c r="C379" s="2" t="s">
        <v>266</v>
      </c>
      <c r="D379" s="2" t="s">
        <v>281</v>
      </c>
      <c r="E379" s="2" t="s">
        <v>282</v>
      </c>
      <c r="F379" s="2" t="s">
        <v>268</v>
      </c>
      <c r="G379" s="2" t="s">
        <v>283</v>
      </c>
      <c r="H379" s="2" t="s">
        <v>284</v>
      </c>
      <c r="I379" s="2" t="s">
        <v>591</v>
      </c>
      <c r="J379" s="2" t="s">
        <v>79</v>
      </c>
      <c r="K379" s="2" t="s">
        <v>232</v>
      </c>
      <c r="L379" s="2" t="s">
        <v>97</v>
      </c>
      <c r="M379" s="38" t="str">
        <f t="shared" ref="M379:M442" si="16">LEFT(O379,2)</f>
        <v>25</v>
      </c>
      <c r="N379" s="38" t="str">
        <f t="shared" ref="N379:N442" si="17">MID(O379,4,2)</f>
        <v>01</v>
      </c>
      <c r="O379" s="50" t="s">
        <v>697</v>
      </c>
      <c r="P379" s="50" t="s">
        <v>697</v>
      </c>
      <c r="Q379" s="50">
        <v>93</v>
      </c>
    </row>
    <row r="380" spans="1:17" ht="16" x14ac:dyDescent="0.45">
      <c r="A380" s="2" t="str">
        <f>IFERROR(VLOOKUP(B380,CODE!$B:$D,3,0),"-")</f>
        <v>네트워크</v>
      </c>
      <c r="B380" s="2" t="str">
        <f>IF(L380="-",VLOOKUP(J380,CODE!$B:$D,2,0),L380)</f>
        <v>애드몹</v>
      </c>
      <c r="C380" s="2" t="s">
        <v>266</v>
      </c>
      <c r="D380" s="2" t="s">
        <v>281</v>
      </c>
      <c r="E380" s="2" t="s">
        <v>282</v>
      </c>
      <c r="F380" s="2" t="s">
        <v>268</v>
      </c>
      <c r="G380" s="2" t="s">
        <v>283</v>
      </c>
      <c r="H380" s="2" t="s">
        <v>284</v>
      </c>
      <c r="I380" s="2" t="s">
        <v>591</v>
      </c>
      <c r="J380" s="2" t="s">
        <v>79</v>
      </c>
      <c r="K380" s="2" t="s">
        <v>232</v>
      </c>
      <c r="L380" s="2" t="s">
        <v>97</v>
      </c>
      <c r="M380" s="38" t="str">
        <f t="shared" si="16"/>
        <v>25</v>
      </c>
      <c r="N380" s="38" t="str">
        <f t="shared" si="17"/>
        <v>02</v>
      </c>
      <c r="O380" s="50" t="s">
        <v>649</v>
      </c>
      <c r="P380" s="50" t="s">
        <v>701</v>
      </c>
      <c r="Q380" s="50">
        <v>513</v>
      </c>
    </row>
    <row r="381" spans="1:17" ht="16" x14ac:dyDescent="0.45">
      <c r="A381" s="2" t="str">
        <f>IFERROR(VLOOKUP(B381,CODE!$B:$D,3,0),"-")</f>
        <v>네트워크</v>
      </c>
      <c r="B381" s="2" t="str">
        <f>IF(L381="-",VLOOKUP(J381,CODE!$B:$D,2,0),L381)</f>
        <v>애드몹</v>
      </c>
      <c r="C381" s="2" t="s">
        <v>266</v>
      </c>
      <c r="D381" s="2" t="s">
        <v>281</v>
      </c>
      <c r="E381" s="2" t="s">
        <v>282</v>
      </c>
      <c r="F381" s="2" t="s">
        <v>268</v>
      </c>
      <c r="G381" s="2" t="s">
        <v>283</v>
      </c>
      <c r="H381" s="2" t="s">
        <v>284</v>
      </c>
      <c r="I381" s="2" t="s">
        <v>471</v>
      </c>
      <c r="J381" s="2" t="s">
        <v>73</v>
      </c>
      <c r="K381" s="2" t="s">
        <v>232</v>
      </c>
      <c r="L381" s="2" t="s">
        <v>97</v>
      </c>
      <c r="M381" s="38" t="str">
        <f t="shared" si="16"/>
        <v>25</v>
      </c>
      <c r="N381" s="38" t="str">
        <f t="shared" si="17"/>
        <v>01</v>
      </c>
      <c r="O381" s="50" t="s">
        <v>703</v>
      </c>
      <c r="P381" s="50" t="s">
        <v>703</v>
      </c>
      <c r="Q381" s="50">
        <v>93</v>
      </c>
    </row>
    <row r="382" spans="1:17" ht="16" x14ac:dyDescent="0.45">
      <c r="A382" s="2" t="str">
        <f>IFERROR(VLOOKUP(B382,CODE!$B:$D,3,0),"-")</f>
        <v>네트워크</v>
      </c>
      <c r="B382" s="2" t="str">
        <f>IF(L382="-",VLOOKUP(J382,CODE!$B:$D,2,0),L382)</f>
        <v>애드몹</v>
      </c>
      <c r="C382" s="2" t="s">
        <v>266</v>
      </c>
      <c r="D382" s="2" t="s">
        <v>281</v>
      </c>
      <c r="E382" s="2" t="s">
        <v>282</v>
      </c>
      <c r="F382" s="2" t="s">
        <v>268</v>
      </c>
      <c r="G382" s="2" t="s">
        <v>283</v>
      </c>
      <c r="H382" s="2" t="s">
        <v>284</v>
      </c>
      <c r="I382" s="2" t="s">
        <v>592</v>
      </c>
      <c r="J382" s="2" t="s">
        <v>73</v>
      </c>
      <c r="K382" s="2" t="s">
        <v>232</v>
      </c>
      <c r="L382" s="2" t="s">
        <v>97</v>
      </c>
      <c r="M382" s="38" t="str">
        <f t="shared" si="16"/>
        <v>25</v>
      </c>
      <c r="N382" s="38" t="str">
        <f t="shared" si="17"/>
        <v>02</v>
      </c>
      <c r="O382" s="50" t="s">
        <v>704</v>
      </c>
      <c r="P382" s="50" t="s">
        <v>704</v>
      </c>
      <c r="Q382" s="50">
        <v>128</v>
      </c>
    </row>
    <row r="383" spans="1:17" ht="16" x14ac:dyDescent="0.45">
      <c r="A383" s="2" t="str">
        <f>IFERROR(VLOOKUP(B383,CODE!$B:$D,3,0),"-")</f>
        <v>네트워크</v>
      </c>
      <c r="B383" s="2" t="str">
        <f>IF(L383="-",VLOOKUP(J383,CODE!$B:$D,2,0),L383)</f>
        <v>애드몹</v>
      </c>
      <c r="C383" s="2" t="s">
        <v>266</v>
      </c>
      <c r="D383" s="2" t="s">
        <v>281</v>
      </c>
      <c r="E383" s="2" t="s">
        <v>282</v>
      </c>
      <c r="F383" s="2" t="s">
        <v>268</v>
      </c>
      <c r="G383" s="2" t="s">
        <v>283</v>
      </c>
      <c r="H383" s="2" t="s">
        <v>284</v>
      </c>
      <c r="I383" s="2" t="s">
        <v>593</v>
      </c>
      <c r="J383" s="2" t="s">
        <v>594</v>
      </c>
      <c r="K383" s="2" t="s">
        <v>232</v>
      </c>
      <c r="L383" s="2" t="s">
        <v>97</v>
      </c>
      <c r="M383" s="38" t="str">
        <f t="shared" si="16"/>
        <v>25</v>
      </c>
      <c r="N383" s="38" t="str">
        <f t="shared" si="17"/>
        <v>02</v>
      </c>
      <c r="O383" s="50" t="s">
        <v>705</v>
      </c>
      <c r="P383" s="50" t="s">
        <v>705</v>
      </c>
      <c r="Q383" s="50">
        <v>128</v>
      </c>
    </row>
    <row r="384" spans="1:17" ht="16" x14ac:dyDescent="0.45">
      <c r="A384" s="2" t="str">
        <f>IFERROR(VLOOKUP(B384,CODE!$B:$D,3,0),"-")</f>
        <v>네트워크</v>
      </c>
      <c r="B384" s="2" t="str">
        <f>IF(L384="-",VLOOKUP(J384,CODE!$B:$D,2,0),L384)</f>
        <v>애드몹</v>
      </c>
      <c r="C384" s="2" t="s">
        <v>266</v>
      </c>
      <c r="D384" s="2" t="s">
        <v>281</v>
      </c>
      <c r="E384" s="2" t="s">
        <v>282</v>
      </c>
      <c r="F384" s="2" t="s">
        <v>268</v>
      </c>
      <c r="G384" s="2" t="s">
        <v>283</v>
      </c>
      <c r="H384" s="2" t="s">
        <v>284</v>
      </c>
      <c r="I384" s="2" t="s">
        <v>595</v>
      </c>
      <c r="J384" s="2" t="s">
        <v>559</v>
      </c>
      <c r="K384" s="2" t="s">
        <v>232</v>
      </c>
      <c r="L384" s="2" t="s">
        <v>97</v>
      </c>
      <c r="M384" s="38" t="str">
        <f t="shared" si="16"/>
        <v>25</v>
      </c>
      <c r="N384" s="38" t="str">
        <f t="shared" si="17"/>
        <v>02</v>
      </c>
      <c r="O384" s="50" t="s">
        <v>708</v>
      </c>
      <c r="P384" s="50" t="s">
        <v>708</v>
      </c>
      <c r="Q384" s="50">
        <v>128</v>
      </c>
    </row>
    <row r="385" spans="1:17" ht="16" x14ac:dyDescent="0.45">
      <c r="A385" s="2" t="str">
        <f>IFERROR(VLOOKUP(B385,CODE!$B:$D,3,0),"-")</f>
        <v>네트워크</v>
      </c>
      <c r="B385" s="2" t="str">
        <f>IF(L385="-",VLOOKUP(J385,CODE!$B:$D,2,0),L385)</f>
        <v>애드몹</v>
      </c>
      <c r="C385" s="2" t="s">
        <v>266</v>
      </c>
      <c r="D385" s="2" t="s">
        <v>281</v>
      </c>
      <c r="E385" s="2" t="s">
        <v>282</v>
      </c>
      <c r="F385" s="2" t="s">
        <v>268</v>
      </c>
      <c r="G385" s="2" t="s">
        <v>283</v>
      </c>
      <c r="H385" s="2" t="s">
        <v>284</v>
      </c>
      <c r="I385" s="2" t="s">
        <v>595</v>
      </c>
      <c r="J385" s="2" t="s">
        <v>559</v>
      </c>
      <c r="K385" s="2" t="s">
        <v>232</v>
      </c>
      <c r="L385" s="2" t="s">
        <v>97</v>
      </c>
      <c r="M385" s="38" t="str">
        <f t="shared" si="16"/>
        <v>25</v>
      </c>
      <c r="N385" s="38" t="str">
        <f t="shared" si="17"/>
        <v>04</v>
      </c>
      <c r="O385" s="50" t="s">
        <v>715</v>
      </c>
      <c r="P385" s="50" t="s">
        <v>715</v>
      </c>
      <c r="Q385" s="50">
        <v>133</v>
      </c>
    </row>
    <row r="386" spans="1:17" ht="16" x14ac:dyDescent="0.45">
      <c r="A386" s="2" t="str">
        <f>IFERROR(VLOOKUP(B386,CODE!$B:$D,3,0),"-")</f>
        <v>네트워크</v>
      </c>
      <c r="B386" s="2" t="str">
        <f>IF(L386="-",VLOOKUP(J386,CODE!$B:$D,2,0),L386)</f>
        <v>애드몹</v>
      </c>
      <c r="C386" s="2" t="s">
        <v>266</v>
      </c>
      <c r="D386" s="2" t="s">
        <v>281</v>
      </c>
      <c r="E386" s="2" t="s">
        <v>282</v>
      </c>
      <c r="F386" s="2" t="s">
        <v>268</v>
      </c>
      <c r="G386" s="2" t="s">
        <v>283</v>
      </c>
      <c r="H386" s="2" t="s">
        <v>284</v>
      </c>
      <c r="I386" s="2" t="s">
        <v>596</v>
      </c>
      <c r="J386" s="2" t="s">
        <v>594</v>
      </c>
      <c r="K386" s="2" t="s">
        <v>232</v>
      </c>
      <c r="L386" s="2" t="s">
        <v>97</v>
      </c>
      <c r="M386" s="38" t="str">
        <f t="shared" si="16"/>
        <v>25</v>
      </c>
      <c r="N386" s="38" t="str">
        <f t="shared" si="17"/>
        <v>01</v>
      </c>
      <c r="O386" s="50" t="s">
        <v>713</v>
      </c>
      <c r="P386" s="50" t="s">
        <v>713</v>
      </c>
      <c r="Q386" s="50">
        <v>93</v>
      </c>
    </row>
    <row r="387" spans="1:17" ht="16" x14ac:dyDescent="0.45">
      <c r="A387" s="2" t="str">
        <f>IFERROR(VLOOKUP(B387,CODE!$B:$D,3,0),"-")</f>
        <v>네트워크</v>
      </c>
      <c r="B387" s="2" t="str">
        <f>IF(L387="-",VLOOKUP(J387,CODE!$B:$D,2,0),L387)</f>
        <v>애드몹</v>
      </c>
      <c r="C387" s="2" t="s">
        <v>266</v>
      </c>
      <c r="D387" s="2" t="s">
        <v>281</v>
      </c>
      <c r="E387" s="2" t="s">
        <v>282</v>
      </c>
      <c r="F387" s="2" t="s">
        <v>268</v>
      </c>
      <c r="G387" s="2" t="s">
        <v>283</v>
      </c>
      <c r="H387" s="2" t="s">
        <v>284</v>
      </c>
      <c r="I387" s="2" t="s">
        <v>596</v>
      </c>
      <c r="J387" s="2" t="s">
        <v>594</v>
      </c>
      <c r="K387" s="2" t="s">
        <v>232</v>
      </c>
      <c r="L387" s="2" t="s">
        <v>97</v>
      </c>
      <c r="M387" s="38" t="str">
        <f t="shared" si="16"/>
        <v>25</v>
      </c>
      <c r="N387" s="38" t="str">
        <f t="shared" si="17"/>
        <v>02</v>
      </c>
      <c r="O387" s="50" t="s">
        <v>691</v>
      </c>
      <c r="P387" s="50" t="s">
        <v>691</v>
      </c>
      <c r="Q387" s="50">
        <v>128</v>
      </c>
    </row>
    <row r="388" spans="1:17" ht="16" x14ac:dyDescent="0.45">
      <c r="A388" s="2" t="str">
        <f>IFERROR(VLOOKUP(B388,CODE!$B:$D,3,0),"-")</f>
        <v>네트워크</v>
      </c>
      <c r="B388" s="2" t="str">
        <f>IF(L388="-",VLOOKUP(J388,CODE!$B:$D,2,0),L388)</f>
        <v>애드몹</v>
      </c>
      <c r="C388" s="2" t="s">
        <v>266</v>
      </c>
      <c r="D388" s="2" t="s">
        <v>281</v>
      </c>
      <c r="E388" s="2" t="s">
        <v>282</v>
      </c>
      <c r="F388" s="2" t="s">
        <v>268</v>
      </c>
      <c r="G388" s="2" t="s">
        <v>283</v>
      </c>
      <c r="H388" s="2" t="s">
        <v>284</v>
      </c>
      <c r="I388" s="2" t="s">
        <v>596</v>
      </c>
      <c r="J388" s="2" t="s">
        <v>594</v>
      </c>
      <c r="K388" s="2" t="s">
        <v>232</v>
      </c>
      <c r="L388" s="2" t="s">
        <v>97</v>
      </c>
      <c r="M388" s="38" t="str">
        <f t="shared" si="16"/>
        <v>25</v>
      </c>
      <c r="N388" s="38" t="str">
        <f t="shared" si="17"/>
        <v>02</v>
      </c>
      <c r="O388" s="50" t="s">
        <v>660</v>
      </c>
      <c r="P388" s="50" t="s">
        <v>660</v>
      </c>
      <c r="Q388" s="50">
        <v>128</v>
      </c>
    </row>
    <row r="389" spans="1:17" ht="16" x14ac:dyDescent="0.45">
      <c r="A389" s="2" t="str">
        <f>IFERROR(VLOOKUP(B389,CODE!$B:$D,3,0),"-")</f>
        <v>네트워크</v>
      </c>
      <c r="B389" s="2" t="str">
        <f>IF(L389="-",VLOOKUP(J389,CODE!$B:$D,2,0),L389)</f>
        <v>애드몹</v>
      </c>
      <c r="C389" s="2" t="s">
        <v>266</v>
      </c>
      <c r="D389" s="2" t="s">
        <v>281</v>
      </c>
      <c r="E389" s="2" t="s">
        <v>282</v>
      </c>
      <c r="F389" s="2" t="s">
        <v>268</v>
      </c>
      <c r="G389" s="2" t="s">
        <v>283</v>
      </c>
      <c r="H389" s="2" t="s">
        <v>284</v>
      </c>
      <c r="I389" s="2" t="s">
        <v>597</v>
      </c>
      <c r="J389" s="2" t="s">
        <v>594</v>
      </c>
      <c r="K389" s="2" t="s">
        <v>232</v>
      </c>
      <c r="L389" s="2" t="s">
        <v>97</v>
      </c>
      <c r="M389" s="38" t="str">
        <f t="shared" si="16"/>
        <v>25</v>
      </c>
      <c r="N389" s="38" t="str">
        <f t="shared" si="17"/>
        <v>02</v>
      </c>
      <c r="O389" s="50" t="s">
        <v>705</v>
      </c>
      <c r="P389" s="50" t="s">
        <v>705</v>
      </c>
      <c r="Q389" s="50">
        <v>128</v>
      </c>
    </row>
    <row r="390" spans="1:17" ht="16" x14ac:dyDescent="0.45">
      <c r="A390" s="2" t="str">
        <f>IFERROR(VLOOKUP(B390,CODE!$B:$D,3,0),"-")</f>
        <v>네트워크</v>
      </c>
      <c r="B390" s="2" t="str">
        <f>IF(L390="-",VLOOKUP(J390,CODE!$B:$D,2,0),L390)</f>
        <v>애드몹</v>
      </c>
      <c r="C390" s="2" t="s">
        <v>266</v>
      </c>
      <c r="D390" s="2" t="s">
        <v>281</v>
      </c>
      <c r="E390" s="2" t="s">
        <v>282</v>
      </c>
      <c r="F390" s="2" t="s">
        <v>268</v>
      </c>
      <c r="G390" s="2" t="s">
        <v>283</v>
      </c>
      <c r="H390" s="2" t="s">
        <v>284</v>
      </c>
      <c r="I390" s="2" t="s">
        <v>598</v>
      </c>
      <c r="J390" s="2" t="s">
        <v>594</v>
      </c>
      <c r="K390" s="2" t="s">
        <v>232</v>
      </c>
      <c r="L390" s="2" t="s">
        <v>97</v>
      </c>
      <c r="M390" s="38" t="str">
        <f t="shared" si="16"/>
        <v>25</v>
      </c>
      <c r="N390" s="38" t="str">
        <f t="shared" si="17"/>
        <v>02</v>
      </c>
      <c r="O390" s="50" t="s">
        <v>691</v>
      </c>
      <c r="P390" s="50" t="s">
        <v>691</v>
      </c>
      <c r="Q390" s="50">
        <v>128</v>
      </c>
    </row>
    <row r="391" spans="1:17" ht="16" x14ac:dyDescent="0.45">
      <c r="A391" s="2" t="str">
        <f>IFERROR(VLOOKUP(B391,CODE!$B:$D,3,0),"-")</f>
        <v>네트워크</v>
      </c>
      <c r="B391" s="2" t="str">
        <f>IF(L391="-",VLOOKUP(J391,CODE!$B:$D,2,0),L391)</f>
        <v>애드몹</v>
      </c>
      <c r="C391" s="2" t="s">
        <v>266</v>
      </c>
      <c r="D391" s="2" t="s">
        <v>281</v>
      </c>
      <c r="E391" s="2" t="s">
        <v>282</v>
      </c>
      <c r="F391" s="2" t="s">
        <v>268</v>
      </c>
      <c r="G391" s="2" t="s">
        <v>283</v>
      </c>
      <c r="H391" s="2" t="s">
        <v>284</v>
      </c>
      <c r="I391" s="2" t="s">
        <v>599</v>
      </c>
      <c r="J391" s="2" t="s">
        <v>559</v>
      </c>
      <c r="K391" s="2" t="s">
        <v>232</v>
      </c>
      <c r="L391" s="2" t="s">
        <v>97</v>
      </c>
      <c r="M391" s="38" t="str">
        <f t="shared" si="16"/>
        <v>25</v>
      </c>
      <c r="N391" s="38" t="str">
        <f t="shared" si="17"/>
        <v>02</v>
      </c>
      <c r="O391" s="50" t="s">
        <v>688</v>
      </c>
      <c r="P391" s="50" t="s">
        <v>652</v>
      </c>
      <c r="Q391" s="50">
        <v>257</v>
      </c>
    </row>
    <row r="392" spans="1:17" ht="16" x14ac:dyDescent="0.45">
      <c r="A392" s="2" t="str">
        <f>IFERROR(VLOOKUP(B392,CODE!$B:$D,3,0),"-")</f>
        <v>네트워크</v>
      </c>
      <c r="B392" s="2" t="str">
        <f>IF(L392="-",VLOOKUP(J392,CODE!$B:$D,2,0),L392)</f>
        <v>애드몹</v>
      </c>
      <c r="C392" s="2" t="s">
        <v>266</v>
      </c>
      <c r="D392" s="2" t="s">
        <v>281</v>
      </c>
      <c r="E392" s="2" t="s">
        <v>282</v>
      </c>
      <c r="F392" s="2" t="s">
        <v>268</v>
      </c>
      <c r="G392" s="2" t="s">
        <v>283</v>
      </c>
      <c r="H392" s="2" t="s">
        <v>284</v>
      </c>
      <c r="I392" s="2" t="s">
        <v>600</v>
      </c>
      <c r="J392" s="2" t="s">
        <v>594</v>
      </c>
      <c r="K392" s="2" t="s">
        <v>232</v>
      </c>
      <c r="L392" s="2" t="s">
        <v>97</v>
      </c>
      <c r="M392" s="38" t="str">
        <f t="shared" si="16"/>
        <v>25</v>
      </c>
      <c r="N392" s="38" t="str">
        <f t="shared" si="17"/>
        <v>01</v>
      </c>
      <c r="O392" s="50" t="s">
        <v>713</v>
      </c>
      <c r="P392" s="50" t="s">
        <v>713</v>
      </c>
      <c r="Q392" s="50">
        <v>93</v>
      </c>
    </row>
    <row r="393" spans="1:17" ht="16" x14ac:dyDescent="0.45">
      <c r="A393" s="2" t="str">
        <f>IFERROR(VLOOKUP(B393,CODE!$B:$D,3,0),"-")</f>
        <v>네트워크</v>
      </c>
      <c r="B393" s="2" t="str">
        <f>IF(L393="-",VLOOKUP(J393,CODE!$B:$D,2,0),L393)</f>
        <v>애드몹</v>
      </c>
      <c r="C393" s="2" t="s">
        <v>266</v>
      </c>
      <c r="D393" s="2" t="s">
        <v>281</v>
      </c>
      <c r="E393" s="2" t="s">
        <v>282</v>
      </c>
      <c r="F393" s="2" t="s">
        <v>268</v>
      </c>
      <c r="G393" s="2" t="s">
        <v>283</v>
      </c>
      <c r="H393" s="2" t="s">
        <v>284</v>
      </c>
      <c r="I393" s="2" t="s">
        <v>600</v>
      </c>
      <c r="J393" s="2" t="s">
        <v>594</v>
      </c>
      <c r="K393" s="2" t="s">
        <v>232</v>
      </c>
      <c r="L393" s="2" t="s">
        <v>97</v>
      </c>
      <c r="M393" s="38" t="str">
        <f t="shared" si="16"/>
        <v>25</v>
      </c>
      <c r="N393" s="38" t="str">
        <f t="shared" si="17"/>
        <v>02</v>
      </c>
      <c r="O393" s="50" t="s">
        <v>708</v>
      </c>
      <c r="P393" s="50" t="s">
        <v>708</v>
      </c>
      <c r="Q393" s="50">
        <v>128</v>
      </c>
    </row>
    <row r="394" spans="1:17" ht="16" x14ac:dyDescent="0.45">
      <c r="A394" s="2" t="str">
        <f>IFERROR(VLOOKUP(B394,CODE!$B:$D,3,0),"-")</f>
        <v>네트워크</v>
      </c>
      <c r="B394" s="2" t="str">
        <f>IF(L394="-",VLOOKUP(J394,CODE!$B:$D,2,0),L394)</f>
        <v>애드몹</v>
      </c>
      <c r="C394" s="2" t="s">
        <v>266</v>
      </c>
      <c r="D394" s="2" t="s">
        <v>281</v>
      </c>
      <c r="E394" s="2" t="s">
        <v>282</v>
      </c>
      <c r="F394" s="2" t="s">
        <v>268</v>
      </c>
      <c r="G394" s="2" t="s">
        <v>283</v>
      </c>
      <c r="H394" s="2" t="s">
        <v>284</v>
      </c>
      <c r="I394" s="2" t="s">
        <v>601</v>
      </c>
      <c r="J394" s="2" t="s">
        <v>594</v>
      </c>
      <c r="K394" s="2" t="s">
        <v>232</v>
      </c>
      <c r="L394" s="2" t="s">
        <v>97</v>
      </c>
      <c r="M394" s="38" t="str">
        <f t="shared" si="16"/>
        <v>25</v>
      </c>
      <c r="N394" s="38" t="str">
        <f t="shared" si="17"/>
        <v>01</v>
      </c>
      <c r="O394" s="50" t="s">
        <v>329</v>
      </c>
      <c r="P394" s="50" t="s">
        <v>329</v>
      </c>
      <c r="Q394" s="50">
        <v>93</v>
      </c>
    </row>
    <row r="395" spans="1:17" ht="16" x14ac:dyDescent="0.45">
      <c r="A395" s="2" t="str">
        <f>IFERROR(VLOOKUP(B395,CODE!$B:$D,3,0),"-")</f>
        <v>네트워크</v>
      </c>
      <c r="B395" s="2" t="str">
        <f>IF(L395="-",VLOOKUP(J395,CODE!$B:$D,2,0),L395)</f>
        <v>애드몹</v>
      </c>
      <c r="C395" s="2" t="s">
        <v>266</v>
      </c>
      <c r="D395" s="2" t="s">
        <v>281</v>
      </c>
      <c r="E395" s="2" t="s">
        <v>282</v>
      </c>
      <c r="F395" s="2" t="s">
        <v>268</v>
      </c>
      <c r="G395" s="2" t="s">
        <v>283</v>
      </c>
      <c r="H395" s="2" t="s">
        <v>284</v>
      </c>
      <c r="I395" s="2" t="s">
        <v>601</v>
      </c>
      <c r="J395" s="2" t="s">
        <v>594</v>
      </c>
      <c r="K395" s="2" t="s">
        <v>232</v>
      </c>
      <c r="L395" s="2" t="s">
        <v>97</v>
      </c>
      <c r="M395" s="38" t="str">
        <f t="shared" si="16"/>
        <v>25</v>
      </c>
      <c r="N395" s="38" t="str">
        <f t="shared" si="17"/>
        <v>02</v>
      </c>
      <c r="O395" s="50" t="s">
        <v>719</v>
      </c>
      <c r="P395" s="50" t="s">
        <v>719</v>
      </c>
      <c r="Q395" s="50">
        <v>128</v>
      </c>
    </row>
    <row r="396" spans="1:17" ht="16" x14ac:dyDescent="0.45">
      <c r="A396" s="2" t="str">
        <f>IFERROR(VLOOKUP(B396,CODE!$B:$D,3,0),"-")</f>
        <v>네트워크</v>
      </c>
      <c r="B396" s="2" t="str">
        <f>IF(L396="-",VLOOKUP(J396,CODE!$B:$D,2,0),L396)</f>
        <v>애드몹</v>
      </c>
      <c r="C396" s="2" t="s">
        <v>266</v>
      </c>
      <c r="D396" s="2" t="s">
        <v>281</v>
      </c>
      <c r="E396" s="2" t="s">
        <v>282</v>
      </c>
      <c r="F396" s="2" t="s">
        <v>268</v>
      </c>
      <c r="G396" s="2" t="s">
        <v>283</v>
      </c>
      <c r="H396" s="2" t="s">
        <v>284</v>
      </c>
      <c r="I396" s="2" t="s">
        <v>602</v>
      </c>
      <c r="J396" s="2" t="s">
        <v>78</v>
      </c>
      <c r="K396" s="2" t="s">
        <v>232</v>
      </c>
      <c r="L396" s="2" t="s">
        <v>97</v>
      </c>
      <c r="M396" s="38" t="str">
        <f t="shared" si="16"/>
        <v>25</v>
      </c>
      <c r="N396" s="38" t="str">
        <f t="shared" si="17"/>
        <v>02</v>
      </c>
      <c r="O396" s="50" t="s">
        <v>701</v>
      </c>
      <c r="P396" s="50" t="s">
        <v>701</v>
      </c>
      <c r="Q396" s="50">
        <v>128</v>
      </c>
    </row>
    <row r="397" spans="1:17" ht="16" x14ac:dyDescent="0.45">
      <c r="A397" s="2" t="str">
        <f>IFERROR(VLOOKUP(B397,CODE!$B:$D,3,0),"-")</f>
        <v>네트워크</v>
      </c>
      <c r="B397" s="2" t="str">
        <f>IF(L397="-",VLOOKUP(J397,CODE!$B:$D,2,0),L397)</f>
        <v>애드몹</v>
      </c>
      <c r="C397" s="2" t="s">
        <v>266</v>
      </c>
      <c r="D397" s="2" t="s">
        <v>281</v>
      </c>
      <c r="E397" s="2" t="s">
        <v>282</v>
      </c>
      <c r="F397" s="2" t="s">
        <v>268</v>
      </c>
      <c r="G397" s="2" t="s">
        <v>283</v>
      </c>
      <c r="H397" s="2" t="s">
        <v>284</v>
      </c>
      <c r="I397" s="2" t="s">
        <v>603</v>
      </c>
      <c r="J397" s="2" t="s">
        <v>75</v>
      </c>
      <c r="K397" s="2" t="s">
        <v>232</v>
      </c>
      <c r="L397" s="2" t="s">
        <v>97</v>
      </c>
      <c r="M397" s="38" t="str">
        <f t="shared" si="16"/>
        <v>25</v>
      </c>
      <c r="N397" s="38" t="str">
        <f t="shared" si="17"/>
        <v>04</v>
      </c>
      <c r="O397" s="50" t="s">
        <v>698</v>
      </c>
      <c r="P397" s="50" t="s">
        <v>698</v>
      </c>
      <c r="Q397" s="50">
        <v>133</v>
      </c>
    </row>
    <row r="398" spans="1:17" ht="16" x14ac:dyDescent="0.45">
      <c r="A398" s="2" t="str">
        <f>IFERROR(VLOOKUP(B398,CODE!$B:$D,3,0),"-")</f>
        <v>네트워크</v>
      </c>
      <c r="B398" s="2" t="str">
        <f>IF(L398="-",VLOOKUP(J398,CODE!$B:$D,2,0),L398)</f>
        <v>애드몹</v>
      </c>
      <c r="C398" s="2" t="s">
        <v>266</v>
      </c>
      <c r="D398" s="2" t="s">
        <v>281</v>
      </c>
      <c r="E398" s="2" t="s">
        <v>282</v>
      </c>
      <c r="F398" s="2" t="s">
        <v>268</v>
      </c>
      <c r="G398" s="2" t="s">
        <v>283</v>
      </c>
      <c r="H398" s="2" t="s">
        <v>284</v>
      </c>
      <c r="I398" s="2" t="s">
        <v>604</v>
      </c>
      <c r="J398" s="2" t="s">
        <v>75</v>
      </c>
      <c r="K398" s="2" t="s">
        <v>232</v>
      </c>
      <c r="L398" s="2" t="s">
        <v>97</v>
      </c>
      <c r="M398" s="38" t="str">
        <f t="shared" si="16"/>
        <v>25</v>
      </c>
      <c r="N398" s="38" t="str">
        <f t="shared" si="17"/>
        <v>04</v>
      </c>
      <c r="O398" s="50" t="s">
        <v>671</v>
      </c>
      <c r="P398" s="50" t="s">
        <v>331</v>
      </c>
      <c r="Q398" s="50">
        <v>266</v>
      </c>
    </row>
    <row r="399" spans="1:17" ht="16" x14ac:dyDescent="0.45">
      <c r="A399" s="2" t="str">
        <f>IFERROR(VLOOKUP(B399,CODE!$B:$D,3,0),"-")</f>
        <v>네트워크</v>
      </c>
      <c r="B399" s="2" t="str">
        <f>IF(L399="-",VLOOKUP(J399,CODE!$B:$D,2,0),L399)</f>
        <v>애드몹</v>
      </c>
      <c r="C399" s="2" t="s">
        <v>266</v>
      </c>
      <c r="D399" s="2" t="s">
        <v>281</v>
      </c>
      <c r="E399" s="2" t="s">
        <v>282</v>
      </c>
      <c r="F399" s="2" t="s">
        <v>268</v>
      </c>
      <c r="G399" s="2" t="s">
        <v>283</v>
      </c>
      <c r="H399" s="2" t="s">
        <v>284</v>
      </c>
      <c r="I399" s="2" t="s">
        <v>605</v>
      </c>
      <c r="J399" s="2" t="s">
        <v>75</v>
      </c>
      <c r="K399" s="2" t="s">
        <v>232</v>
      </c>
      <c r="L399" s="2" t="s">
        <v>97</v>
      </c>
      <c r="M399" s="38" t="str">
        <f t="shared" si="16"/>
        <v>25</v>
      </c>
      <c r="N399" s="38" t="str">
        <f t="shared" si="17"/>
        <v>02</v>
      </c>
      <c r="O399" s="50" t="s">
        <v>654</v>
      </c>
      <c r="P399" s="50" t="s">
        <v>654</v>
      </c>
      <c r="Q399" s="50">
        <v>128</v>
      </c>
    </row>
    <row r="400" spans="1:17" ht="16" x14ac:dyDescent="0.45">
      <c r="A400" s="2" t="str">
        <f>IFERROR(VLOOKUP(B400,CODE!$B:$D,3,0),"-")</f>
        <v>네트워크</v>
      </c>
      <c r="B400" s="2" t="str">
        <f>IF(L400="-",VLOOKUP(J400,CODE!$B:$D,2,0),L400)</f>
        <v>애드몹</v>
      </c>
      <c r="C400" s="2" t="s">
        <v>266</v>
      </c>
      <c r="D400" s="2" t="s">
        <v>281</v>
      </c>
      <c r="E400" s="2" t="s">
        <v>282</v>
      </c>
      <c r="F400" s="2" t="s">
        <v>268</v>
      </c>
      <c r="G400" s="2" t="s">
        <v>283</v>
      </c>
      <c r="H400" s="2" t="s">
        <v>284</v>
      </c>
      <c r="I400" s="2" t="s">
        <v>605</v>
      </c>
      <c r="J400" s="2" t="s">
        <v>75</v>
      </c>
      <c r="K400" s="2" t="s">
        <v>232</v>
      </c>
      <c r="L400" s="2" t="s">
        <v>97</v>
      </c>
      <c r="M400" s="38" t="str">
        <f t="shared" si="16"/>
        <v>25</v>
      </c>
      <c r="N400" s="38" t="str">
        <f t="shared" si="17"/>
        <v>03</v>
      </c>
      <c r="O400" s="50" t="s">
        <v>655</v>
      </c>
      <c r="P400" s="50" t="s">
        <v>656</v>
      </c>
      <c r="Q400" s="50">
        <v>266</v>
      </c>
    </row>
    <row r="401" spans="1:17" ht="16" x14ac:dyDescent="0.45">
      <c r="A401" s="2" t="str">
        <f>IFERROR(VLOOKUP(B401,CODE!$B:$D,3,0),"-")</f>
        <v>네트워크</v>
      </c>
      <c r="B401" s="2" t="str">
        <f>IF(L401="-",VLOOKUP(J401,CODE!$B:$D,2,0),L401)</f>
        <v>애드몹</v>
      </c>
      <c r="C401" s="2" t="s">
        <v>266</v>
      </c>
      <c r="D401" s="2" t="s">
        <v>281</v>
      </c>
      <c r="E401" s="2" t="s">
        <v>282</v>
      </c>
      <c r="F401" s="2" t="s">
        <v>268</v>
      </c>
      <c r="G401" s="2" t="s">
        <v>283</v>
      </c>
      <c r="H401" s="2" t="s">
        <v>284</v>
      </c>
      <c r="I401" s="2" t="s">
        <v>605</v>
      </c>
      <c r="J401" s="2" t="s">
        <v>75</v>
      </c>
      <c r="K401" s="2" t="s">
        <v>232</v>
      </c>
      <c r="L401" s="2" t="s">
        <v>97</v>
      </c>
      <c r="M401" s="38" t="str">
        <f t="shared" si="16"/>
        <v>25</v>
      </c>
      <c r="N401" s="38" t="str">
        <f t="shared" si="17"/>
        <v>03</v>
      </c>
      <c r="O401" s="50" t="s">
        <v>669</v>
      </c>
      <c r="P401" s="50" t="s">
        <v>720</v>
      </c>
      <c r="Q401" s="50">
        <v>665</v>
      </c>
    </row>
    <row r="402" spans="1:17" ht="16" x14ac:dyDescent="0.45">
      <c r="A402" s="2" t="str">
        <f>IFERROR(VLOOKUP(B402,CODE!$B:$D,3,0),"-")</f>
        <v>네트워크</v>
      </c>
      <c r="B402" s="2" t="str">
        <f>IF(L402="-",VLOOKUP(J402,CODE!$B:$D,2,0),L402)</f>
        <v>애드몹</v>
      </c>
      <c r="C402" s="2" t="s">
        <v>266</v>
      </c>
      <c r="D402" s="2" t="s">
        <v>281</v>
      </c>
      <c r="E402" s="2" t="s">
        <v>282</v>
      </c>
      <c r="F402" s="2" t="s">
        <v>268</v>
      </c>
      <c r="G402" s="2" t="s">
        <v>283</v>
      </c>
      <c r="H402" s="2" t="s">
        <v>284</v>
      </c>
      <c r="I402" s="2" t="s">
        <v>606</v>
      </c>
      <c r="J402" s="2" t="s">
        <v>73</v>
      </c>
      <c r="K402" s="2" t="s">
        <v>232</v>
      </c>
      <c r="L402" s="2" t="s">
        <v>97</v>
      </c>
      <c r="M402" s="38" t="str">
        <f t="shared" si="16"/>
        <v>25</v>
      </c>
      <c r="N402" s="38" t="str">
        <f t="shared" si="17"/>
        <v>02</v>
      </c>
      <c r="O402" s="50" t="s">
        <v>704</v>
      </c>
      <c r="P402" s="50" t="s">
        <v>659</v>
      </c>
      <c r="Q402" s="50">
        <v>385</v>
      </c>
    </row>
    <row r="403" spans="1:17" ht="16" x14ac:dyDescent="0.45">
      <c r="A403" s="2" t="str">
        <f>IFERROR(VLOOKUP(B403,CODE!$B:$D,3,0),"-")</f>
        <v>네트워크</v>
      </c>
      <c r="B403" s="2" t="str">
        <f>IF(L403="-",VLOOKUP(J403,CODE!$B:$D,2,0),L403)</f>
        <v>애드몹</v>
      </c>
      <c r="C403" s="2" t="s">
        <v>266</v>
      </c>
      <c r="D403" s="2" t="s">
        <v>281</v>
      </c>
      <c r="E403" s="2" t="s">
        <v>282</v>
      </c>
      <c r="F403" s="2" t="s">
        <v>268</v>
      </c>
      <c r="G403" s="2" t="s">
        <v>283</v>
      </c>
      <c r="H403" s="2" t="s">
        <v>284</v>
      </c>
      <c r="I403" s="2" t="s">
        <v>606</v>
      </c>
      <c r="J403" s="2" t="s">
        <v>73</v>
      </c>
      <c r="K403" s="2" t="s">
        <v>232</v>
      </c>
      <c r="L403" s="2" t="s">
        <v>97</v>
      </c>
      <c r="M403" s="38" t="str">
        <f t="shared" si="16"/>
        <v>25</v>
      </c>
      <c r="N403" s="38" t="str">
        <f t="shared" si="17"/>
        <v>02</v>
      </c>
      <c r="O403" s="50" t="s">
        <v>332</v>
      </c>
      <c r="P403" s="50" t="s">
        <v>332</v>
      </c>
      <c r="Q403" s="50">
        <v>128</v>
      </c>
    </row>
    <row r="404" spans="1:17" ht="16" x14ac:dyDescent="0.45">
      <c r="A404" s="2" t="str">
        <f>IFERROR(VLOOKUP(B404,CODE!$B:$D,3,0),"-")</f>
        <v>네트워크</v>
      </c>
      <c r="B404" s="2" t="str">
        <f>IF(L404="-",VLOOKUP(J404,CODE!$B:$D,2,0),L404)</f>
        <v>애드몹</v>
      </c>
      <c r="C404" s="2" t="s">
        <v>266</v>
      </c>
      <c r="D404" s="2" t="s">
        <v>281</v>
      </c>
      <c r="E404" s="2" t="s">
        <v>282</v>
      </c>
      <c r="F404" s="2" t="s">
        <v>268</v>
      </c>
      <c r="G404" s="2" t="s">
        <v>283</v>
      </c>
      <c r="H404" s="2" t="s">
        <v>284</v>
      </c>
      <c r="I404" s="2" t="s">
        <v>607</v>
      </c>
      <c r="J404" s="2" t="s">
        <v>78</v>
      </c>
      <c r="K404" s="2" t="s">
        <v>232</v>
      </c>
      <c r="L404" s="2" t="s">
        <v>97</v>
      </c>
      <c r="M404" s="38" t="str">
        <f t="shared" si="16"/>
        <v>25</v>
      </c>
      <c r="N404" s="38" t="str">
        <f t="shared" si="17"/>
        <v>02</v>
      </c>
      <c r="O404" s="50" t="s">
        <v>651</v>
      </c>
      <c r="P404" s="50" t="s">
        <v>651</v>
      </c>
      <c r="Q404" s="50">
        <v>128</v>
      </c>
    </row>
    <row r="405" spans="1:17" ht="16" x14ac:dyDescent="0.45">
      <c r="A405" s="2" t="str">
        <f>IFERROR(VLOOKUP(B405,CODE!$B:$D,3,0),"-")</f>
        <v>네트워크</v>
      </c>
      <c r="B405" s="2" t="str">
        <f>IF(L405="-",VLOOKUP(J405,CODE!$B:$D,2,0),L405)</f>
        <v>애드몹</v>
      </c>
      <c r="C405" s="2" t="s">
        <v>266</v>
      </c>
      <c r="D405" s="2" t="s">
        <v>281</v>
      </c>
      <c r="E405" s="2" t="s">
        <v>282</v>
      </c>
      <c r="F405" s="2" t="s">
        <v>268</v>
      </c>
      <c r="G405" s="2" t="s">
        <v>283</v>
      </c>
      <c r="H405" s="2" t="s">
        <v>284</v>
      </c>
      <c r="I405" s="2" t="s">
        <v>608</v>
      </c>
      <c r="J405" s="2" t="s">
        <v>73</v>
      </c>
      <c r="K405" s="2" t="s">
        <v>232</v>
      </c>
      <c r="L405" s="2" t="s">
        <v>97</v>
      </c>
      <c r="M405" s="38" t="str">
        <f t="shared" si="16"/>
        <v>25</v>
      </c>
      <c r="N405" s="38" t="str">
        <f t="shared" si="17"/>
        <v>02</v>
      </c>
      <c r="O405" s="50" t="s">
        <v>691</v>
      </c>
      <c r="P405" s="50" t="s">
        <v>691</v>
      </c>
      <c r="Q405" s="50">
        <v>128</v>
      </c>
    </row>
    <row r="406" spans="1:17" ht="16" x14ac:dyDescent="0.45">
      <c r="A406" s="2" t="str">
        <f>IFERROR(VLOOKUP(B406,CODE!$B:$D,3,0),"-")</f>
        <v>네트워크</v>
      </c>
      <c r="B406" s="2" t="str">
        <f>IF(L406="-",VLOOKUP(J406,CODE!$B:$D,2,0),L406)</f>
        <v>애드몹</v>
      </c>
      <c r="C406" s="2" t="s">
        <v>266</v>
      </c>
      <c r="D406" s="2" t="s">
        <v>281</v>
      </c>
      <c r="E406" s="2" t="s">
        <v>282</v>
      </c>
      <c r="F406" s="2" t="s">
        <v>268</v>
      </c>
      <c r="G406" s="2" t="s">
        <v>283</v>
      </c>
      <c r="H406" s="2" t="s">
        <v>284</v>
      </c>
      <c r="I406" s="2" t="s">
        <v>609</v>
      </c>
      <c r="J406" s="2" t="s">
        <v>73</v>
      </c>
      <c r="K406" s="2" t="s">
        <v>232</v>
      </c>
      <c r="L406" s="2" t="s">
        <v>97</v>
      </c>
      <c r="M406" s="38" t="str">
        <f t="shared" si="16"/>
        <v>25</v>
      </c>
      <c r="N406" s="38" t="str">
        <f t="shared" si="17"/>
        <v>04</v>
      </c>
      <c r="O406" s="50" t="s">
        <v>671</v>
      </c>
      <c r="P406" s="50" t="s">
        <v>671</v>
      </c>
      <c r="Q406" s="50">
        <v>133</v>
      </c>
    </row>
    <row r="407" spans="1:17" ht="16" x14ac:dyDescent="0.45">
      <c r="A407" s="2" t="str">
        <f>IFERROR(VLOOKUP(B407,CODE!$B:$D,3,0),"-")</f>
        <v>네트워크</v>
      </c>
      <c r="B407" s="2" t="str">
        <f>IF(L407="-",VLOOKUP(J407,CODE!$B:$D,2,0),L407)</f>
        <v>애드몹</v>
      </c>
      <c r="C407" s="2" t="s">
        <v>266</v>
      </c>
      <c r="D407" s="2" t="s">
        <v>281</v>
      </c>
      <c r="E407" s="2" t="s">
        <v>282</v>
      </c>
      <c r="F407" s="2" t="s">
        <v>268</v>
      </c>
      <c r="G407" s="2" t="s">
        <v>283</v>
      </c>
      <c r="H407" s="2" t="s">
        <v>284</v>
      </c>
      <c r="I407" s="2" t="s">
        <v>610</v>
      </c>
      <c r="J407" s="2" t="s">
        <v>73</v>
      </c>
      <c r="K407" s="2" t="s">
        <v>232</v>
      </c>
      <c r="L407" s="2" t="s">
        <v>97</v>
      </c>
      <c r="M407" s="38" t="str">
        <f t="shared" si="16"/>
        <v>25</v>
      </c>
      <c r="N407" s="38" t="str">
        <f t="shared" si="17"/>
        <v>02</v>
      </c>
      <c r="O407" s="50" t="s">
        <v>668</v>
      </c>
      <c r="P407" s="50" t="s">
        <v>668</v>
      </c>
      <c r="Q407" s="50">
        <v>128</v>
      </c>
    </row>
    <row r="408" spans="1:17" ht="16" x14ac:dyDescent="0.45">
      <c r="A408" s="2" t="str">
        <f>IFERROR(VLOOKUP(B408,CODE!$B:$D,3,0),"-")</f>
        <v>네트워크</v>
      </c>
      <c r="B408" s="2" t="str">
        <f>IF(L408="-",VLOOKUP(J408,CODE!$B:$D,2,0),L408)</f>
        <v>애드몹</v>
      </c>
      <c r="C408" s="2" t="s">
        <v>266</v>
      </c>
      <c r="D408" s="2" t="s">
        <v>281</v>
      </c>
      <c r="E408" s="2" t="s">
        <v>282</v>
      </c>
      <c r="F408" s="2" t="s">
        <v>268</v>
      </c>
      <c r="G408" s="2" t="s">
        <v>283</v>
      </c>
      <c r="H408" s="2" t="s">
        <v>284</v>
      </c>
      <c r="I408" s="2" t="s">
        <v>610</v>
      </c>
      <c r="J408" s="2" t="s">
        <v>73</v>
      </c>
      <c r="K408" s="2" t="s">
        <v>232</v>
      </c>
      <c r="L408" s="2" t="s">
        <v>97</v>
      </c>
      <c r="M408" s="38" t="str">
        <f t="shared" si="16"/>
        <v>25</v>
      </c>
      <c r="N408" s="38" t="str">
        <f t="shared" si="17"/>
        <v>03</v>
      </c>
      <c r="O408" s="50" t="s">
        <v>655</v>
      </c>
      <c r="P408" s="50" t="s">
        <v>655</v>
      </c>
      <c r="Q408" s="50">
        <v>133</v>
      </c>
    </row>
    <row r="409" spans="1:17" ht="16" x14ac:dyDescent="0.45">
      <c r="A409" s="2" t="str">
        <f>IFERROR(VLOOKUP(B409,CODE!$B:$D,3,0),"-")</f>
        <v>네트워크</v>
      </c>
      <c r="B409" s="2" t="str">
        <f>IF(L409="-",VLOOKUP(J409,CODE!$B:$D,2,0),L409)</f>
        <v>애드몹</v>
      </c>
      <c r="C409" s="2" t="s">
        <v>266</v>
      </c>
      <c r="D409" s="2" t="s">
        <v>281</v>
      </c>
      <c r="E409" s="2" t="s">
        <v>282</v>
      </c>
      <c r="F409" s="2" t="s">
        <v>268</v>
      </c>
      <c r="G409" s="2" t="s">
        <v>283</v>
      </c>
      <c r="H409" s="2" t="s">
        <v>284</v>
      </c>
      <c r="I409" s="2" t="s">
        <v>474</v>
      </c>
      <c r="J409" s="2" t="s">
        <v>73</v>
      </c>
      <c r="K409" s="2" t="s">
        <v>232</v>
      </c>
      <c r="L409" s="2" t="s">
        <v>97</v>
      </c>
      <c r="M409" s="38" t="str">
        <f t="shared" si="16"/>
        <v>25</v>
      </c>
      <c r="N409" s="38" t="str">
        <f t="shared" si="17"/>
        <v>02</v>
      </c>
      <c r="O409" s="50" t="s">
        <v>716</v>
      </c>
      <c r="P409" s="50" t="s">
        <v>716</v>
      </c>
      <c r="Q409" s="50">
        <v>128</v>
      </c>
    </row>
    <row r="410" spans="1:17" ht="16" x14ac:dyDescent="0.45">
      <c r="A410" s="2" t="str">
        <f>IFERROR(VLOOKUP(B410,CODE!$B:$D,3,0),"-")</f>
        <v>네트워크</v>
      </c>
      <c r="B410" s="2" t="str">
        <f>IF(L410="-",VLOOKUP(J410,CODE!$B:$D,2,0),L410)</f>
        <v>애드몹</v>
      </c>
      <c r="C410" s="2" t="s">
        <v>266</v>
      </c>
      <c r="D410" s="2" t="s">
        <v>281</v>
      </c>
      <c r="E410" s="2" t="s">
        <v>282</v>
      </c>
      <c r="F410" s="2" t="s">
        <v>268</v>
      </c>
      <c r="G410" s="2" t="s">
        <v>283</v>
      </c>
      <c r="H410" s="2" t="s">
        <v>284</v>
      </c>
      <c r="I410" s="2" t="s">
        <v>474</v>
      </c>
      <c r="J410" s="2" t="s">
        <v>73</v>
      </c>
      <c r="K410" s="2" t="s">
        <v>232</v>
      </c>
      <c r="L410" s="2" t="s">
        <v>97</v>
      </c>
      <c r="M410" s="38" t="str">
        <f t="shared" si="16"/>
        <v>25</v>
      </c>
      <c r="N410" s="38" t="str">
        <f t="shared" si="17"/>
        <v>02</v>
      </c>
      <c r="O410" s="50" t="s">
        <v>719</v>
      </c>
      <c r="P410" s="50" t="s">
        <v>719</v>
      </c>
      <c r="Q410" s="50">
        <v>128</v>
      </c>
    </row>
    <row r="411" spans="1:17" ht="16" x14ac:dyDescent="0.45">
      <c r="A411" s="2" t="str">
        <f>IFERROR(VLOOKUP(B411,CODE!$B:$D,3,0),"-")</f>
        <v>네트워크</v>
      </c>
      <c r="B411" s="2" t="str">
        <f>IF(L411="-",VLOOKUP(J411,CODE!$B:$D,2,0),L411)</f>
        <v>애드몹</v>
      </c>
      <c r="C411" s="2" t="s">
        <v>266</v>
      </c>
      <c r="D411" s="2" t="s">
        <v>281</v>
      </c>
      <c r="E411" s="2" t="s">
        <v>282</v>
      </c>
      <c r="F411" s="2" t="s">
        <v>268</v>
      </c>
      <c r="G411" s="2" t="s">
        <v>283</v>
      </c>
      <c r="H411" s="2" t="s">
        <v>284</v>
      </c>
      <c r="I411" s="2" t="s">
        <v>474</v>
      </c>
      <c r="J411" s="2" t="s">
        <v>73</v>
      </c>
      <c r="K411" s="2" t="s">
        <v>232</v>
      </c>
      <c r="L411" s="2" t="s">
        <v>97</v>
      </c>
      <c r="M411" s="38" t="str">
        <f t="shared" si="16"/>
        <v>25</v>
      </c>
      <c r="N411" s="38" t="str">
        <f t="shared" si="17"/>
        <v>04</v>
      </c>
      <c r="O411" s="50" t="s">
        <v>721</v>
      </c>
      <c r="P411" s="50" t="s">
        <v>721</v>
      </c>
      <c r="Q411" s="50">
        <v>266</v>
      </c>
    </row>
    <row r="412" spans="1:17" ht="16" x14ac:dyDescent="0.45">
      <c r="A412" s="2" t="str">
        <f>IFERROR(VLOOKUP(B412,CODE!$B:$D,3,0),"-")</f>
        <v>네트워크</v>
      </c>
      <c r="B412" s="2" t="str">
        <f>IF(L412="-",VLOOKUP(J412,CODE!$B:$D,2,0),L412)</f>
        <v>애드몹</v>
      </c>
      <c r="C412" s="2" t="s">
        <v>266</v>
      </c>
      <c r="D412" s="2" t="s">
        <v>281</v>
      </c>
      <c r="E412" s="2" t="s">
        <v>282</v>
      </c>
      <c r="F412" s="2" t="s">
        <v>268</v>
      </c>
      <c r="G412" s="2" t="s">
        <v>283</v>
      </c>
      <c r="H412" s="2" t="s">
        <v>284</v>
      </c>
      <c r="I412" s="2" t="s">
        <v>611</v>
      </c>
      <c r="J412" s="2" t="s">
        <v>612</v>
      </c>
      <c r="K412" s="2" t="s">
        <v>232</v>
      </c>
      <c r="L412" s="2" t="s">
        <v>97</v>
      </c>
      <c r="M412" s="38" t="str">
        <f t="shared" si="16"/>
        <v>25</v>
      </c>
      <c r="N412" s="38" t="str">
        <f t="shared" si="17"/>
        <v>02</v>
      </c>
      <c r="O412" s="50" t="s">
        <v>705</v>
      </c>
      <c r="P412" s="50" t="s">
        <v>705</v>
      </c>
      <c r="Q412" s="50">
        <v>128</v>
      </c>
    </row>
    <row r="413" spans="1:17" ht="16" x14ac:dyDescent="0.45">
      <c r="A413" s="2" t="str">
        <f>IFERROR(VLOOKUP(B413,CODE!$B:$D,3,0),"-")</f>
        <v>네트워크</v>
      </c>
      <c r="B413" s="2" t="str">
        <f>IF(L413="-",VLOOKUP(J413,CODE!$B:$D,2,0),L413)</f>
        <v>애드몹</v>
      </c>
      <c r="C413" s="2" t="s">
        <v>266</v>
      </c>
      <c r="D413" s="2" t="s">
        <v>281</v>
      </c>
      <c r="E413" s="2" t="s">
        <v>282</v>
      </c>
      <c r="F413" s="2" t="s">
        <v>268</v>
      </c>
      <c r="G413" s="2" t="s">
        <v>283</v>
      </c>
      <c r="H413" s="2" t="s">
        <v>284</v>
      </c>
      <c r="I413" s="2" t="s">
        <v>392</v>
      </c>
      <c r="J413" s="2" t="s">
        <v>7</v>
      </c>
      <c r="K413" s="2" t="s">
        <v>228</v>
      </c>
      <c r="L413" s="2" t="s">
        <v>97</v>
      </c>
      <c r="M413" s="38" t="str">
        <f t="shared" si="16"/>
        <v>25</v>
      </c>
      <c r="N413" s="38" t="str">
        <f t="shared" si="17"/>
        <v>04</v>
      </c>
      <c r="O413" s="50" t="s">
        <v>331</v>
      </c>
      <c r="P413" s="50" t="s">
        <v>331</v>
      </c>
      <c r="Q413" s="50">
        <v>217</v>
      </c>
    </row>
    <row r="414" spans="1:17" ht="16" x14ac:dyDescent="0.45">
      <c r="A414" s="2" t="str">
        <f>IFERROR(VLOOKUP(B414,CODE!$B:$D,3,0),"-")</f>
        <v>네트워크</v>
      </c>
      <c r="B414" s="2" t="str">
        <f>IF(L414="-",VLOOKUP(J414,CODE!$B:$D,2,0),L414)</f>
        <v>애드몹</v>
      </c>
      <c r="C414" s="2" t="s">
        <v>266</v>
      </c>
      <c r="D414" s="2" t="s">
        <v>281</v>
      </c>
      <c r="E414" s="2" t="s">
        <v>282</v>
      </c>
      <c r="F414" s="2" t="s">
        <v>268</v>
      </c>
      <c r="G414" s="2" t="s">
        <v>283</v>
      </c>
      <c r="H414" s="2" t="s">
        <v>284</v>
      </c>
      <c r="I414" s="2" t="s">
        <v>613</v>
      </c>
      <c r="J414" s="2" t="s">
        <v>78</v>
      </c>
      <c r="K414" s="2" t="s">
        <v>232</v>
      </c>
      <c r="L414" s="2" t="s">
        <v>97</v>
      </c>
      <c r="M414" s="38" t="str">
        <f t="shared" si="16"/>
        <v>25</v>
      </c>
      <c r="N414" s="38" t="str">
        <f t="shared" si="17"/>
        <v>02</v>
      </c>
      <c r="O414" s="50" t="s">
        <v>691</v>
      </c>
      <c r="P414" s="50" t="s">
        <v>658</v>
      </c>
      <c r="Q414" s="50">
        <v>385</v>
      </c>
    </row>
    <row r="415" spans="1:17" ht="16" x14ac:dyDescent="0.45">
      <c r="A415" s="2" t="str">
        <f>IFERROR(VLOOKUP(B415,CODE!$B:$D,3,0),"-")</f>
        <v>네트워크</v>
      </c>
      <c r="B415" s="2" t="str">
        <f>IF(L415="-",VLOOKUP(J415,CODE!$B:$D,2,0),L415)</f>
        <v>애드몹</v>
      </c>
      <c r="C415" s="2" t="s">
        <v>266</v>
      </c>
      <c r="D415" s="2" t="s">
        <v>281</v>
      </c>
      <c r="E415" s="2" t="s">
        <v>282</v>
      </c>
      <c r="F415" s="2" t="s">
        <v>268</v>
      </c>
      <c r="G415" s="2" t="s">
        <v>283</v>
      </c>
      <c r="H415" s="2" t="s">
        <v>284</v>
      </c>
      <c r="I415" s="2" t="s">
        <v>614</v>
      </c>
      <c r="J415" s="2" t="s">
        <v>574</v>
      </c>
      <c r="K415" s="2" t="s">
        <v>232</v>
      </c>
      <c r="L415" s="2" t="s">
        <v>97</v>
      </c>
      <c r="M415" s="38" t="str">
        <f t="shared" si="16"/>
        <v>25</v>
      </c>
      <c r="N415" s="38" t="str">
        <f t="shared" si="17"/>
        <v>02</v>
      </c>
      <c r="O415" s="50" t="s">
        <v>691</v>
      </c>
      <c r="P415" s="50" t="s">
        <v>691</v>
      </c>
      <c r="Q415" s="50">
        <v>128</v>
      </c>
    </row>
    <row r="416" spans="1:17" ht="16" x14ac:dyDescent="0.45">
      <c r="A416" s="2" t="str">
        <f>IFERROR(VLOOKUP(B416,CODE!$B:$D,3,0),"-")</f>
        <v>네트워크</v>
      </c>
      <c r="B416" s="2" t="str">
        <f>IF(L416="-",VLOOKUP(J416,CODE!$B:$D,2,0),L416)</f>
        <v>애드몹</v>
      </c>
      <c r="C416" s="2" t="s">
        <v>266</v>
      </c>
      <c r="D416" s="2" t="s">
        <v>281</v>
      </c>
      <c r="E416" s="2" t="s">
        <v>282</v>
      </c>
      <c r="F416" s="2" t="s">
        <v>268</v>
      </c>
      <c r="G416" s="2" t="s">
        <v>283</v>
      </c>
      <c r="H416" s="2" t="s">
        <v>284</v>
      </c>
      <c r="I416" s="2" t="s">
        <v>614</v>
      </c>
      <c r="J416" s="2" t="s">
        <v>574</v>
      </c>
      <c r="K416" s="2" t="s">
        <v>232</v>
      </c>
      <c r="L416" s="2" t="s">
        <v>97</v>
      </c>
      <c r="M416" s="38" t="str">
        <f t="shared" si="16"/>
        <v>25</v>
      </c>
      <c r="N416" s="38" t="str">
        <f t="shared" si="17"/>
        <v>02</v>
      </c>
      <c r="O416" s="50" t="s">
        <v>704</v>
      </c>
      <c r="P416" s="50" t="s">
        <v>704</v>
      </c>
      <c r="Q416" s="50">
        <v>128</v>
      </c>
    </row>
    <row r="417" spans="1:17" ht="16" x14ac:dyDescent="0.45">
      <c r="A417" s="2" t="str">
        <f>IFERROR(VLOOKUP(B417,CODE!$B:$D,3,0),"-")</f>
        <v>네트워크</v>
      </c>
      <c r="B417" s="2" t="str">
        <f>IF(L417="-",VLOOKUP(J417,CODE!$B:$D,2,0),L417)</f>
        <v>애드몹</v>
      </c>
      <c r="C417" s="2" t="s">
        <v>266</v>
      </c>
      <c r="D417" s="2" t="s">
        <v>281</v>
      </c>
      <c r="E417" s="2" t="s">
        <v>282</v>
      </c>
      <c r="F417" s="2" t="s">
        <v>268</v>
      </c>
      <c r="G417" s="2" t="s">
        <v>283</v>
      </c>
      <c r="H417" s="2" t="s">
        <v>284</v>
      </c>
      <c r="I417" s="2" t="s">
        <v>615</v>
      </c>
      <c r="J417" s="2" t="s">
        <v>77</v>
      </c>
      <c r="K417" s="2" t="s">
        <v>232</v>
      </c>
      <c r="L417" s="2" t="s">
        <v>97</v>
      </c>
      <c r="M417" s="38" t="str">
        <f t="shared" si="16"/>
        <v>25</v>
      </c>
      <c r="N417" s="38" t="str">
        <f t="shared" si="17"/>
        <v>01</v>
      </c>
      <c r="O417" s="50" t="s">
        <v>713</v>
      </c>
      <c r="P417" s="50" t="s">
        <v>713</v>
      </c>
      <c r="Q417" s="50">
        <v>93</v>
      </c>
    </row>
    <row r="418" spans="1:17" ht="16" x14ac:dyDescent="0.45">
      <c r="A418" s="2" t="str">
        <f>IFERROR(VLOOKUP(B418,CODE!$B:$D,3,0),"-")</f>
        <v>네트워크</v>
      </c>
      <c r="B418" s="2" t="str">
        <f>IF(L418="-",VLOOKUP(J418,CODE!$B:$D,2,0),L418)</f>
        <v>애드몹</v>
      </c>
      <c r="C418" s="2" t="s">
        <v>266</v>
      </c>
      <c r="D418" s="2" t="s">
        <v>281</v>
      </c>
      <c r="E418" s="2" t="s">
        <v>282</v>
      </c>
      <c r="F418" s="2" t="s">
        <v>268</v>
      </c>
      <c r="G418" s="2" t="s">
        <v>283</v>
      </c>
      <c r="H418" s="2" t="s">
        <v>284</v>
      </c>
      <c r="I418" s="2" t="s">
        <v>615</v>
      </c>
      <c r="J418" s="2" t="s">
        <v>77</v>
      </c>
      <c r="K418" s="2" t="s">
        <v>232</v>
      </c>
      <c r="L418" s="2" t="s">
        <v>97</v>
      </c>
      <c r="M418" s="38" t="str">
        <f t="shared" si="16"/>
        <v>25</v>
      </c>
      <c r="N418" s="38" t="str">
        <f t="shared" si="17"/>
        <v>02</v>
      </c>
      <c r="O418" s="50" t="s">
        <v>708</v>
      </c>
      <c r="P418" s="50" t="s">
        <v>708</v>
      </c>
      <c r="Q418" s="50">
        <v>128</v>
      </c>
    </row>
    <row r="419" spans="1:17" ht="16" x14ac:dyDescent="0.45">
      <c r="A419" s="2" t="str">
        <f>IFERROR(VLOOKUP(B419,CODE!$B:$D,3,0),"-")</f>
        <v>네트워크</v>
      </c>
      <c r="B419" s="2" t="str">
        <f>IF(L419="-",VLOOKUP(J419,CODE!$B:$D,2,0),L419)</f>
        <v>애드몹</v>
      </c>
      <c r="C419" s="2" t="s">
        <v>266</v>
      </c>
      <c r="D419" s="2" t="s">
        <v>281</v>
      </c>
      <c r="E419" s="2" t="s">
        <v>282</v>
      </c>
      <c r="F419" s="2" t="s">
        <v>268</v>
      </c>
      <c r="G419" s="2" t="s">
        <v>283</v>
      </c>
      <c r="H419" s="2" t="s">
        <v>284</v>
      </c>
      <c r="I419" s="2" t="s">
        <v>616</v>
      </c>
      <c r="J419" s="2" t="s">
        <v>617</v>
      </c>
      <c r="K419" s="2" t="s">
        <v>232</v>
      </c>
      <c r="L419" s="2" t="s">
        <v>97</v>
      </c>
      <c r="M419" s="38" t="str">
        <f t="shared" si="16"/>
        <v>25</v>
      </c>
      <c r="N419" s="38" t="str">
        <f t="shared" si="17"/>
        <v>02</v>
      </c>
      <c r="O419" s="50" t="s">
        <v>691</v>
      </c>
      <c r="P419" s="50" t="s">
        <v>691</v>
      </c>
      <c r="Q419" s="50">
        <v>128</v>
      </c>
    </row>
    <row r="420" spans="1:17" ht="16" x14ac:dyDescent="0.45">
      <c r="A420" s="2" t="str">
        <f>IFERROR(VLOOKUP(B420,CODE!$B:$D,3,0),"-")</f>
        <v>네트워크</v>
      </c>
      <c r="B420" s="2" t="str">
        <f>IF(L420="-",VLOOKUP(J420,CODE!$B:$D,2,0),L420)</f>
        <v>애드몹</v>
      </c>
      <c r="C420" s="2" t="s">
        <v>266</v>
      </c>
      <c r="D420" s="2" t="s">
        <v>281</v>
      </c>
      <c r="E420" s="2" t="s">
        <v>282</v>
      </c>
      <c r="F420" s="2" t="s">
        <v>268</v>
      </c>
      <c r="G420" s="2" t="s">
        <v>283</v>
      </c>
      <c r="H420" s="2" t="s">
        <v>284</v>
      </c>
      <c r="I420" s="2" t="s">
        <v>616</v>
      </c>
      <c r="J420" s="2" t="s">
        <v>617</v>
      </c>
      <c r="K420" s="2" t="s">
        <v>232</v>
      </c>
      <c r="L420" s="2" t="s">
        <v>97</v>
      </c>
      <c r="M420" s="38" t="str">
        <f t="shared" si="16"/>
        <v>25</v>
      </c>
      <c r="N420" s="38" t="str">
        <f t="shared" si="17"/>
        <v>02</v>
      </c>
      <c r="O420" s="50" t="s">
        <v>653</v>
      </c>
      <c r="P420" s="50" t="s">
        <v>653</v>
      </c>
      <c r="Q420" s="50">
        <v>128</v>
      </c>
    </row>
    <row r="421" spans="1:17" ht="16" x14ac:dyDescent="0.45">
      <c r="A421" s="2" t="str">
        <f>IFERROR(VLOOKUP(B421,CODE!$B:$D,3,0),"-")</f>
        <v>네트워크</v>
      </c>
      <c r="B421" s="2" t="str">
        <f>IF(L421="-",VLOOKUP(J421,CODE!$B:$D,2,0),L421)</f>
        <v>애드몹</v>
      </c>
      <c r="C421" s="2" t="s">
        <v>266</v>
      </c>
      <c r="D421" s="2" t="s">
        <v>281</v>
      </c>
      <c r="E421" s="2" t="s">
        <v>282</v>
      </c>
      <c r="F421" s="2" t="s">
        <v>268</v>
      </c>
      <c r="G421" s="2" t="s">
        <v>283</v>
      </c>
      <c r="H421" s="2" t="s">
        <v>284</v>
      </c>
      <c r="I421" s="2" t="s">
        <v>618</v>
      </c>
      <c r="J421" s="2" t="s">
        <v>75</v>
      </c>
      <c r="K421" s="2" t="s">
        <v>232</v>
      </c>
      <c r="L421" s="2" t="s">
        <v>97</v>
      </c>
      <c r="M421" s="38" t="str">
        <f t="shared" si="16"/>
        <v>25</v>
      </c>
      <c r="N421" s="38" t="str">
        <f t="shared" si="17"/>
        <v>01</v>
      </c>
      <c r="O421" s="50" t="s">
        <v>722</v>
      </c>
      <c r="P421" s="50" t="s">
        <v>722</v>
      </c>
      <c r="Q421" s="50">
        <v>93</v>
      </c>
    </row>
    <row r="422" spans="1:17" ht="16" x14ac:dyDescent="0.45">
      <c r="A422" s="2" t="str">
        <f>IFERROR(VLOOKUP(B422,CODE!$B:$D,3,0),"-")</f>
        <v>네트워크</v>
      </c>
      <c r="B422" s="2" t="str">
        <f>IF(L422="-",VLOOKUP(J422,CODE!$B:$D,2,0),L422)</f>
        <v>애드몹</v>
      </c>
      <c r="C422" s="2" t="s">
        <v>266</v>
      </c>
      <c r="D422" s="2" t="s">
        <v>281</v>
      </c>
      <c r="E422" s="2" t="s">
        <v>282</v>
      </c>
      <c r="F422" s="2" t="s">
        <v>268</v>
      </c>
      <c r="G422" s="2" t="s">
        <v>283</v>
      </c>
      <c r="H422" s="2" t="s">
        <v>284</v>
      </c>
      <c r="I422" s="2" t="s">
        <v>619</v>
      </c>
      <c r="J422" s="2" t="s">
        <v>78</v>
      </c>
      <c r="K422" s="2" t="s">
        <v>232</v>
      </c>
      <c r="L422" s="2" t="s">
        <v>97</v>
      </c>
      <c r="M422" s="38" t="str">
        <f t="shared" si="16"/>
        <v>25</v>
      </c>
      <c r="N422" s="38" t="str">
        <f t="shared" si="17"/>
        <v>02</v>
      </c>
      <c r="O422" s="50" t="s">
        <v>332</v>
      </c>
      <c r="P422" s="50" t="s">
        <v>332</v>
      </c>
      <c r="Q422" s="50">
        <v>128</v>
      </c>
    </row>
    <row r="423" spans="1:17" ht="16" x14ac:dyDescent="0.45">
      <c r="A423" s="2" t="str">
        <f>IFERROR(VLOOKUP(B423,CODE!$B:$D,3,0),"-")</f>
        <v>네트워크</v>
      </c>
      <c r="B423" s="2" t="str">
        <f>IF(L423="-",VLOOKUP(J423,CODE!$B:$D,2,0),L423)</f>
        <v>TARGETPICK</v>
      </c>
      <c r="C423" s="2" t="s">
        <v>266</v>
      </c>
      <c r="D423" s="2" t="s">
        <v>281</v>
      </c>
      <c r="E423" s="2" t="s">
        <v>282</v>
      </c>
      <c r="F423" s="2" t="s">
        <v>268</v>
      </c>
      <c r="G423" s="2" t="s">
        <v>283</v>
      </c>
      <c r="H423" s="2" t="s">
        <v>284</v>
      </c>
      <c r="I423" s="2" t="s">
        <v>448</v>
      </c>
      <c r="J423" s="2" t="s">
        <v>2</v>
      </c>
      <c r="K423" s="2" t="s">
        <v>232</v>
      </c>
      <c r="L423" s="2" t="s">
        <v>100</v>
      </c>
      <c r="M423" s="38" t="str">
        <f t="shared" si="16"/>
        <v>25</v>
      </c>
      <c r="N423" s="38" t="str">
        <f t="shared" si="17"/>
        <v>03</v>
      </c>
      <c r="O423" s="50" t="s">
        <v>655</v>
      </c>
      <c r="P423" s="50" t="s">
        <v>656</v>
      </c>
      <c r="Q423" s="50">
        <v>5940</v>
      </c>
    </row>
    <row r="424" spans="1:17" ht="16" x14ac:dyDescent="0.45">
      <c r="A424" s="2" t="str">
        <f>IFERROR(VLOOKUP(B424,CODE!$B:$D,3,0),"-")</f>
        <v>네트워크</v>
      </c>
      <c r="B424" s="2" t="str">
        <f>IF(L424="-",VLOOKUP(J424,CODE!$B:$D,2,0),L424)</f>
        <v>TARGETPICK</v>
      </c>
      <c r="C424" s="2" t="s">
        <v>266</v>
      </c>
      <c r="D424" s="2" t="s">
        <v>281</v>
      </c>
      <c r="E424" s="2" t="s">
        <v>282</v>
      </c>
      <c r="F424" s="2" t="s">
        <v>268</v>
      </c>
      <c r="G424" s="2" t="s">
        <v>283</v>
      </c>
      <c r="H424" s="2" t="s">
        <v>284</v>
      </c>
      <c r="I424" s="2" t="s">
        <v>448</v>
      </c>
      <c r="J424" s="2" t="s">
        <v>2</v>
      </c>
      <c r="K424" s="2" t="s">
        <v>232</v>
      </c>
      <c r="L424" s="2" t="s">
        <v>100</v>
      </c>
      <c r="M424" s="38" t="str">
        <f t="shared" si="16"/>
        <v>25</v>
      </c>
      <c r="N424" s="38" t="str">
        <f t="shared" si="17"/>
        <v>03</v>
      </c>
      <c r="O424" s="50" t="s">
        <v>669</v>
      </c>
      <c r="P424" s="50" t="s">
        <v>723</v>
      </c>
      <c r="Q424" s="50">
        <v>20784</v>
      </c>
    </row>
    <row r="425" spans="1:17" ht="16" x14ac:dyDescent="0.45">
      <c r="A425" s="2" t="str">
        <f>IFERROR(VLOOKUP(B425,CODE!$B:$D,3,0),"-")</f>
        <v>네트워크</v>
      </c>
      <c r="B425" s="2" t="str">
        <f>IF(L425="-",VLOOKUP(J425,CODE!$B:$D,2,0),L425)</f>
        <v>TARGETPICK</v>
      </c>
      <c r="C425" s="2" t="s">
        <v>266</v>
      </c>
      <c r="D425" s="2" t="s">
        <v>281</v>
      </c>
      <c r="E425" s="2" t="s">
        <v>282</v>
      </c>
      <c r="F425" s="2" t="s">
        <v>268</v>
      </c>
      <c r="G425" s="2" t="s">
        <v>283</v>
      </c>
      <c r="H425" s="2" t="s">
        <v>284</v>
      </c>
      <c r="I425" s="2" t="s">
        <v>448</v>
      </c>
      <c r="J425" s="2" t="s">
        <v>2</v>
      </c>
      <c r="K425" s="2" t="s">
        <v>232</v>
      </c>
      <c r="L425" s="2" t="s">
        <v>100</v>
      </c>
      <c r="M425" s="38" t="str">
        <f t="shared" si="16"/>
        <v>25</v>
      </c>
      <c r="N425" s="38" t="str">
        <f t="shared" si="17"/>
        <v>03</v>
      </c>
      <c r="O425" s="50" t="s">
        <v>724</v>
      </c>
      <c r="P425" s="50" t="s">
        <v>725</v>
      </c>
      <c r="Q425" s="50">
        <v>17816</v>
      </c>
    </row>
    <row r="426" spans="1:17" ht="16" x14ac:dyDescent="0.45">
      <c r="A426" s="2" t="str">
        <f>IFERROR(VLOOKUP(B426,CODE!$B:$D,3,0),"-")</f>
        <v>네트워크</v>
      </c>
      <c r="B426" s="2" t="str">
        <f>IF(L426="-",VLOOKUP(J426,CODE!$B:$D,2,0),L426)</f>
        <v>애드몹</v>
      </c>
      <c r="C426" s="2" t="s">
        <v>266</v>
      </c>
      <c r="D426" s="2" t="s">
        <v>281</v>
      </c>
      <c r="E426" s="2" t="s">
        <v>282</v>
      </c>
      <c r="F426" s="2" t="s">
        <v>268</v>
      </c>
      <c r="G426" s="2" t="s">
        <v>283</v>
      </c>
      <c r="H426" s="2" t="s">
        <v>284</v>
      </c>
      <c r="I426" s="2" t="s">
        <v>620</v>
      </c>
      <c r="J426" s="2" t="s">
        <v>77</v>
      </c>
      <c r="K426" s="2" t="s">
        <v>232</v>
      </c>
      <c r="L426" s="2" t="s">
        <v>97</v>
      </c>
      <c r="M426" s="38" t="str">
        <f t="shared" si="16"/>
        <v>25</v>
      </c>
      <c r="N426" s="38" t="str">
        <f t="shared" si="17"/>
        <v>02</v>
      </c>
      <c r="O426" s="50" t="s">
        <v>332</v>
      </c>
      <c r="P426" s="50" t="s">
        <v>332</v>
      </c>
      <c r="Q426" s="50">
        <v>128</v>
      </c>
    </row>
    <row r="427" spans="1:17" ht="16" x14ac:dyDescent="0.45">
      <c r="A427" s="2" t="str">
        <f>IFERROR(VLOOKUP(B427,CODE!$B:$D,3,0),"-")</f>
        <v>네트워크</v>
      </c>
      <c r="B427" s="2" t="str">
        <f>IF(L427="-",VLOOKUP(J427,CODE!$B:$D,2,0),L427)</f>
        <v>애드몹</v>
      </c>
      <c r="C427" s="2" t="s">
        <v>266</v>
      </c>
      <c r="D427" s="2" t="s">
        <v>281</v>
      </c>
      <c r="E427" s="2" t="s">
        <v>282</v>
      </c>
      <c r="F427" s="2" t="s">
        <v>268</v>
      </c>
      <c r="G427" s="2" t="s">
        <v>283</v>
      </c>
      <c r="H427" s="2" t="s">
        <v>284</v>
      </c>
      <c r="I427" s="2" t="s">
        <v>621</v>
      </c>
      <c r="J427" s="2" t="s">
        <v>577</v>
      </c>
      <c r="K427" s="2" t="s">
        <v>232</v>
      </c>
      <c r="L427" s="2" t="s">
        <v>97</v>
      </c>
      <c r="M427" s="38" t="str">
        <f t="shared" si="16"/>
        <v>25</v>
      </c>
      <c r="N427" s="38" t="str">
        <f t="shared" si="17"/>
        <v>02</v>
      </c>
      <c r="O427" s="50" t="s">
        <v>659</v>
      </c>
      <c r="P427" s="50" t="s">
        <v>659</v>
      </c>
      <c r="Q427" s="50">
        <v>128</v>
      </c>
    </row>
    <row r="428" spans="1:17" ht="16" x14ac:dyDescent="0.45">
      <c r="A428" s="2" t="str">
        <f>IFERROR(VLOOKUP(B428,CODE!$B:$D,3,0),"-")</f>
        <v>네트워크</v>
      </c>
      <c r="B428" s="2" t="str">
        <f>IF(L428="-",VLOOKUP(J428,CODE!$B:$D,2,0),L428)</f>
        <v>애드몹</v>
      </c>
      <c r="C428" s="2" t="s">
        <v>266</v>
      </c>
      <c r="D428" s="2" t="s">
        <v>281</v>
      </c>
      <c r="E428" s="2" t="s">
        <v>282</v>
      </c>
      <c r="F428" s="2" t="s">
        <v>268</v>
      </c>
      <c r="G428" s="2" t="s">
        <v>283</v>
      </c>
      <c r="H428" s="2" t="s">
        <v>284</v>
      </c>
      <c r="I428" s="2" t="s">
        <v>622</v>
      </c>
      <c r="J428" s="2" t="s">
        <v>577</v>
      </c>
      <c r="K428" s="2" t="s">
        <v>232</v>
      </c>
      <c r="L428" s="2" t="s">
        <v>97</v>
      </c>
      <c r="M428" s="38" t="str">
        <f t="shared" si="16"/>
        <v>25</v>
      </c>
      <c r="N428" s="38" t="str">
        <f t="shared" si="17"/>
        <v>02</v>
      </c>
      <c r="O428" s="50" t="s">
        <v>650</v>
      </c>
      <c r="P428" s="50" t="s">
        <v>701</v>
      </c>
      <c r="Q428" s="50">
        <v>385</v>
      </c>
    </row>
    <row r="429" spans="1:17" ht="16" x14ac:dyDescent="0.45">
      <c r="A429" s="2" t="str">
        <f>IFERROR(VLOOKUP(B429,CODE!$B:$D,3,0),"-")</f>
        <v>네트워크</v>
      </c>
      <c r="B429" s="2" t="str">
        <f>IF(L429="-",VLOOKUP(J429,CODE!$B:$D,2,0),L429)</f>
        <v>애드몹</v>
      </c>
      <c r="C429" s="2" t="s">
        <v>266</v>
      </c>
      <c r="D429" s="2" t="s">
        <v>281</v>
      </c>
      <c r="E429" s="2" t="s">
        <v>282</v>
      </c>
      <c r="F429" s="2" t="s">
        <v>268</v>
      </c>
      <c r="G429" s="2" t="s">
        <v>283</v>
      </c>
      <c r="H429" s="2" t="s">
        <v>284</v>
      </c>
      <c r="I429" s="2" t="s">
        <v>623</v>
      </c>
      <c r="J429" s="2" t="s">
        <v>574</v>
      </c>
      <c r="K429" s="2" t="s">
        <v>232</v>
      </c>
      <c r="L429" s="2" t="s">
        <v>97</v>
      </c>
      <c r="M429" s="38" t="str">
        <f t="shared" si="16"/>
        <v>25</v>
      </c>
      <c r="N429" s="38" t="str">
        <f t="shared" si="17"/>
        <v>02</v>
      </c>
      <c r="O429" s="50" t="s">
        <v>660</v>
      </c>
      <c r="P429" s="50" t="s">
        <v>660</v>
      </c>
      <c r="Q429" s="50">
        <v>128</v>
      </c>
    </row>
    <row r="430" spans="1:17" ht="16" x14ac:dyDescent="0.45">
      <c r="A430" s="2" t="str">
        <f>IFERROR(VLOOKUP(B430,CODE!$B:$D,3,0),"-")</f>
        <v>네트워크</v>
      </c>
      <c r="B430" s="2" t="str">
        <f>IF(L430="-",VLOOKUP(J430,CODE!$B:$D,2,0),L430)</f>
        <v>애드몹</v>
      </c>
      <c r="C430" s="2" t="s">
        <v>266</v>
      </c>
      <c r="D430" s="2" t="s">
        <v>281</v>
      </c>
      <c r="E430" s="2" t="s">
        <v>282</v>
      </c>
      <c r="F430" s="2" t="s">
        <v>268</v>
      </c>
      <c r="G430" s="2" t="s">
        <v>283</v>
      </c>
      <c r="H430" s="2" t="s">
        <v>284</v>
      </c>
      <c r="I430" s="2" t="s">
        <v>623</v>
      </c>
      <c r="J430" s="2" t="s">
        <v>574</v>
      </c>
      <c r="K430" s="2" t="s">
        <v>232</v>
      </c>
      <c r="L430" s="2" t="s">
        <v>97</v>
      </c>
      <c r="M430" s="38" t="str">
        <f t="shared" si="16"/>
        <v>25</v>
      </c>
      <c r="N430" s="38" t="str">
        <f t="shared" si="17"/>
        <v>02</v>
      </c>
      <c r="O430" s="50" t="s">
        <v>709</v>
      </c>
      <c r="P430" s="50" t="s">
        <v>709</v>
      </c>
      <c r="Q430" s="50">
        <v>128</v>
      </c>
    </row>
    <row r="431" spans="1:17" ht="16" x14ac:dyDescent="0.45">
      <c r="A431" s="2" t="str">
        <f>IFERROR(VLOOKUP(B431,CODE!$B:$D,3,0),"-")</f>
        <v>네트워크</v>
      </c>
      <c r="B431" s="2" t="str">
        <f>IF(L431="-",VLOOKUP(J431,CODE!$B:$D,2,0),L431)</f>
        <v>애드몹</v>
      </c>
      <c r="C431" s="2" t="s">
        <v>266</v>
      </c>
      <c r="D431" s="2" t="s">
        <v>281</v>
      </c>
      <c r="E431" s="2" t="s">
        <v>282</v>
      </c>
      <c r="F431" s="2" t="s">
        <v>268</v>
      </c>
      <c r="G431" s="2" t="s">
        <v>283</v>
      </c>
      <c r="H431" s="2" t="s">
        <v>284</v>
      </c>
      <c r="I431" s="2" t="s">
        <v>624</v>
      </c>
      <c r="J431" s="2" t="s">
        <v>559</v>
      </c>
      <c r="K431" s="2" t="s">
        <v>232</v>
      </c>
      <c r="L431" s="2" t="s">
        <v>97</v>
      </c>
      <c r="M431" s="38" t="str">
        <f t="shared" si="16"/>
        <v>25</v>
      </c>
      <c r="N431" s="38" t="str">
        <f t="shared" si="17"/>
        <v>01</v>
      </c>
      <c r="O431" s="50" t="s">
        <v>713</v>
      </c>
      <c r="P431" s="50" t="s">
        <v>713</v>
      </c>
      <c r="Q431" s="50">
        <v>93</v>
      </c>
    </row>
    <row r="432" spans="1:17" ht="16" x14ac:dyDescent="0.45">
      <c r="A432" s="2" t="str">
        <f>IFERROR(VLOOKUP(B432,CODE!$B:$D,3,0),"-")</f>
        <v>네트워크</v>
      </c>
      <c r="B432" s="2" t="str">
        <f>IF(L432="-",VLOOKUP(J432,CODE!$B:$D,2,0),L432)</f>
        <v>애드몹</v>
      </c>
      <c r="C432" s="2" t="s">
        <v>266</v>
      </c>
      <c r="D432" s="2" t="s">
        <v>281</v>
      </c>
      <c r="E432" s="2" t="s">
        <v>282</v>
      </c>
      <c r="F432" s="2" t="s">
        <v>268</v>
      </c>
      <c r="G432" s="2" t="s">
        <v>283</v>
      </c>
      <c r="H432" s="2" t="s">
        <v>284</v>
      </c>
      <c r="I432" s="2" t="s">
        <v>624</v>
      </c>
      <c r="J432" s="2" t="s">
        <v>559</v>
      </c>
      <c r="K432" s="2" t="s">
        <v>232</v>
      </c>
      <c r="L432" s="2" t="s">
        <v>97</v>
      </c>
      <c r="M432" s="38" t="str">
        <f t="shared" si="16"/>
        <v>25</v>
      </c>
      <c r="N432" s="38" t="str">
        <f t="shared" si="17"/>
        <v>02</v>
      </c>
      <c r="O432" s="50" t="s">
        <v>695</v>
      </c>
      <c r="P432" s="50" t="s">
        <v>695</v>
      </c>
      <c r="Q432" s="50">
        <v>128</v>
      </c>
    </row>
    <row r="433" spans="1:17" ht="16" x14ac:dyDescent="0.45">
      <c r="A433" s="2" t="str">
        <f>IFERROR(VLOOKUP(B433,CODE!$B:$D,3,0),"-")</f>
        <v>네트워크</v>
      </c>
      <c r="B433" s="2" t="str">
        <f>IF(L433="-",VLOOKUP(J433,CODE!$B:$D,2,0),L433)</f>
        <v>애드몹</v>
      </c>
      <c r="C433" s="2" t="s">
        <v>266</v>
      </c>
      <c r="D433" s="2" t="s">
        <v>281</v>
      </c>
      <c r="E433" s="2" t="s">
        <v>282</v>
      </c>
      <c r="F433" s="2" t="s">
        <v>268</v>
      </c>
      <c r="G433" s="2" t="s">
        <v>283</v>
      </c>
      <c r="H433" s="2" t="s">
        <v>284</v>
      </c>
      <c r="I433" s="2" t="s">
        <v>625</v>
      </c>
      <c r="J433" s="2" t="s">
        <v>79</v>
      </c>
      <c r="K433" s="2" t="s">
        <v>232</v>
      </c>
      <c r="L433" s="2" t="s">
        <v>97</v>
      </c>
      <c r="M433" s="38" t="str">
        <f t="shared" si="16"/>
        <v>25</v>
      </c>
      <c r="N433" s="38" t="str">
        <f t="shared" si="17"/>
        <v>02</v>
      </c>
      <c r="O433" s="50" t="s">
        <v>691</v>
      </c>
      <c r="P433" s="50" t="s">
        <v>691</v>
      </c>
      <c r="Q433" s="50">
        <v>256</v>
      </c>
    </row>
    <row r="434" spans="1:17" ht="16" x14ac:dyDescent="0.45">
      <c r="A434" s="2" t="str">
        <f>IFERROR(VLOOKUP(B434,CODE!$B:$D,3,0),"-")</f>
        <v>네트워크</v>
      </c>
      <c r="B434" s="2" t="str">
        <f>IF(L434="-",VLOOKUP(J434,CODE!$B:$D,2,0),L434)</f>
        <v>애드몹</v>
      </c>
      <c r="C434" s="2" t="s">
        <v>266</v>
      </c>
      <c r="D434" s="2" t="s">
        <v>281</v>
      </c>
      <c r="E434" s="2" t="s">
        <v>282</v>
      </c>
      <c r="F434" s="2" t="s">
        <v>268</v>
      </c>
      <c r="G434" s="2" t="s">
        <v>283</v>
      </c>
      <c r="H434" s="2" t="s">
        <v>284</v>
      </c>
      <c r="I434" s="2" t="s">
        <v>626</v>
      </c>
      <c r="J434" s="2" t="s">
        <v>78</v>
      </c>
      <c r="K434" s="2" t="s">
        <v>232</v>
      </c>
      <c r="L434" s="2" t="s">
        <v>97</v>
      </c>
      <c r="M434" s="38" t="str">
        <f t="shared" si="16"/>
        <v>25</v>
      </c>
      <c r="N434" s="38" t="str">
        <f t="shared" si="17"/>
        <v>02</v>
      </c>
      <c r="O434" s="50" t="s">
        <v>688</v>
      </c>
      <c r="P434" s="50" t="s">
        <v>688</v>
      </c>
      <c r="Q434" s="50">
        <v>128</v>
      </c>
    </row>
    <row r="435" spans="1:17" ht="16" x14ac:dyDescent="0.45">
      <c r="A435" s="2" t="str">
        <f>IFERROR(VLOOKUP(B435,CODE!$B:$D,3,0),"-")</f>
        <v>네트워크</v>
      </c>
      <c r="B435" s="2" t="str">
        <f>IF(L435="-",VLOOKUP(J435,CODE!$B:$D,2,0),L435)</f>
        <v>애드몹</v>
      </c>
      <c r="C435" s="2" t="s">
        <v>266</v>
      </c>
      <c r="D435" s="2" t="s">
        <v>281</v>
      </c>
      <c r="E435" s="2" t="s">
        <v>282</v>
      </c>
      <c r="F435" s="2" t="s">
        <v>268</v>
      </c>
      <c r="G435" s="2" t="s">
        <v>283</v>
      </c>
      <c r="H435" s="2" t="s">
        <v>284</v>
      </c>
      <c r="I435" s="2" t="s">
        <v>626</v>
      </c>
      <c r="J435" s="2" t="s">
        <v>78</v>
      </c>
      <c r="K435" s="2" t="s">
        <v>232</v>
      </c>
      <c r="L435" s="2" t="s">
        <v>97</v>
      </c>
      <c r="M435" s="38" t="str">
        <f t="shared" si="16"/>
        <v>25</v>
      </c>
      <c r="N435" s="38" t="str">
        <f t="shared" si="17"/>
        <v>03</v>
      </c>
      <c r="O435" s="50" t="s">
        <v>655</v>
      </c>
      <c r="P435" s="50" t="s">
        <v>656</v>
      </c>
      <c r="Q435" s="50">
        <v>266</v>
      </c>
    </row>
    <row r="436" spans="1:17" ht="16" x14ac:dyDescent="0.45">
      <c r="A436" s="2" t="str">
        <f>IFERROR(VLOOKUP(B436,CODE!$B:$D,3,0),"-")</f>
        <v>네트워크</v>
      </c>
      <c r="B436" s="2" t="str">
        <f>IF(L436="-",VLOOKUP(J436,CODE!$B:$D,2,0),L436)</f>
        <v>애드몹</v>
      </c>
      <c r="C436" s="2" t="s">
        <v>266</v>
      </c>
      <c r="D436" s="2" t="s">
        <v>281</v>
      </c>
      <c r="E436" s="2" t="s">
        <v>282</v>
      </c>
      <c r="F436" s="2" t="s">
        <v>268</v>
      </c>
      <c r="G436" s="2" t="s">
        <v>283</v>
      </c>
      <c r="H436" s="2" t="s">
        <v>284</v>
      </c>
      <c r="I436" s="2" t="s">
        <v>626</v>
      </c>
      <c r="J436" s="2" t="s">
        <v>78</v>
      </c>
      <c r="K436" s="2" t="s">
        <v>232</v>
      </c>
      <c r="L436" s="2" t="s">
        <v>97</v>
      </c>
      <c r="M436" s="38" t="str">
        <f t="shared" si="16"/>
        <v>25</v>
      </c>
      <c r="N436" s="38" t="str">
        <f t="shared" si="17"/>
        <v>03</v>
      </c>
      <c r="O436" s="50" t="s">
        <v>669</v>
      </c>
      <c r="P436" s="50" t="s">
        <v>669</v>
      </c>
      <c r="Q436" s="50">
        <v>133</v>
      </c>
    </row>
    <row r="437" spans="1:17" ht="16" x14ac:dyDescent="0.45">
      <c r="A437" s="2" t="str">
        <f>IFERROR(VLOOKUP(B437,CODE!$B:$D,3,0),"-")</f>
        <v>네트워크</v>
      </c>
      <c r="B437" s="2" t="str">
        <f>IF(L437="-",VLOOKUP(J437,CODE!$B:$D,2,0),L437)</f>
        <v>애드몹</v>
      </c>
      <c r="C437" s="2" t="s">
        <v>266</v>
      </c>
      <c r="D437" s="2" t="s">
        <v>281</v>
      </c>
      <c r="E437" s="2" t="s">
        <v>282</v>
      </c>
      <c r="F437" s="2" t="s">
        <v>268</v>
      </c>
      <c r="G437" s="2" t="s">
        <v>283</v>
      </c>
      <c r="H437" s="2" t="s">
        <v>284</v>
      </c>
      <c r="I437" s="2" t="s">
        <v>627</v>
      </c>
      <c r="J437" s="2" t="s">
        <v>79</v>
      </c>
      <c r="K437" s="2" t="s">
        <v>232</v>
      </c>
      <c r="L437" s="2" t="s">
        <v>97</v>
      </c>
      <c r="M437" s="38" t="str">
        <f t="shared" si="16"/>
        <v>25</v>
      </c>
      <c r="N437" s="38" t="str">
        <f t="shared" si="17"/>
        <v>02</v>
      </c>
      <c r="O437" s="50" t="s">
        <v>709</v>
      </c>
      <c r="P437" s="50" t="s">
        <v>709</v>
      </c>
      <c r="Q437" s="50">
        <v>128</v>
      </c>
    </row>
    <row r="438" spans="1:17" ht="16" x14ac:dyDescent="0.45">
      <c r="A438" s="2" t="str">
        <f>IFERROR(VLOOKUP(B438,CODE!$B:$D,3,0),"-")</f>
        <v>네트워크</v>
      </c>
      <c r="B438" s="2" t="str">
        <f>IF(L438="-",VLOOKUP(J438,CODE!$B:$D,2,0),L438)</f>
        <v>애드몹</v>
      </c>
      <c r="C438" s="2" t="s">
        <v>266</v>
      </c>
      <c r="D438" s="2" t="s">
        <v>281</v>
      </c>
      <c r="E438" s="2" t="s">
        <v>282</v>
      </c>
      <c r="F438" s="2" t="s">
        <v>268</v>
      </c>
      <c r="G438" s="2" t="s">
        <v>283</v>
      </c>
      <c r="H438" s="2" t="s">
        <v>284</v>
      </c>
      <c r="I438" s="2" t="s">
        <v>628</v>
      </c>
      <c r="J438" s="2" t="s">
        <v>73</v>
      </c>
      <c r="K438" s="2" t="s">
        <v>232</v>
      </c>
      <c r="L438" s="2" t="s">
        <v>97</v>
      </c>
      <c r="M438" s="38" t="str">
        <f t="shared" si="16"/>
        <v>25</v>
      </c>
      <c r="N438" s="38" t="str">
        <f t="shared" si="17"/>
        <v>04</v>
      </c>
      <c r="O438" s="50" t="s">
        <v>710</v>
      </c>
      <c r="P438" s="50" t="s">
        <v>726</v>
      </c>
      <c r="Q438" s="50">
        <v>266</v>
      </c>
    </row>
    <row r="439" spans="1:17" ht="16" x14ac:dyDescent="0.45">
      <c r="A439" s="2" t="str">
        <f>IFERROR(VLOOKUP(B439,CODE!$B:$D,3,0),"-")</f>
        <v>네트워크</v>
      </c>
      <c r="B439" s="2" t="str">
        <f>IF(L439="-",VLOOKUP(J439,CODE!$B:$D,2,0),L439)</f>
        <v>애드몹</v>
      </c>
      <c r="C439" s="2" t="s">
        <v>266</v>
      </c>
      <c r="D439" s="2" t="s">
        <v>281</v>
      </c>
      <c r="E439" s="2" t="s">
        <v>282</v>
      </c>
      <c r="F439" s="2" t="s">
        <v>268</v>
      </c>
      <c r="G439" s="2" t="s">
        <v>283</v>
      </c>
      <c r="H439" s="2" t="s">
        <v>284</v>
      </c>
      <c r="I439" s="2" t="s">
        <v>629</v>
      </c>
      <c r="J439" s="2" t="s">
        <v>73</v>
      </c>
      <c r="K439" s="2" t="s">
        <v>232</v>
      </c>
      <c r="L439" s="2" t="s">
        <v>97</v>
      </c>
      <c r="M439" s="38" t="str">
        <f t="shared" si="16"/>
        <v>25</v>
      </c>
      <c r="N439" s="38" t="str">
        <f t="shared" si="17"/>
        <v>01</v>
      </c>
      <c r="O439" s="50" t="s">
        <v>322</v>
      </c>
      <c r="P439" s="50" t="s">
        <v>322</v>
      </c>
      <c r="Q439" s="50">
        <v>93</v>
      </c>
    </row>
    <row r="440" spans="1:17" ht="16" x14ac:dyDescent="0.45">
      <c r="A440" s="2" t="str">
        <f>IFERROR(VLOOKUP(B440,CODE!$B:$D,3,0),"-")</f>
        <v>네트워크</v>
      </c>
      <c r="B440" s="2" t="str">
        <f>IF(L440="-",VLOOKUP(J440,CODE!$B:$D,2,0),L440)</f>
        <v>애드몹</v>
      </c>
      <c r="C440" s="2" t="s">
        <v>266</v>
      </c>
      <c r="D440" s="2" t="s">
        <v>281</v>
      </c>
      <c r="E440" s="2" t="s">
        <v>282</v>
      </c>
      <c r="F440" s="2" t="s">
        <v>268</v>
      </c>
      <c r="G440" s="2" t="s">
        <v>283</v>
      </c>
      <c r="H440" s="2" t="s">
        <v>284</v>
      </c>
      <c r="I440" s="2" t="s">
        <v>629</v>
      </c>
      <c r="J440" s="2" t="s">
        <v>73</v>
      </c>
      <c r="K440" s="2" t="s">
        <v>232</v>
      </c>
      <c r="L440" s="2" t="s">
        <v>97</v>
      </c>
      <c r="M440" s="38" t="str">
        <f t="shared" si="16"/>
        <v>25</v>
      </c>
      <c r="N440" s="38" t="str">
        <f t="shared" si="17"/>
        <v>01</v>
      </c>
      <c r="O440" s="50" t="s">
        <v>666</v>
      </c>
      <c r="P440" s="50" t="s">
        <v>666</v>
      </c>
      <c r="Q440" s="50">
        <v>93</v>
      </c>
    </row>
    <row r="441" spans="1:17" ht="16" x14ac:dyDescent="0.45">
      <c r="A441" s="2" t="str">
        <f>IFERROR(VLOOKUP(B441,CODE!$B:$D,3,0),"-")</f>
        <v>네트워크</v>
      </c>
      <c r="B441" s="2" t="str">
        <f>IF(L441="-",VLOOKUP(J441,CODE!$B:$D,2,0),L441)</f>
        <v>애드몹</v>
      </c>
      <c r="C441" s="2" t="s">
        <v>266</v>
      </c>
      <c r="D441" s="2" t="s">
        <v>281</v>
      </c>
      <c r="E441" s="2" t="s">
        <v>282</v>
      </c>
      <c r="F441" s="2" t="s">
        <v>268</v>
      </c>
      <c r="G441" s="2" t="s">
        <v>283</v>
      </c>
      <c r="H441" s="2" t="s">
        <v>284</v>
      </c>
      <c r="I441" s="2" t="s">
        <v>630</v>
      </c>
      <c r="J441" s="2" t="s">
        <v>73</v>
      </c>
      <c r="K441" s="2" t="s">
        <v>232</v>
      </c>
      <c r="L441" s="2" t="s">
        <v>97</v>
      </c>
      <c r="M441" s="38" t="str">
        <f t="shared" si="16"/>
        <v>25</v>
      </c>
      <c r="N441" s="38" t="str">
        <f t="shared" si="17"/>
        <v>01</v>
      </c>
      <c r="O441" s="50" t="s">
        <v>727</v>
      </c>
      <c r="P441" s="50" t="s">
        <v>727</v>
      </c>
      <c r="Q441" s="50">
        <v>93</v>
      </c>
    </row>
    <row r="442" spans="1:17" ht="16" x14ac:dyDescent="0.45">
      <c r="A442" s="2" t="str">
        <f>IFERROR(VLOOKUP(B442,CODE!$B:$D,3,0),"-")</f>
        <v>네트워크</v>
      </c>
      <c r="B442" s="2" t="str">
        <f>IF(L442="-",VLOOKUP(J442,CODE!$B:$D,2,0),L442)</f>
        <v>애드몹</v>
      </c>
      <c r="C442" s="2" t="s">
        <v>266</v>
      </c>
      <c r="D442" s="2" t="s">
        <v>281</v>
      </c>
      <c r="E442" s="2" t="s">
        <v>282</v>
      </c>
      <c r="F442" s="2" t="s">
        <v>268</v>
      </c>
      <c r="G442" s="2" t="s">
        <v>283</v>
      </c>
      <c r="H442" s="2" t="s">
        <v>284</v>
      </c>
      <c r="I442" s="2" t="s">
        <v>631</v>
      </c>
      <c r="J442" s="2" t="s">
        <v>75</v>
      </c>
      <c r="K442" s="2" t="s">
        <v>232</v>
      </c>
      <c r="L442" s="2" t="s">
        <v>97</v>
      </c>
      <c r="M442" s="38" t="str">
        <f t="shared" si="16"/>
        <v>25</v>
      </c>
      <c r="N442" s="38" t="str">
        <f t="shared" si="17"/>
        <v>02</v>
      </c>
      <c r="O442" s="50" t="s">
        <v>691</v>
      </c>
      <c r="P442" s="50" t="s">
        <v>691</v>
      </c>
      <c r="Q442" s="50">
        <v>128</v>
      </c>
    </row>
    <row r="443" spans="1:17" ht="16" x14ac:dyDescent="0.45">
      <c r="A443" s="2" t="str">
        <f>IFERROR(VLOOKUP(B443,CODE!$B:$D,3,0),"-")</f>
        <v>네트워크</v>
      </c>
      <c r="B443" s="2" t="str">
        <f>IF(L443="-",VLOOKUP(J443,CODE!$B:$D,2,0),L443)</f>
        <v>애드몹</v>
      </c>
      <c r="C443" s="2" t="s">
        <v>266</v>
      </c>
      <c r="D443" s="2" t="s">
        <v>281</v>
      </c>
      <c r="E443" s="2" t="s">
        <v>282</v>
      </c>
      <c r="F443" s="2" t="s">
        <v>268</v>
      </c>
      <c r="G443" s="2" t="s">
        <v>283</v>
      </c>
      <c r="H443" s="2" t="s">
        <v>284</v>
      </c>
      <c r="I443" s="2" t="s">
        <v>632</v>
      </c>
      <c r="J443" s="2" t="s">
        <v>58</v>
      </c>
      <c r="K443" s="2" t="s">
        <v>232</v>
      </c>
      <c r="L443" s="2" t="s">
        <v>97</v>
      </c>
      <c r="M443" s="38" t="str">
        <f t="shared" ref="M443:M506" si="18">LEFT(O443,2)</f>
        <v>25</v>
      </c>
      <c r="N443" s="38" t="str">
        <f t="shared" ref="N443:N506" si="19">MID(O443,4,2)</f>
        <v>02</v>
      </c>
      <c r="O443" s="50" t="s">
        <v>714</v>
      </c>
      <c r="P443" s="50" t="s">
        <v>714</v>
      </c>
      <c r="Q443" s="50">
        <v>128</v>
      </c>
    </row>
    <row r="444" spans="1:17" ht="16" x14ac:dyDescent="0.45">
      <c r="A444" s="2" t="str">
        <f>IFERROR(VLOOKUP(B444,CODE!$B:$D,3,0),"-")</f>
        <v>네트워크</v>
      </c>
      <c r="B444" s="2" t="str">
        <f>IF(L444="-",VLOOKUP(J444,CODE!$B:$D,2,0),L444)</f>
        <v>애드몹</v>
      </c>
      <c r="C444" s="2" t="s">
        <v>266</v>
      </c>
      <c r="D444" s="2" t="s">
        <v>281</v>
      </c>
      <c r="E444" s="2" t="s">
        <v>282</v>
      </c>
      <c r="F444" s="2" t="s">
        <v>268</v>
      </c>
      <c r="G444" s="2" t="s">
        <v>283</v>
      </c>
      <c r="H444" s="2" t="s">
        <v>284</v>
      </c>
      <c r="I444" s="2" t="s">
        <v>633</v>
      </c>
      <c r="J444" s="2" t="s">
        <v>79</v>
      </c>
      <c r="K444" s="2" t="s">
        <v>232</v>
      </c>
      <c r="L444" s="2" t="s">
        <v>97</v>
      </c>
      <c r="M444" s="38" t="str">
        <f t="shared" si="18"/>
        <v>25</v>
      </c>
      <c r="N444" s="38" t="str">
        <f t="shared" si="19"/>
        <v>02</v>
      </c>
      <c r="O444" s="50" t="s">
        <v>695</v>
      </c>
      <c r="P444" s="50" t="s">
        <v>695</v>
      </c>
      <c r="Q444" s="50">
        <v>128</v>
      </c>
    </row>
    <row r="445" spans="1:17" ht="16" x14ac:dyDescent="0.45">
      <c r="A445" s="2" t="str">
        <f>IFERROR(VLOOKUP(B445,CODE!$B:$D,3,0),"-")</f>
        <v>네트워크</v>
      </c>
      <c r="B445" s="2" t="str">
        <f>IF(L445="-",VLOOKUP(J445,CODE!$B:$D,2,0),L445)</f>
        <v>애드몹</v>
      </c>
      <c r="C445" s="2" t="s">
        <v>266</v>
      </c>
      <c r="D445" s="2" t="s">
        <v>281</v>
      </c>
      <c r="E445" s="2" t="s">
        <v>282</v>
      </c>
      <c r="F445" s="2" t="s">
        <v>268</v>
      </c>
      <c r="G445" s="2" t="s">
        <v>283</v>
      </c>
      <c r="H445" s="2" t="s">
        <v>284</v>
      </c>
      <c r="I445" s="2" t="s">
        <v>633</v>
      </c>
      <c r="J445" s="2" t="s">
        <v>79</v>
      </c>
      <c r="K445" s="2" t="s">
        <v>232</v>
      </c>
      <c r="L445" s="2" t="s">
        <v>97</v>
      </c>
      <c r="M445" s="38" t="str">
        <f t="shared" si="18"/>
        <v>25</v>
      </c>
      <c r="N445" s="38" t="str">
        <f t="shared" si="19"/>
        <v>02</v>
      </c>
      <c r="O445" s="50" t="s">
        <v>658</v>
      </c>
      <c r="P445" s="50" t="s">
        <v>658</v>
      </c>
      <c r="Q445" s="50">
        <v>128</v>
      </c>
    </row>
    <row r="446" spans="1:17" ht="16" x14ac:dyDescent="0.45">
      <c r="A446" s="2" t="str">
        <f>IFERROR(VLOOKUP(B446,CODE!$B:$D,3,0),"-")</f>
        <v>네트워크</v>
      </c>
      <c r="B446" s="2" t="str">
        <f>IF(L446="-",VLOOKUP(J446,CODE!$B:$D,2,0),L446)</f>
        <v>애드몹</v>
      </c>
      <c r="C446" s="2" t="s">
        <v>266</v>
      </c>
      <c r="D446" s="2" t="s">
        <v>281</v>
      </c>
      <c r="E446" s="2" t="s">
        <v>282</v>
      </c>
      <c r="F446" s="2" t="s">
        <v>268</v>
      </c>
      <c r="G446" s="2" t="s">
        <v>283</v>
      </c>
      <c r="H446" s="2" t="s">
        <v>284</v>
      </c>
      <c r="I446" s="2" t="s">
        <v>633</v>
      </c>
      <c r="J446" s="2" t="s">
        <v>79</v>
      </c>
      <c r="K446" s="2" t="s">
        <v>232</v>
      </c>
      <c r="L446" s="2" t="s">
        <v>97</v>
      </c>
      <c r="M446" s="38" t="str">
        <f t="shared" si="18"/>
        <v>25</v>
      </c>
      <c r="N446" s="38" t="str">
        <f t="shared" si="19"/>
        <v>02</v>
      </c>
      <c r="O446" s="50" t="s">
        <v>660</v>
      </c>
      <c r="P446" s="50" t="s">
        <v>660</v>
      </c>
      <c r="Q446" s="50">
        <v>128</v>
      </c>
    </row>
    <row r="447" spans="1:17" ht="16" x14ac:dyDescent="0.45">
      <c r="A447" s="2" t="str">
        <f>IFERROR(VLOOKUP(B447,CODE!$B:$D,3,0),"-")</f>
        <v>네트워크</v>
      </c>
      <c r="B447" s="2" t="str">
        <f>IF(L447="-",VLOOKUP(J447,CODE!$B:$D,2,0),L447)</f>
        <v>애드몹</v>
      </c>
      <c r="C447" s="2" t="s">
        <v>266</v>
      </c>
      <c r="D447" s="2" t="s">
        <v>281</v>
      </c>
      <c r="E447" s="2" t="s">
        <v>282</v>
      </c>
      <c r="F447" s="2" t="s">
        <v>268</v>
      </c>
      <c r="G447" s="2" t="s">
        <v>283</v>
      </c>
      <c r="H447" s="2" t="s">
        <v>284</v>
      </c>
      <c r="I447" s="2" t="s">
        <v>634</v>
      </c>
      <c r="J447" s="2" t="s">
        <v>73</v>
      </c>
      <c r="K447" s="2" t="s">
        <v>232</v>
      </c>
      <c r="L447" s="2" t="s">
        <v>97</v>
      </c>
      <c r="M447" s="38" t="str">
        <f t="shared" si="18"/>
        <v>25</v>
      </c>
      <c r="N447" s="38" t="str">
        <f t="shared" si="19"/>
        <v>04</v>
      </c>
      <c r="O447" s="50" t="s">
        <v>711</v>
      </c>
      <c r="P447" s="50" t="s">
        <v>711</v>
      </c>
      <c r="Q447" s="50">
        <v>133</v>
      </c>
    </row>
    <row r="448" spans="1:17" ht="16" x14ac:dyDescent="0.45">
      <c r="A448" s="2" t="str">
        <f>IFERROR(VLOOKUP(B448,CODE!$B:$D,3,0),"-")</f>
        <v>네트워크</v>
      </c>
      <c r="B448" s="2" t="str">
        <f>IF(L448="-",VLOOKUP(J448,CODE!$B:$D,2,0),L448)</f>
        <v>애드몹</v>
      </c>
      <c r="C448" s="2" t="s">
        <v>266</v>
      </c>
      <c r="D448" s="2" t="s">
        <v>281</v>
      </c>
      <c r="E448" s="2" t="s">
        <v>282</v>
      </c>
      <c r="F448" s="2" t="s">
        <v>268</v>
      </c>
      <c r="G448" s="2" t="s">
        <v>283</v>
      </c>
      <c r="H448" s="2" t="s">
        <v>284</v>
      </c>
      <c r="I448" s="2" t="s">
        <v>634</v>
      </c>
      <c r="J448" s="2" t="s">
        <v>73</v>
      </c>
      <c r="K448" s="2" t="s">
        <v>232</v>
      </c>
      <c r="L448" s="2" t="s">
        <v>97</v>
      </c>
      <c r="M448" s="38" t="str">
        <f t="shared" si="18"/>
        <v>25</v>
      </c>
      <c r="N448" s="38" t="str">
        <f t="shared" si="19"/>
        <v>04</v>
      </c>
      <c r="O448" s="50" t="s">
        <v>331</v>
      </c>
      <c r="P448" s="50" t="s">
        <v>331</v>
      </c>
      <c r="Q448" s="50">
        <v>133</v>
      </c>
    </row>
    <row r="449" spans="1:17" ht="16" x14ac:dyDescent="0.45">
      <c r="A449" s="2" t="str">
        <f>IFERROR(VLOOKUP(B449,CODE!$B:$D,3,0),"-")</f>
        <v>네트워크</v>
      </c>
      <c r="B449" s="2" t="str">
        <f>IF(L449="-",VLOOKUP(J449,CODE!$B:$D,2,0),L449)</f>
        <v>애드몹</v>
      </c>
      <c r="C449" s="2" t="s">
        <v>266</v>
      </c>
      <c r="D449" s="2" t="s">
        <v>267</v>
      </c>
      <c r="E449" s="2" t="s">
        <v>267</v>
      </c>
      <c r="F449" s="2" t="s">
        <v>268</v>
      </c>
      <c r="G449" s="2" t="s">
        <v>269</v>
      </c>
      <c r="H449" s="2" t="s">
        <v>270</v>
      </c>
      <c r="I449" s="2" t="s">
        <v>336</v>
      </c>
      <c r="J449" s="2" t="s">
        <v>1</v>
      </c>
      <c r="K449" s="2" t="s">
        <v>228</v>
      </c>
      <c r="L449" s="2" t="s">
        <v>97</v>
      </c>
      <c r="M449" s="38" t="str">
        <f t="shared" si="18"/>
        <v>24</v>
      </c>
      <c r="N449" s="38" t="str">
        <f t="shared" si="19"/>
        <v>02</v>
      </c>
      <c r="O449" s="50" t="s">
        <v>750</v>
      </c>
      <c r="P449" s="50" t="s">
        <v>750</v>
      </c>
      <c r="Q449" s="50">
        <v>735</v>
      </c>
    </row>
    <row r="450" spans="1:17" ht="16" x14ac:dyDescent="0.45">
      <c r="A450" s="2" t="str">
        <f>IFERROR(VLOOKUP(B450,CODE!$B:$D,3,0),"-")</f>
        <v>네트워크</v>
      </c>
      <c r="B450" s="2" t="str">
        <f>IF(L450="-",VLOOKUP(J450,CODE!$B:$D,2,0),L450)</f>
        <v>카카오광고</v>
      </c>
      <c r="C450" s="2" t="s">
        <v>266</v>
      </c>
      <c r="D450" s="2" t="s">
        <v>267</v>
      </c>
      <c r="E450" s="2" t="s">
        <v>267</v>
      </c>
      <c r="F450" s="2" t="s">
        <v>268</v>
      </c>
      <c r="G450" s="2" t="s">
        <v>269</v>
      </c>
      <c r="H450" s="2" t="s">
        <v>270</v>
      </c>
      <c r="I450" s="2" t="s">
        <v>231</v>
      </c>
      <c r="J450" s="2" t="s">
        <v>76</v>
      </c>
      <c r="K450" s="2" t="s">
        <v>232</v>
      </c>
      <c r="L450" s="2" t="s">
        <v>83</v>
      </c>
      <c r="M450" s="38" t="str">
        <f t="shared" si="18"/>
        <v>24</v>
      </c>
      <c r="N450" s="38" t="str">
        <f t="shared" si="19"/>
        <v>05</v>
      </c>
      <c r="O450" s="50" t="s">
        <v>751</v>
      </c>
      <c r="P450" s="50" t="s">
        <v>751</v>
      </c>
      <c r="Q450" s="50">
        <v>6516</v>
      </c>
    </row>
    <row r="451" spans="1:17" ht="16" x14ac:dyDescent="0.45">
      <c r="A451" s="2" t="str">
        <f>IFERROR(VLOOKUP(B451,CODE!$B:$D,3,0),"-")</f>
        <v>네트워크</v>
      </c>
      <c r="B451" s="2" t="str">
        <f>IF(L451="-",VLOOKUP(J451,CODE!$B:$D,2,0),L451)</f>
        <v>카카오광고</v>
      </c>
      <c r="C451" s="2" t="s">
        <v>266</v>
      </c>
      <c r="D451" s="2" t="s">
        <v>267</v>
      </c>
      <c r="E451" s="2" t="s">
        <v>267</v>
      </c>
      <c r="F451" s="2" t="s">
        <v>268</v>
      </c>
      <c r="G451" s="2" t="s">
        <v>269</v>
      </c>
      <c r="H451" s="2" t="s">
        <v>270</v>
      </c>
      <c r="I451" s="2" t="s">
        <v>231</v>
      </c>
      <c r="J451" s="2" t="s">
        <v>76</v>
      </c>
      <c r="K451" s="2" t="s">
        <v>232</v>
      </c>
      <c r="L451" s="2" t="s">
        <v>83</v>
      </c>
      <c r="M451" s="38" t="str">
        <f t="shared" si="18"/>
        <v>24</v>
      </c>
      <c r="N451" s="38" t="str">
        <f t="shared" si="19"/>
        <v>05</v>
      </c>
      <c r="O451" s="50" t="s">
        <v>752</v>
      </c>
      <c r="P451" s="50" t="s">
        <v>752</v>
      </c>
      <c r="Q451" s="50">
        <v>6516</v>
      </c>
    </row>
    <row r="452" spans="1:17" ht="16" x14ac:dyDescent="0.45">
      <c r="A452" s="2" t="str">
        <f>IFERROR(VLOOKUP(B452,CODE!$B:$D,3,0),"-")</f>
        <v>네트워크</v>
      </c>
      <c r="B452" s="2" t="str">
        <f>IF(L452="-",VLOOKUP(J452,CODE!$B:$D,2,0),L452)</f>
        <v>카카오광고</v>
      </c>
      <c r="C452" s="2" t="s">
        <v>266</v>
      </c>
      <c r="D452" s="2" t="s">
        <v>267</v>
      </c>
      <c r="E452" s="2" t="s">
        <v>267</v>
      </c>
      <c r="F452" s="2" t="s">
        <v>268</v>
      </c>
      <c r="G452" s="2" t="s">
        <v>269</v>
      </c>
      <c r="H452" s="2" t="s">
        <v>270</v>
      </c>
      <c r="I452" s="2" t="s">
        <v>231</v>
      </c>
      <c r="J452" s="2" t="s">
        <v>76</v>
      </c>
      <c r="K452" s="2" t="s">
        <v>232</v>
      </c>
      <c r="L452" s="2" t="s">
        <v>83</v>
      </c>
      <c r="M452" s="38" t="str">
        <f t="shared" si="18"/>
        <v>24</v>
      </c>
      <c r="N452" s="38" t="str">
        <f t="shared" si="19"/>
        <v>06</v>
      </c>
      <c r="O452" s="50" t="s">
        <v>753</v>
      </c>
      <c r="P452" s="50" t="s">
        <v>753</v>
      </c>
      <c r="Q452" s="50">
        <v>6516</v>
      </c>
    </row>
    <row r="453" spans="1:17" ht="16" x14ac:dyDescent="0.45">
      <c r="A453" s="2" t="s">
        <v>951</v>
      </c>
      <c r="B453" s="2" t="str">
        <f>IF(L453="-",VLOOKUP(J453,CODE!$B:$D,2,0),L453)</f>
        <v>크리테오</v>
      </c>
      <c r="C453" s="2" t="s">
        <v>266</v>
      </c>
      <c r="D453" s="2" t="s">
        <v>267</v>
      </c>
      <c r="E453" s="2" t="s">
        <v>267</v>
      </c>
      <c r="F453" s="2" t="s">
        <v>268</v>
      </c>
      <c r="G453" s="2" t="s">
        <v>269</v>
      </c>
      <c r="H453" s="2" t="s">
        <v>270</v>
      </c>
      <c r="I453" s="2" t="s">
        <v>547</v>
      </c>
      <c r="J453" s="2" t="s">
        <v>60</v>
      </c>
      <c r="K453" s="2" t="s">
        <v>228</v>
      </c>
      <c r="L453" s="2" t="s">
        <v>276</v>
      </c>
      <c r="M453" s="38" t="str">
        <f t="shared" si="18"/>
        <v>24</v>
      </c>
      <c r="N453" s="38" t="str">
        <f t="shared" si="19"/>
        <v>03</v>
      </c>
      <c r="O453" s="50" t="s">
        <v>288</v>
      </c>
      <c r="P453" s="50" t="s">
        <v>288</v>
      </c>
      <c r="Q453" s="50">
        <v>133</v>
      </c>
    </row>
    <row r="454" spans="1:17" ht="16" x14ac:dyDescent="0.45">
      <c r="A454" s="2" t="str">
        <f>IFERROR(VLOOKUP(B454,CODE!$B:$D,3,0),"-")</f>
        <v>네트워크</v>
      </c>
      <c r="B454" s="2" t="str">
        <f>IF(L454="-",VLOOKUP(J454,CODE!$B:$D,2,0),L454)</f>
        <v>애드몹</v>
      </c>
      <c r="C454" s="2" t="s">
        <v>266</v>
      </c>
      <c r="D454" s="2" t="s">
        <v>277</v>
      </c>
      <c r="E454" s="2" t="s">
        <v>278</v>
      </c>
      <c r="F454" s="2" t="s">
        <v>268</v>
      </c>
      <c r="G454" s="2" t="s">
        <v>269</v>
      </c>
      <c r="H454" s="2" t="s">
        <v>279</v>
      </c>
      <c r="I454" s="2" t="s">
        <v>728</v>
      </c>
      <c r="J454" s="2" t="s">
        <v>73</v>
      </c>
      <c r="K454" s="2" t="s">
        <v>232</v>
      </c>
      <c r="L454" s="2" t="s">
        <v>97</v>
      </c>
      <c r="M454" s="38" t="str">
        <f t="shared" si="18"/>
        <v>24</v>
      </c>
      <c r="N454" s="38" t="str">
        <f t="shared" si="19"/>
        <v>02</v>
      </c>
      <c r="O454" s="50" t="s">
        <v>754</v>
      </c>
      <c r="P454" s="50" t="s">
        <v>754</v>
      </c>
      <c r="Q454" s="50">
        <v>91</v>
      </c>
    </row>
    <row r="455" spans="1:17" ht="16" x14ac:dyDescent="0.45">
      <c r="A455" s="2" t="str">
        <f>IFERROR(VLOOKUP(B455,CODE!$B:$D,3,0),"-")</f>
        <v>네트워크</v>
      </c>
      <c r="B455" s="2" t="str">
        <f>IF(L455="-",VLOOKUP(J455,CODE!$B:$D,2,0),L455)</f>
        <v>애드몹</v>
      </c>
      <c r="C455" s="2" t="s">
        <v>266</v>
      </c>
      <c r="D455" s="2" t="s">
        <v>277</v>
      </c>
      <c r="E455" s="2" t="s">
        <v>278</v>
      </c>
      <c r="F455" s="2" t="s">
        <v>268</v>
      </c>
      <c r="G455" s="2" t="s">
        <v>269</v>
      </c>
      <c r="H455" s="2" t="s">
        <v>279</v>
      </c>
      <c r="I455" s="2" t="s">
        <v>728</v>
      </c>
      <c r="J455" s="2" t="s">
        <v>73</v>
      </c>
      <c r="K455" s="2" t="s">
        <v>232</v>
      </c>
      <c r="L455" s="2" t="s">
        <v>97</v>
      </c>
      <c r="M455" s="38" t="str">
        <f t="shared" si="18"/>
        <v>24</v>
      </c>
      <c r="N455" s="38" t="str">
        <f t="shared" si="19"/>
        <v>03</v>
      </c>
      <c r="O455" s="50" t="s">
        <v>755</v>
      </c>
      <c r="P455" s="50" t="s">
        <v>755</v>
      </c>
      <c r="Q455" s="50">
        <v>91</v>
      </c>
    </row>
    <row r="456" spans="1:17" ht="16" x14ac:dyDescent="0.45">
      <c r="A456" s="2" t="str">
        <f>IFERROR(VLOOKUP(B456,CODE!$B:$D,3,0),"-")</f>
        <v>네트워크</v>
      </c>
      <c r="B456" s="2" t="str">
        <f>IF(L456="-",VLOOKUP(J456,CODE!$B:$D,2,0),L456)</f>
        <v>애드몹</v>
      </c>
      <c r="C456" s="2" t="s">
        <v>266</v>
      </c>
      <c r="D456" s="2" t="s">
        <v>277</v>
      </c>
      <c r="E456" s="2" t="s">
        <v>278</v>
      </c>
      <c r="F456" s="2" t="s">
        <v>268</v>
      </c>
      <c r="G456" s="2" t="s">
        <v>269</v>
      </c>
      <c r="H456" s="2" t="s">
        <v>279</v>
      </c>
      <c r="I456" s="2" t="s">
        <v>728</v>
      </c>
      <c r="J456" s="2" t="s">
        <v>73</v>
      </c>
      <c r="K456" s="2" t="s">
        <v>232</v>
      </c>
      <c r="L456" s="2" t="s">
        <v>97</v>
      </c>
      <c r="M456" s="38" t="str">
        <f t="shared" si="18"/>
        <v>24</v>
      </c>
      <c r="N456" s="38" t="str">
        <f t="shared" si="19"/>
        <v>03</v>
      </c>
      <c r="O456" s="50" t="s">
        <v>756</v>
      </c>
      <c r="P456" s="50" t="s">
        <v>757</v>
      </c>
      <c r="Q456" s="50">
        <v>545</v>
      </c>
    </row>
    <row r="457" spans="1:17" ht="16" x14ac:dyDescent="0.45">
      <c r="A457" s="2" t="str">
        <f>IFERROR(VLOOKUP(B457,CODE!$B:$D,3,0),"-")</f>
        <v>네트워크</v>
      </c>
      <c r="B457" s="2" t="str">
        <f>IF(L457="-",VLOOKUP(J457,CODE!$B:$D,2,0),L457)</f>
        <v>애드몹</v>
      </c>
      <c r="C457" s="2" t="s">
        <v>266</v>
      </c>
      <c r="D457" s="2" t="s">
        <v>277</v>
      </c>
      <c r="E457" s="2" t="s">
        <v>278</v>
      </c>
      <c r="F457" s="2" t="s">
        <v>268</v>
      </c>
      <c r="G457" s="2" t="s">
        <v>269</v>
      </c>
      <c r="H457" s="2" t="s">
        <v>279</v>
      </c>
      <c r="I457" s="2" t="s">
        <v>729</v>
      </c>
      <c r="J457" s="2" t="s">
        <v>58</v>
      </c>
      <c r="K457" s="2" t="s">
        <v>232</v>
      </c>
      <c r="L457" s="2" t="s">
        <v>97</v>
      </c>
      <c r="M457" s="38" t="str">
        <f t="shared" si="18"/>
        <v>24</v>
      </c>
      <c r="N457" s="38" t="str">
        <f t="shared" si="19"/>
        <v>02</v>
      </c>
      <c r="O457" s="50" t="s">
        <v>758</v>
      </c>
      <c r="P457" s="50" t="s">
        <v>758</v>
      </c>
      <c r="Q457" s="50">
        <v>91</v>
      </c>
    </row>
    <row r="458" spans="1:17" ht="16" x14ac:dyDescent="0.45">
      <c r="A458" s="2" t="str">
        <f>IFERROR(VLOOKUP(B458,CODE!$B:$D,3,0),"-")</f>
        <v>네트워크</v>
      </c>
      <c r="B458" s="2" t="str">
        <f>IF(L458="-",VLOOKUP(J458,CODE!$B:$D,2,0),L458)</f>
        <v>애드몹</v>
      </c>
      <c r="C458" s="2" t="s">
        <v>266</v>
      </c>
      <c r="D458" s="2" t="s">
        <v>277</v>
      </c>
      <c r="E458" s="2" t="s">
        <v>278</v>
      </c>
      <c r="F458" s="2" t="s">
        <v>268</v>
      </c>
      <c r="G458" s="2" t="s">
        <v>269</v>
      </c>
      <c r="H458" s="2" t="s">
        <v>279</v>
      </c>
      <c r="I458" s="2" t="s">
        <v>729</v>
      </c>
      <c r="J458" s="2" t="s">
        <v>58</v>
      </c>
      <c r="K458" s="2" t="s">
        <v>232</v>
      </c>
      <c r="L458" s="2" t="s">
        <v>97</v>
      </c>
      <c r="M458" s="38" t="str">
        <f t="shared" si="18"/>
        <v>24</v>
      </c>
      <c r="N458" s="38" t="str">
        <f t="shared" si="19"/>
        <v>04</v>
      </c>
      <c r="O458" s="50" t="s">
        <v>759</v>
      </c>
      <c r="P458" s="50" t="s">
        <v>759</v>
      </c>
      <c r="Q458" s="50">
        <v>91</v>
      </c>
    </row>
    <row r="459" spans="1:17" ht="16" x14ac:dyDescent="0.45">
      <c r="A459" s="2" t="str">
        <f>IFERROR(VLOOKUP(B459,CODE!$B:$D,3,0),"-")</f>
        <v>네트워크</v>
      </c>
      <c r="B459" s="2" t="str">
        <f>IF(L459="-",VLOOKUP(J459,CODE!$B:$D,2,0),L459)</f>
        <v>애드몹</v>
      </c>
      <c r="C459" s="2" t="s">
        <v>266</v>
      </c>
      <c r="D459" s="2" t="s">
        <v>277</v>
      </c>
      <c r="E459" s="2" t="s">
        <v>278</v>
      </c>
      <c r="F459" s="2" t="s">
        <v>268</v>
      </c>
      <c r="G459" s="2" t="s">
        <v>269</v>
      </c>
      <c r="H459" s="2" t="s">
        <v>279</v>
      </c>
      <c r="I459" s="2" t="s">
        <v>729</v>
      </c>
      <c r="J459" s="2" t="s">
        <v>58</v>
      </c>
      <c r="K459" s="2" t="s">
        <v>232</v>
      </c>
      <c r="L459" s="2" t="s">
        <v>97</v>
      </c>
      <c r="M459" s="38" t="str">
        <f t="shared" si="18"/>
        <v>24</v>
      </c>
      <c r="N459" s="38" t="str">
        <f t="shared" si="19"/>
        <v>04</v>
      </c>
      <c r="O459" s="50" t="s">
        <v>760</v>
      </c>
      <c r="P459" s="50" t="s">
        <v>760</v>
      </c>
      <c r="Q459" s="50">
        <v>91</v>
      </c>
    </row>
    <row r="460" spans="1:17" ht="16" x14ac:dyDescent="0.45">
      <c r="A460" s="2" t="str">
        <f>IFERROR(VLOOKUP(B460,CODE!$B:$D,3,0),"-")</f>
        <v>네트워크</v>
      </c>
      <c r="B460" s="2" t="str">
        <f>IF(L460="-",VLOOKUP(J460,CODE!$B:$D,2,0),L460)</f>
        <v>애드몹</v>
      </c>
      <c r="C460" s="2" t="s">
        <v>266</v>
      </c>
      <c r="D460" s="2" t="s">
        <v>277</v>
      </c>
      <c r="E460" s="2" t="s">
        <v>278</v>
      </c>
      <c r="F460" s="2" t="s">
        <v>268</v>
      </c>
      <c r="G460" s="2" t="s">
        <v>269</v>
      </c>
      <c r="H460" s="2" t="s">
        <v>279</v>
      </c>
      <c r="I460" s="2" t="s">
        <v>453</v>
      </c>
      <c r="J460" s="2" t="s">
        <v>73</v>
      </c>
      <c r="K460" s="2" t="s">
        <v>232</v>
      </c>
      <c r="L460" s="2" t="s">
        <v>97</v>
      </c>
      <c r="M460" s="38" t="str">
        <f t="shared" si="18"/>
        <v>24</v>
      </c>
      <c r="N460" s="38" t="str">
        <f t="shared" si="19"/>
        <v>06</v>
      </c>
      <c r="O460" s="50" t="s">
        <v>761</v>
      </c>
      <c r="P460" s="50" t="s">
        <v>761</v>
      </c>
      <c r="Q460" s="50">
        <v>78</v>
      </c>
    </row>
    <row r="461" spans="1:17" ht="16" x14ac:dyDescent="0.45">
      <c r="A461" s="2" t="str">
        <f>IFERROR(VLOOKUP(B461,CODE!$B:$D,3,0),"-")</f>
        <v>네트워크</v>
      </c>
      <c r="B461" s="2" t="str">
        <f>IF(L461="-",VLOOKUP(J461,CODE!$B:$D,2,0),L461)</f>
        <v>애드몹</v>
      </c>
      <c r="C461" s="2" t="s">
        <v>266</v>
      </c>
      <c r="D461" s="2" t="s">
        <v>277</v>
      </c>
      <c r="E461" s="2" t="s">
        <v>278</v>
      </c>
      <c r="F461" s="2" t="s">
        <v>268</v>
      </c>
      <c r="G461" s="2" t="s">
        <v>269</v>
      </c>
      <c r="H461" s="2" t="s">
        <v>279</v>
      </c>
      <c r="I461" s="2" t="s">
        <v>730</v>
      </c>
      <c r="J461" s="2" t="s">
        <v>79</v>
      </c>
      <c r="K461" s="2" t="s">
        <v>232</v>
      </c>
      <c r="L461" s="2" t="s">
        <v>97</v>
      </c>
      <c r="M461" s="38" t="str">
        <f t="shared" si="18"/>
        <v>24</v>
      </c>
      <c r="N461" s="38" t="str">
        <f t="shared" si="19"/>
        <v>02</v>
      </c>
      <c r="O461" s="50" t="s">
        <v>762</v>
      </c>
      <c r="P461" s="50" t="s">
        <v>762</v>
      </c>
      <c r="Q461" s="50">
        <v>91</v>
      </c>
    </row>
    <row r="462" spans="1:17" ht="16" x14ac:dyDescent="0.45">
      <c r="A462" s="2" t="str">
        <f>IFERROR(VLOOKUP(B462,CODE!$B:$D,3,0),"-")</f>
        <v>네트워크</v>
      </c>
      <c r="B462" s="2" t="str">
        <f>IF(L462="-",VLOOKUP(J462,CODE!$B:$D,2,0),L462)</f>
        <v>애드몹</v>
      </c>
      <c r="C462" s="2" t="s">
        <v>266</v>
      </c>
      <c r="D462" s="2" t="s">
        <v>277</v>
      </c>
      <c r="E462" s="2" t="s">
        <v>278</v>
      </c>
      <c r="F462" s="2" t="s">
        <v>268</v>
      </c>
      <c r="G462" s="2" t="s">
        <v>269</v>
      </c>
      <c r="H462" s="2" t="s">
        <v>279</v>
      </c>
      <c r="I462" s="2" t="s">
        <v>731</v>
      </c>
      <c r="J462" s="2" t="s">
        <v>58</v>
      </c>
      <c r="K462" s="2" t="s">
        <v>232</v>
      </c>
      <c r="L462" s="2" t="s">
        <v>97</v>
      </c>
      <c r="M462" s="38" t="str">
        <f t="shared" si="18"/>
        <v>24</v>
      </c>
      <c r="N462" s="38" t="str">
        <f t="shared" si="19"/>
        <v>03</v>
      </c>
      <c r="O462" s="50" t="s">
        <v>763</v>
      </c>
      <c r="P462" s="50" t="s">
        <v>763</v>
      </c>
      <c r="Q462" s="50">
        <v>91</v>
      </c>
    </row>
    <row r="463" spans="1:17" ht="16" x14ac:dyDescent="0.45">
      <c r="A463" s="2" t="str">
        <f>IFERROR(VLOOKUP(B463,CODE!$B:$D,3,0),"-")</f>
        <v>네트워크</v>
      </c>
      <c r="B463" s="2" t="str">
        <f>IF(L463="-",VLOOKUP(J463,CODE!$B:$D,2,0),L463)</f>
        <v>애드몹</v>
      </c>
      <c r="C463" s="2" t="s">
        <v>266</v>
      </c>
      <c r="D463" s="2" t="s">
        <v>277</v>
      </c>
      <c r="E463" s="2" t="s">
        <v>278</v>
      </c>
      <c r="F463" s="2" t="s">
        <v>268</v>
      </c>
      <c r="G463" s="2" t="s">
        <v>269</v>
      </c>
      <c r="H463" s="2" t="s">
        <v>279</v>
      </c>
      <c r="I463" s="2" t="s">
        <v>543</v>
      </c>
      <c r="J463" s="2" t="s">
        <v>58</v>
      </c>
      <c r="K463" s="2" t="s">
        <v>232</v>
      </c>
      <c r="L463" s="2" t="s">
        <v>97</v>
      </c>
      <c r="M463" s="38" t="str">
        <f t="shared" si="18"/>
        <v>24</v>
      </c>
      <c r="N463" s="38" t="str">
        <f t="shared" si="19"/>
        <v>02</v>
      </c>
      <c r="O463" s="50" t="s">
        <v>764</v>
      </c>
      <c r="P463" s="50" t="s">
        <v>764</v>
      </c>
      <c r="Q463" s="50">
        <v>91</v>
      </c>
    </row>
    <row r="464" spans="1:17" ht="16" x14ac:dyDescent="0.45">
      <c r="A464" s="2" t="str">
        <f>IFERROR(VLOOKUP(B464,CODE!$B:$D,3,0),"-")</f>
        <v>네트워크</v>
      </c>
      <c r="B464" s="2" t="str">
        <f>IF(L464="-",VLOOKUP(J464,CODE!$B:$D,2,0),L464)</f>
        <v>애드몹</v>
      </c>
      <c r="C464" s="2" t="s">
        <v>266</v>
      </c>
      <c r="D464" s="2" t="s">
        <v>277</v>
      </c>
      <c r="E464" s="2" t="s">
        <v>278</v>
      </c>
      <c r="F464" s="2" t="s">
        <v>268</v>
      </c>
      <c r="G464" s="2" t="s">
        <v>269</v>
      </c>
      <c r="H464" s="2" t="s">
        <v>279</v>
      </c>
      <c r="I464" s="2" t="s">
        <v>732</v>
      </c>
      <c r="J464" s="2" t="s">
        <v>73</v>
      </c>
      <c r="K464" s="2" t="s">
        <v>232</v>
      </c>
      <c r="L464" s="2" t="s">
        <v>97</v>
      </c>
      <c r="M464" s="38" t="str">
        <f t="shared" si="18"/>
        <v>24</v>
      </c>
      <c r="N464" s="38" t="str">
        <f t="shared" si="19"/>
        <v>04</v>
      </c>
      <c r="O464" s="50" t="s">
        <v>765</v>
      </c>
      <c r="P464" s="50" t="s">
        <v>765</v>
      </c>
      <c r="Q464" s="50">
        <v>91</v>
      </c>
    </row>
    <row r="465" spans="1:17" ht="16" x14ac:dyDescent="0.45">
      <c r="A465" s="2" t="str">
        <f>IFERROR(VLOOKUP(B465,CODE!$B:$D,3,0),"-")</f>
        <v>네트워크</v>
      </c>
      <c r="B465" s="2" t="str">
        <f>IF(L465="-",VLOOKUP(J465,CODE!$B:$D,2,0),L465)</f>
        <v>애드몹</v>
      </c>
      <c r="C465" s="2" t="s">
        <v>266</v>
      </c>
      <c r="D465" s="2" t="s">
        <v>277</v>
      </c>
      <c r="E465" s="2" t="s">
        <v>278</v>
      </c>
      <c r="F465" s="2" t="s">
        <v>268</v>
      </c>
      <c r="G465" s="2" t="s">
        <v>269</v>
      </c>
      <c r="H465" s="2" t="s">
        <v>279</v>
      </c>
      <c r="I465" s="2" t="s">
        <v>732</v>
      </c>
      <c r="J465" s="2" t="s">
        <v>73</v>
      </c>
      <c r="K465" s="2" t="s">
        <v>232</v>
      </c>
      <c r="L465" s="2" t="s">
        <v>97</v>
      </c>
      <c r="M465" s="38" t="str">
        <f t="shared" si="18"/>
        <v>24</v>
      </c>
      <c r="N465" s="38" t="str">
        <f t="shared" si="19"/>
        <v>06</v>
      </c>
      <c r="O465" s="50" t="s">
        <v>766</v>
      </c>
      <c r="P465" s="50" t="s">
        <v>766</v>
      </c>
      <c r="Q465" s="50">
        <v>78</v>
      </c>
    </row>
    <row r="466" spans="1:17" ht="16" x14ac:dyDescent="0.45">
      <c r="A466" s="2" t="str">
        <f>IFERROR(VLOOKUP(B466,CODE!$B:$D,3,0),"-")</f>
        <v>네트워크</v>
      </c>
      <c r="B466" s="2" t="str">
        <f>IF(L466="-",VLOOKUP(J466,CODE!$B:$D,2,0),L466)</f>
        <v>애드몹</v>
      </c>
      <c r="C466" s="2" t="s">
        <v>266</v>
      </c>
      <c r="D466" s="2" t="s">
        <v>277</v>
      </c>
      <c r="E466" s="2" t="s">
        <v>278</v>
      </c>
      <c r="F466" s="2" t="s">
        <v>268</v>
      </c>
      <c r="G466" s="2" t="s">
        <v>269</v>
      </c>
      <c r="H466" s="2" t="s">
        <v>279</v>
      </c>
      <c r="I466" s="2" t="s">
        <v>733</v>
      </c>
      <c r="J466" s="2" t="s">
        <v>734</v>
      </c>
      <c r="K466" s="2" t="s">
        <v>232</v>
      </c>
      <c r="L466" s="2" t="s">
        <v>97</v>
      </c>
      <c r="M466" s="38" t="str">
        <f t="shared" si="18"/>
        <v>24</v>
      </c>
      <c r="N466" s="38" t="str">
        <f t="shared" si="19"/>
        <v>03</v>
      </c>
      <c r="O466" s="50" t="s">
        <v>767</v>
      </c>
      <c r="P466" s="50" t="s">
        <v>767</v>
      </c>
      <c r="Q466" s="50">
        <v>91</v>
      </c>
    </row>
    <row r="467" spans="1:17" ht="16" x14ac:dyDescent="0.45">
      <c r="A467" s="2" t="str">
        <f>IFERROR(VLOOKUP(B467,CODE!$B:$D,3,0),"-")</f>
        <v>네트워크</v>
      </c>
      <c r="B467" s="2" t="str">
        <f>IF(L467="-",VLOOKUP(J467,CODE!$B:$D,2,0),L467)</f>
        <v>애드몹</v>
      </c>
      <c r="C467" s="2" t="s">
        <v>266</v>
      </c>
      <c r="D467" s="2" t="s">
        <v>277</v>
      </c>
      <c r="E467" s="2" t="s">
        <v>278</v>
      </c>
      <c r="F467" s="2" t="s">
        <v>268</v>
      </c>
      <c r="G467" s="2" t="s">
        <v>269</v>
      </c>
      <c r="H467" s="2" t="s">
        <v>279</v>
      </c>
      <c r="I467" s="2" t="s">
        <v>733</v>
      </c>
      <c r="J467" s="2" t="s">
        <v>734</v>
      </c>
      <c r="K467" s="2" t="s">
        <v>232</v>
      </c>
      <c r="L467" s="2" t="s">
        <v>97</v>
      </c>
      <c r="M467" s="38" t="str">
        <f t="shared" si="18"/>
        <v>24</v>
      </c>
      <c r="N467" s="38" t="str">
        <f t="shared" si="19"/>
        <v>05</v>
      </c>
      <c r="O467" s="50" t="s">
        <v>768</v>
      </c>
      <c r="P467" s="50" t="s">
        <v>768</v>
      </c>
      <c r="Q467" s="50">
        <v>78</v>
      </c>
    </row>
    <row r="468" spans="1:17" ht="16" x14ac:dyDescent="0.45">
      <c r="A468" s="2" t="str">
        <f>IFERROR(VLOOKUP(B468,CODE!$B:$D,3,0),"-")</f>
        <v>네트워크</v>
      </c>
      <c r="B468" s="2" t="str">
        <f>IF(L468="-",VLOOKUP(J468,CODE!$B:$D,2,0),L468)</f>
        <v>애드몹</v>
      </c>
      <c r="C468" s="2" t="s">
        <v>266</v>
      </c>
      <c r="D468" s="2" t="s">
        <v>277</v>
      </c>
      <c r="E468" s="2" t="s">
        <v>278</v>
      </c>
      <c r="F468" s="2" t="s">
        <v>268</v>
      </c>
      <c r="G468" s="2" t="s">
        <v>269</v>
      </c>
      <c r="H468" s="2" t="s">
        <v>279</v>
      </c>
      <c r="I468" s="2" t="s">
        <v>735</v>
      </c>
      <c r="J468" s="2" t="s">
        <v>734</v>
      </c>
      <c r="K468" s="2" t="s">
        <v>232</v>
      </c>
      <c r="L468" s="2" t="s">
        <v>97</v>
      </c>
      <c r="M468" s="38" t="str">
        <f t="shared" si="18"/>
        <v>24</v>
      </c>
      <c r="N468" s="38" t="str">
        <f t="shared" si="19"/>
        <v>01</v>
      </c>
      <c r="O468" s="50" t="s">
        <v>769</v>
      </c>
      <c r="P468" s="50" t="s">
        <v>769</v>
      </c>
      <c r="Q468" s="50">
        <v>91</v>
      </c>
    </row>
    <row r="469" spans="1:17" ht="16" x14ac:dyDescent="0.45">
      <c r="A469" s="2" t="str">
        <f>IFERROR(VLOOKUP(B469,CODE!$B:$D,3,0),"-")</f>
        <v>네트워크</v>
      </c>
      <c r="B469" s="2" t="str">
        <f>IF(L469="-",VLOOKUP(J469,CODE!$B:$D,2,0),L469)</f>
        <v>애드몹</v>
      </c>
      <c r="C469" s="2" t="s">
        <v>266</v>
      </c>
      <c r="D469" s="2" t="s">
        <v>277</v>
      </c>
      <c r="E469" s="2" t="s">
        <v>278</v>
      </c>
      <c r="F469" s="2" t="s">
        <v>268</v>
      </c>
      <c r="G469" s="2" t="s">
        <v>269</v>
      </c>
      <c r="H469" s="2" t="s">
        <v>279</v>
      </c>
      <c r="I469" s="2" t="s">
        <v>565</v>
      </c>
      <c r="J469" s="2" t="s">
        <v>73</v>
      </c>
      <c r="K469" s="2" t="s">
        <v>232</v>
      </c>
      <c r="L469" s="2" t="s">
        <v>97</v>
      </c>
      <c r="M469" s="38" t="str">
        <f t="shared" si="18"/>
        <v>24</v>
      </c>
      <c r="N469" s="38" t="str">
        <f t="shared" si="19"/>
        <v>02</v>
      </c>
      <c r="O469" s="50" t="s">
        <v>764</v>
      </c>
      <c r="P469" s="50" t="s">
        <v>764</v>
      </c>
      <c r="Q469" s="50">
        <v>91</v>
      </c>
    </row>
    <row r="470" spans="1:17" ht="16" x14ac:dyDescent="0.45">
      <c r="A470" s="2" t="str">
        <f>IFERROR(VLOOKUP(B470,CODE!$B:$D,3,0),"-")</f>
        <v>네트워크</v>
      </c>
      <c r="B470" s="2" t="str">
        <f>IF(L470="-",VLOOKUP(J470,CODE!$B:$D,2,0),L470)</f>
        <v>애드몹</v>
      </c>
      <c r="C470" s="2" t="s">
        <v>266</v>
      </c>
      <c r="D470" s="2" t="s">
        <v>277</v>
      </c>
      <c r="E470" s="2" t="s">
        <v>278</v>
      </c>
      <c r="F470" s="2" t="s">
        <v>268</v>
      </c>
      <c r="G470" s="2" t="s">
        <v>269</v>
      </c>
      <c r="H470" s="2" t="s">
        <v>279</v>
      </c>
      <c r="I470" s="2" t="s">
        <v>565</v>
      </c>
      <c r="J470" s="2" t="s">
        <v>73</v>
      </c>
      <c r="K470" s="2" t="s">
        <v>232</v>
      </c>
      <c r="L470" s="2" t="s">
        <v>97</v>
      </c>
      <c r="M470" s="38" t="str">
        <f t="shared" si="18"/>
        <v>24</v>
      </c>
      <c r="N470" s="38" t="str">
        <f t="shared" si="19"/>
        <v>03</v>
      </c>
      <c r="O470" s="50" t="s">
        <v>770</v>
      </c>
      <c r="P470" s="50" t="s">
        <v>770</v>
      </c>
      <c r="Q470" s="50">
        <v>91</v>
      </c>
    </row>
    <row r="471" spans="1:17" ht="16" x14ac:dyDescent="0.45">
      <c r="A471" s="2" t="str">
        <f>IFERROR(VLOOKUP(B471,CODE!$B:$D,3,0),"-")</f>
        <v>네트워크</v>
      </c>
      <c r="B471" s="2" t="str">
        <f>IF(L471="-",VLOOKUP(J471,CODE!$B:$D,2,0),L471)</f>
        <v>애드몹</v>
      </c>
      <c r="C471" s="2" t="s">
        <v>266</v>
      </c>
      <c r="D471" s="2" t="s">
        <v>277</v>
      </c>
      <c r="E471" s="2" t="s">
        <v>278</v>
      </c>
      <c r="F471" s="2" t="s">
        <v>268</v>
      </c>
      <c r="G471" s="2" t="s">
        <v>269</v>
      </c>
      <c r="H471" s="2" t="s">
        <v>279</v>
      </c>
      <c r="I471" s="2" t="s">
        <v>566</v>
      </c>
      <c r="J471" s="2" t="s">
        <v>73</v>
      </c>
      <c r="K471" s="2" t="s">
        <v>232</v>
      </c>
      <c r="L471" s="2" t="s">
        <v>97</v>
      </c>
      <c r="M471" s="38" t="str">
        <f t="shared" si="18"/>
        <v>24</v>
      </c>
      <c r="N471" s="38" t="str">
        <f t="shared" si="19"/>
        <v>02</v>
      </c>
      <c r="O471" s="50" t="s">
        <v>771</v>
      </c>
      <c r="P471" s="50" t="s">
        <v>771</v>
      </c>
      <c r="Q471" s="50">
        <v>91</v>
      </c>
    </row>
    <row r="472" spans="1:17" ht="16" x14ac:dyDescent="0.45">
      <c r="A472" s="2" t="str">
        <f>IFERROR(VLOOKUP(B472,CODE!$B:$D,3,0),"-")</f>
        <v>네트워크</v>
      </c>
      <c r="B472" s="2" t="str">
        <f>IF(L472="-",VLOOKUP(J472,CODE!$B:$D,2,0),L472)</f>
        <v>애드몹</v>
      </c>
      <c r="C472" s="2" t="s">
        <v>266</v>
      </c>
      <c r="D472" s="2" t="s">
        <v>277</v>
      </c>
      <c r="E472" s="2" t="s">
        <v>278</v>
      </c>
      <c r="F472" s="2" t="s">
        <v>268</v>
      </c>
      <c r="G472" s="2" t="s">
        <v>269</v>
      </c>
      <c r="H472" s="2" t="s">
        <v>279</v>
      </c>
      <c r="I472" s="2" t="s">
        <v>566</v>
      </c>
      <c r="J472" s="2" t="s">
        <v>73</v>
      </c>
      <c r="K472" s="2" t="s">
        <v>232</v>
      </c>
      <c r="L472" s="2" t="s">
        <v>97</v>
      </c>
      <c r="M472" s="38" t="str">
        <f t="shared" si="18"/>
        <v>24</v>
      </c>
      <c r="N472" s="38" t="str">
        <f t="shared" si="19"/>
        <v>03</v>
      </c>
      <c r="O472" s="50" t="s">
        <v>772</v>
      </c>
      <c r="P472" s="50" t="s">
        <v>772</v>
      </c>
      <c r="Q472" s="50">
        <v>91</v>
      </c>
    </row>
    <row r="473" spans="1:17" ht="16" x14ac:dyDescent="0.45">
      <c r="A473" s="2" t="str">
        <f>IFERROR(VLOOKUP(B473,CODE!$B:$D,3,0),"-")</f>
        <v>네트워크</v>
      </c>
      <c r="B473" s="2" t="str">
        <f>IF(L473="-",VLOOKUP(J473,CODE!$B:$D,2,0),L473)</f>
        <v>애드몹</v>
      </c>
      <c r="C473" s="2" t="s">
        <v>266</v>
      </c>
      <c r="D473" s="2" t="s">
        <v>277</v>
      </c>
      <c r="E473" s="2" t="s">
        <v>278</v>
      </c>
      <c r="F473" s="2" t="s">
        <v>268</v>
      </c>
      <c r="G473" s="2" t="s">
        <v>269</v>
      </c>
      <c r="H473" s="2" t="s">
        <v>279</v>
      </c>
      <c r="I473" s="2" t="s">
        <v>566</v>
      </c>
      <c r="J473" s="2" t="s">
        <v>73</v>
      </c>
      <c r="K473" s="2" t="s">
        <v>232</v>
      </c>
      <c r="L473" s="2" t="s">
        <v>97</v>
      </c>
      <c r="M473" s="38" t="str">
        <f t="shared" si="18"/>
        <v>24</v>
      </c>
      <c r="N473" s="38" t="str">
        <f t="shared" si="19"/>
        <v>03</v>
      </c>
      <c r="O473" s="50" t="s">
        <v>773</v>
      </c>
      <c r="P473" s="50" t="s">
        <v>774</v>
      </c>
      <c r="Q473" s="50">
        <v>272</v>
      </c>
    </row>
    <row r="474" spans="1:17" ht="16" x14ac:dyDescent="0.45">
      <c r="A474" s="2" t="str">
        <f>IFERROR(VLOOKUP(B474,CODE!$B:$D,3,0),"-")</f>
        <v>네트워크</v>
      </c>
      <c r="B474" s="2" t="str">
        <f>IF(L474="-",VLOOKUP(J474,CODE!$B:$D,2,0),L474)</f>
        <v>애드몹</v>
      </c>
      <c r="C474" s="2" t="s">
        <v>266</v>
      </c>
      <c r="D474" s="2" t="s">
        <v>277</v>
      </c>
      <c r="E474" s="2" t="s">
        <v>278</v>
      </c>
      <c r="F474" s="2" t="s">
        <v>268</v>
      </c>
      <c r="G474" s="2" t="s">
        <v>269</v>
      </c>
      <c r="H474" s="2" t="s">
        <v>279</v>
      </c>
      <c r="I474" s="2" t="s">
        <v>736</v>
      </c>
      <c r="J474" s="2" t="s">
        <v>73</v>
      </c>
      <c r="K474" s="2" t="s">
        <v>232</v>
      </c>
      <c r="L474" s="2" t="s">
        <v>97</v>
      </c>
      <c r="M474" s="38" t="str">
        <f t="shared" si="18"/>
        <v>24</v>
      </c>
      <c r="N474" s="38" t="str">
        <f t="shared" si="19"/>
        <v>03</v>
      </c>
      <c r="O474" s="50" t="s">
        <v>770</v>
      </c>
      <c r="P474" s="50" t="s">
        <v>770</v>
      </c>
      <c r="Q474" s="50">
        <v>91</v>
      </c>
    </row>
    <row r="475" spans="1:17" ht="16" x14ac:dyDescent="0.45">
      <c r="A475" s="2" t="str">
        <f>IFERROR(VLOOKUP(B475,CODE!$B:$D,3,0),"-")</f>
        <v>네트워크</v>
      </c>
      <c r="B475" s="2" t="str">
        <f>IF(L475="-",VLOOKUP(J475,CODE!$B:$D,2,0),L475)</f>
        <v>애드몹</v>
      </c>
      <c r="C475" s="2" t="s">
        <v>266</v>
      </c>
      <c r="D475" s="2" t="s">
        <v>277</v>
      </c>
      <c r="E475" s="2" t="s">
        <v>278</v>
      </c>
      <c r="F475" s="2" t="s">
        <v>268</v>
      </c>
      <c r="G475" s="2" t="s">
        <v>269</v>
      </c>
      <c r="H475" s="2" t="s">
        <v>279</v>
      </c>
      <c r="I475" s="2" t="s">
        <v>737</v>
      </c>
      <c r="J475" s="2" t="s">
        <v>73</v>
      </c>
      <c r="K475" s="2" t="s">
        <v>232</v>
      </c>
      <c r="L475" s="2" t="s">
        <v>97</v>
      </c>
      <c r="M475" s="38" t="str">
        <f t="shared" si="18"/>
        <v>24</v>
      </c>
      <c r="N475" s="38" t="str">
        <f t="shared" si="19"/>
        <v>02</v>
      </c>
      <c r="O475" s="50" t="s">
        <v>750</v>
      </c>
      <c r="P475" s="50" t="s">
        <v>750</v>
      </c>
      <c r="Q475" s="50">
        <v>91</v>
      </c>
    </row>
    <row r="476" spans="1:17" ht="16" x14ac:dyDescent="0.45">
      <c r="A476" s="2" t="str">
        <f>IFERROR(VLOOKUP(B476,CODE!$B:$D,3,0),"-")</f>
        <v>네트워크</v>
      </c>
      <c r="B476" s="2" t="str">
        <f>IF(L476="-",VLOOKUP(J476,CODE!$B:$D,2,0),L476)</f>
        <v>애드몹</v>
      </c>
      <c r="C476" s="2" t="s">
        <v>266</v>
      </c>
      <c r="D476" s="2" t="s">
        <v>277</v>
      </c>
      <c r="E476" s="2" t="s">
        <v>278</v>
      </c>
      <c r="F476" s="2" t="s">
        <v>268</v>
      </c>
      <c r="G476" s="2" t="s">
        <v>269</v>
      </c>
      <c r="H476" s="2" t="s">
        <v>279</v>
      </c>
      <c r="I476" s="2" t="s">
        <v>737</v>
      </c>
      <c r="J476" s="2" t="s">
        <v>73</v>
      </c>
      <c r="K476" s="2" t="s">
        <v>232</v>
      </c>
      <c r="L476" s="2" t="s">
        <v>97</v>
      </c>
      <c r="M476" s="38" t="str">
        <f t="shared" si="18"/>
        <v>24</v>
      </c>
      <c r="N476" s="38" t="str">
        <f t="shared" si="19"/>
        <v>04</v>
      </c>
      <c r="O476" s="50" t="s">
        <v>760</v>
      </c>
      <c r="P476" s="50" t="s">
        <v>760</v>
      </c>
      <c r="Q476" s="50">
        <v>91</v>
      </c>
    </row>
    <row r="477" spans="1:17" ht="16" x14ac:dyDescent="0.45">
      <c r="A477" s="2" t="str">
        <f>IFERROR(VLOOKUP(B477,CODE!$B:$D,3,0),"-")</f>
        <v>네트워크</v>
      </c>
      <c r="B477" s="2" t="str">
        <f>IF(L477="-",VLOOKUP(J477,CODE!$B:$D,2,0),L477)</f>
        <v>애드몹</v>
      </c>
      <c r="C477" s="2" t="s">
        <v>266</v>
      </c>
      <c r="D477" s="2" t="s">
        <v>277</v>
      </c>
      <c r="E477" s="2" t="s">
        <v>278</v>
      </c>
      <c r="F477" s="2" t="s">
        <v>268</v>
      </c>
      <c r="G477" s="2" t="s">
        <v>269</v>
      </c>
      <c r="H477" s="2" t="s">
        <v>279</v>
      </c>
      <c r="I477" s="2" t="s">
        <v>737</v>
      </c>
      <c r="J477" s="2" t="s">
        <v>73</v>
      </c>
      <c r="K477" s="2" t="s">
        <v>232</v>
      </c>
      <c r="L477" s="2" t="s">
        <v>97</v>
      </c>
      <c r="M477" s="38" t="str">
        <f t="shared" si="18"/>
        <v>24</v>
      </c>
      <c r="N477" s="38" t="str">
        <f t="shared" si="19"/>
        <v>05</v>
      </c>
      <c r="O477" s="50" t="s">
        <v>752</v>
      </c>
      <c r="P477" s="50" t="s">
        <v>752</v>
      </c>
      <c r="Q477" s="50">
        <v>78</v>
      </c>
    </row>
    <row r="478" spans="1:17" ht="16" x14ac:dyDescent="0.45">
      <c r="A478" s="2" t="str">
        <f>IFERROR(VLOOKUP(B478,CODE!$B:$D,3,0),"-")</f>
        <v>네트워크</v>
      </c>
      <c r="B478" s="2" t="str">
        <f>IF(L478="-",VLOOKUP(J478,CODE!$B:$D,2,0),L478)</f>
        <v>애드몹</v>
      </c>
      <c r="C478" s="2" t="s">
        <v>266</v>
      </c>
      <c r="D478" s="2" t="s">
        <v>277</v>
      </c>
      <c r="E478" s="2" t="s">
        <v>278</v>
      </c>
      <c r="F478" s="2" t="s">
        <v>268</v>
      </c>
      <c r="G478" s="2" t="s">
        <v>269</v>
      </c>
      <c r="H478" s="2" t="s">
        <v>279</v>
      </c>
      <c r="I478" s="2" t="s">
        <v>738</v>
      </c>
      <c r="J478" s="2" t="s">
        <v>58</v>
      </c>
      <c r="K478" s="2" t="s">
        <v>232</v>
      </c>
      <c r="L478" s="2" t="s">
        <v>97</v>
      </c>
      <c r="M478" s="38" t="str">
        <f t="shared" si="18"/>
        <v>24</v>
      </c>
      <c r="N478" s="38" t="str">
        <f t="shared" si="19"/>
        <v>06</v>
      </c>
      <c r="O478" s="50" t="s">
        <v>775</v>
      </c>
      <c r="P478" s="50" t="s">
        <v>775</v>
      </c>
      <c r="Q478" s="50">
        <v>78</v>
      </c>
    </row>
    <row r="479" spans="1:17" ht="16" x14ac:dyDescent="0.45">
      <c r="A479" s="2" t="str">
        <f>IFERROR(VLOOKUP(B479,CODE!$B:$D,3,0),"-")</f>
        <v>네트워크</v>
      </c>
      <c r="B479" s="2" t="str">
        <f>IF(L479="-",VLOOKUP(J479,CODE!$B:$D,2,0),L479)</f>
        <v>애드몹</v>
      </c>
      <c r="C479" s="2" t="s">
        <v>266</v>
      </c>
      <c r="D479" s="2" t="s">
        <v>277</v>
      </c>
      <c r="E479" s="2" t="s">
        <v>278</v>
      </c>
      <c r="F479" s="2" t="s">
        <v>268</v>
      </c>
      <c r="G479" s="2" t="s">
        <v>269</v>
      </c>
      <c r="H479" s="2" t="s">
        <v>279</v>
      </c>
      <c r="I479" s="2" t="s">
        <v>739</v>
      </c>
      <c r="J479" s="2" t="s">
        <v>78</v>
      </c>
      <c r="K479" s="2" t="s">
        <v>232</v>
      </c>
      <c r="L479" s="2" t="s">
        <v>97</v>
      </c>
      <c r="M479" s="38" t="str">
        <f t="shared" si="18"/>
        <v>24</v>
      </c>
      <c r="N479" s="38" t="str">
        <f t="shared" si="19"/>
        <v>06</v>
      </c>
      <c r="O479" s="50" t="s">
        <v>776</v>
      </c>
      <c r="P479" s="50" t="s">
        <v>776</v>
      </c>
      <c r="Q479" s="50">
        <v>78</v>
      </c>
    </row>
    <row r="480" spans="1:17" ht="16" x14ac:dyDescent="0.45">
      <c r="A480" s="2" t="str">
        <f>IFERROR(VLOOKUP(B480,CODE!$B:$D,3,0),"-")</f>
        <v>네트워크</v>
      </c>
      <c r="B480" s="2" t="str">
        <f>IF(L480="-",VLOOKUP(J480,CODE!$B:$D,2,0),L480)</f>
        <v>애드몹</v>
      </c>
      <c r="C480" s="2" t="s">
        <v>266</v>
      </c>
      <c r="D480" s="2" t="s">
        <v>277</v>
      </c>
      <c r="E480" s="2" t="s">
        <v>278</v>
      </c>
      <c r="F480" s="2" t="s">
        <v>268</v>
      </c>
      <c r="G480" s="2" t="s">
        <v>269</v>
      </c>
      <c r="H480" s="2" t="s">
        <v>279</v>
      </c>
      <c r="I480" s="2" t="s">
        <v>740</v>
      </c>
      <c r="J480" s="2" t="s">
        <v>73</v>
      </c>
      <c r="K480" s="2" t="s">
        <v>232</v>
      </c>
      <c r="L480" s="2" t="s">
        <v>97</v>
      </c>
      <c r="M480" s="38" t="str">
        <f t="shared" si="18"/>
        <v>24</v>
      </c>
      <c r="N480" s="38" t="str">
        <f t="shared" si="19"/>
        <v>04</v>
      </c>
      <c r="O480" s="50" t="s">
        <v>777</v>
      </c>
      <c r="P480" s="50" t="s">
        <v>777</v>
      </c>
      <c r="Q480" s="50">
        <v>91</v>
      </c>
    </row>
    <row r="481" spans="1:17" ht="16" x14ac:dyDescent="0.45">
      <c r="A481" s="2" t="str">
        <f>IFERROR(VLOOKUP(B481,CODE!$B:$D,3,0),"-")</f>
        <v>네트워크</v>
      </c>
      <c r="B481" s="2" t="str">
        <f>IF(L481="-",VLOOKUP(J481,CODE!$B:$D,2,0),L481)</f>
        <v>애드몹</v>
      </c>
      <c r="C481" s="2" t="s">
        <v>266</v>
      </c>
      <c r="D481" s="2" t="s">
        <v>277</v>
      </c>
      <c r="E481" s="2" t="s">
        <v>278</v>
      </c>
      <c r="F481" s="2" t="s">
        <v>268</v>
      </c>
      <c r="G481" s="2" t="s">
        <v>269</v>
      </c>
      <c r="H481" s="2" t="s">
        <v>279</v>
      </c>
      <c r="I481" s="2" t="s">
        <v>467</v>
      </c>
      <c r="J481" s="2" t="s">
        <v>73</v>
      </c>
      <c r="K481" s="2" t="s">
        <v>232</v>
      </c>
      <c r="L481" s="2" t="s">
        <v>97</v>
      </c>
      <c r="M481" s="38" t="str">
        <f t="shared" si="18"/>
        <v>24</v>
      </c>
      <c r="N481" s="38" t="str">
        <f t="shared" si="19"/>
        <v>02</v>
      </c>
      <c r="O481" s="50" t="s">
        <v>778</v>
      </c>
      <c r="P481" s="50" t="s">
        <v>778</v>
      </c>
      <c r="Q481" s="50">
        <v>91</v>
      </c>
    </row>
    <row r="482" spans="1:17" ht="16" x14ac:dyDescent="0.45">
      <c r="A482" s="2" t="str">
        <f>IFERROR(VLOOKUP(B482,CODE!$B:$D,3,0),"-")</f>
        <v>네트워크</v>
      </c>
      <c r="B482" s="2" t="str">
        <f>IF(L482="-",VLOOKUP(J482,CODE!$B:$D,2,0),L482)</f>
        <v>애드몹</v>
      </c>
      <c r="C482" s="2" t="s">
        <v>266</v>
      </c>
      <c r="D482" s="2" t="s">
        <v>277</v>
      </c>
      <c r="E482" s="2" t="s">
        <v>278</v>
      </c>
      <c r="F482" s="2" t="s">
        <v>268</v>
      </c>
      <c r="G482" s="2" t="s">
        <v>269</v>
      </c>
      <c r="H482" s="2" t="s">
        <v>279</v>
      </c>
      <c r="I482" s="2" t="s">
        <v>467</v>
      </c>
      <c r="J482" s="2" t="s">
        <v>73</v>
      </c>
      <c r="K482" s="2" t="s">
        <v>232</v>
      </c>
      <c r="L482" s="2" t="s">
        <v>97</v>
      </c>
      <c r="M482" s="38" t="str">
        <f t="shared" si="18"/>
        <v>24</v>
      </c>
      <c r="N482" s="38" t="str">
        <f t="shared" si="19"/>
        <v>05</v>
      </c>
      <c r="O482" s="50" t="s">
        <v>779</v>
      </c>
      <c r="P482" s="50" t="s">
        <v>779</v>
      </c>
      <c r="Q482" s="50">
        <v>78</v>
      </c>
    </row>
    <row r="483" spans="1:17" ht="16" x14ac:dyDescent="0.45">
      <c r="A483" s="2" t="str">
        <f>IFERROR(VLOOKUP(B483,CODE!$B:$D,3,0),"-")</f>
        <v>네트워크</v>
      </c>
      <c r="B483" s="2" t="str">
        <f>IF(L483="-",VLOOKUP(J483,CODE!$B:$D,2,0),L483)</f>
        <v>애드몹</v>
      </c>
      <c r="C483" s="2" t="s">
        <v>266</v>
      </c>
      <c r="D483" s="2" t="s">
        <v>277</v>
      </c>
      <c r="E483" s="2" t="s">
        <v>278</v>
      </c>
      <c r="F483" s="2" t="s">
        <v>268</v>
      </c>
      <c r="G483" s="2" t="s">
        <v>269</v>
      </c>
      <c r="H483" s="2" t="s">
        <v>279</v>
      </c>
      <c r="I483" s="2" t="s">
        <v>582</v>
      </c>
      <c r="J483" s="2" t="s">
        <v>73</v>
      </c>
      <c r="K483" s="2" t="s">
        <v>232</v>
      </c>
      <c r="L483" s="2" t="s">
        <v>97</v>
      </c>
      <c r="M483" s="38" t="str">
        <f t="shared" si="18"/>
        <v>24</v>
      </c>
      <c r="N483" s="38" t="str">
        <f t="shared" si="19"/>
        <v>05</v>
      </c>
      <c r="O483" s="50" t="s">
        <v>287</v>
      </c>
      <c r="P483" s="50" t="s">
        <v>287</v>
      </c>
      <c r="Q483" s="50">
        <v>78</v>
      </c>
    </row>
    <row r="484" spans="1:17" ht="16" x14ac:dyDescent="0.45">
      <c r="A484" s="2" t="str">
        <f>IFERROR(VLOOKUP(B484,CODE!$B:$D,3,0),"-")</f>
        <v>네트워크</v>
      </c>
      <c r="B484" s="2" t="str">
        <f>IF(L484="-",VLOOKUP(J484,CODE!$B:$D,2,0),L484)</f>
        <v>애드몹</v>
      </c>
      <c r="C484" s="2" t="s">
        <v>266</v>
      </c>
      <c r="D484" s="2" t="s">
        <v>277</v>
      </c>
      <c r="E484" s="2" t="s">
        <v>278</v>
      </c>
      <c r="F484" s="2" t="s">
        <v>268</v>
      </c>
      <c r="G484" s="2" t="s">
        <v>269</v>
      </c>
      <c r="H484" s="2" t="s">
        <v>279</v>
      </c>
      <c r="I484" s="2" t="s">
        <v>741</v>
      </c>
      <c r="J484" s="2" t="s">
        <v>73</v>
      </c>
      <c r="K484" s="2" t="s">
        <v>232</v>
      </c>
      <c r="L484" s="2" t="s">
        <v>97</v>
      </c>
      <c r="M484" s="38" t="str">
        <f t="shared" si="18"/>
        <v>24</v>
      </c>
      <c r="N484" s="38" t="str">
        <f t="shared" si="19"/>
        <v>06</v>
      </c>
      <c r="O484" s="50" t="s">
        <v>761</v>
      </c>
      <c r="P484" s="50" t="s">
        <v>761</v>
      </c>
      <c r="Q484" s="50">
        <v>78</v>
      </c>
    </row>
    <row r="485" spans="1:17" ht="16" x14ac:dyDescent="0.45">
      <c r="A485" s="2" t="str">
        <f>IFERROR(VLOOKUP(B485,CODE!$B:$D,3,0),"-")</f>
        <v>네트워크</v>
      </c>
      <c r="B485" s="2" t="str">
        <f>IF(L485="-",VLOOKUP(J485,CODE!$B:$D,2,0),L485)</f>
        <v>애드몹</v>
      </c>
      <c r="C485" s="2" t="s">
        <v>266</v>
      </c>
      <c r="D485" s="2" t="s">
        <v>277</v>
      </c>
      <c r="E485" s="2" t="s">
        <v>278</v>
      </c>
      <c r="F485" s="2" t="s">
        <v>268</v>
      </c>
      <c r="G485" s="2" t="s">
        <v>269</v>
      </c>
      <c r="H485" s="2" t="s">
        <v>279</v>
      </c>
      <c r="I485" s="2" t="s">
        <v>592</v>
      </c>
      <c r="J485" s="2" t="s">
        <v>73</v>
      </c>
      <c r="K485" s="2" t="s">
        <v>232</v>
      </c>
      <c r="L485" s="2" t="s">
        <v>97</v>
      </c>
      <c r="M485" s="38" t="str">
        <f t="shared" si="18"/>
        <v>24</v>
      </c>
      <c r="N485" s="38" t="str">
        <f t="shared" si="19"/>
        <v>03</v>
      </c>
      <c r="O485" s="50" t="s">
        <v>780</v>
      </c>
      <c r="P485" s="50" t="s">
        <v>780</v>
      </c>
      <c r="Q485" s="50">
        <v>91</v>
      </c>
    </row>
    <row r="486" spans="1:17" ht="16" x14ac:dyDescent="0.45">
      <c r="A486" s="2" t="str">
        <f>IFERROR(VLOOKUP(B486,CODE!$B:$D,3,0),"-")</f>
        <v>네트워크</v>
      </c>
      <c r="B486" s="2" t="str">
        <f>IF(L486="-",VLOOKUP(J486,CODE!$B:$D,2,0),L486)</f>
        <v>애드몹</v>
      </c>
      <c r="C486" s="2" t="s">
        <v>266</v>
      </c>
      <c r="D486" s="2" t="s">
        <v>277</v>
      </c>
      <c r="E486" s="2" t="s">
        <v>278</v>
      </c>
      <c r="F486" s="2" t="s">
        <v>268</v>
      </c>
      <c r="G486" s="2" t="s">
        <v>269</v>
      </c>
      <c r="H486" s="2" t="s">
        <v>279</v>
      </c>
      <c r="I486" s="2" t="s">
        <v>592</v>
      </c>
      <c r="J486" s="2" t="s">
        <v>73</v>
      </c>
      <c r="K486" s="2" t="s">
        <v>232</v>
      </c>
      <c r="L486" s="2" t="s">
        <v>97</v>
      </c>
      <c r="M486" s="38" t="str">
        <f t="shared" si="18"/>
        <v>24</v>
      </c>
      <c r="N486" s="38" t="str">
        <f t="shared" si="19"/>
        <v>04</v>
      </c>
      <c r="O486" s="50" t="s">
        <v>781</v>
      </c>
      <c r="P486" s="50" t="s">
        <v>781</v>
      </c>
      <c r="Q486" s="50">
        <v>91</v>
      </c>
    </row>
    <row r="487" spans="1:17" ht="16" x14ac:dyDescent="0.45">
      <c r="A487" s="2" t="str">
        <f>IFERROR(VLOOKUP(B487,CODE!$B:$D,3,0),"-")</f>
        <v>네트워크</v>
      </c>
      <c r="B487" s="2" t="str">
        <f>IF(L487="-",VLOOKUP(J487,CODE!$B:$D,2,0),L487)</f>
        <v>애드몹</v>
      </c>
      <c r="C487" s="2" t="s">
        <v>266</v>
      </c>
      <c r="D487" s="2" t="s">
        <v>277</v>
      </c>
      <c r="E487" s="2" t="s">
        <v>278</v>
      </c>
      <c r="F487" s="2" t="s">
        <v>268</v>
      </c>
      <c r="G487" s="2" t="s">
        <v>269</v>
      </c>
      <c r="H487" s="2" t="s">
        <v>279</v>
      </c>
      <c r="I487" s="2" t="s">
        <v>592</v>
      </c>
      <c r="J487" s="2" t="s">
        <v>73</v>
      </c>
      <c r="K487" s="2" t="s">
        <v>232</v>
      </c>
      <c r="L487" s="2" t="s">
        <v>97</v>
      </c>
      <c r="M487" s="38" t="str">
        <f t="shared" si="18"/>
        <v>24</v>
      </c>
      <c r="N487" s="38" t="str">
        <f t="shared" si="19"/>
        <v>05</v>
      </c>
      <c r="O487" s="50" t="s">
        <v>782</v>
      </c>
      <c r="P487" s="50" t="s">
        <v>782</v>
      </c>
      <c r="Q487" s="50">
        <v>78</v>
      </c>
    </row>
    <row r="488" spans="1:17" ht="16" x14ac:dyDescent="0.45">
      <c r="A488" s="2" t="str">
        <f>IFERROR(VLOOKUP(B488,CODE!$B:$D,3,0),"-")</f>
        <v>네트워크</v>
      </c>
      <c r="B488" s="2" t="str">
        <f>IF(L488="-",VLOOKUP(J488,CODE!$B:$D,2,0),L488)</f>
        <v>애드몹</v>
      </c>
      <c r="C488" s="2" t="s">
        <v>266</v>
      </c>
      <c r="D488" s="2" t="s">
        <v>277</v>
      </c>
      <c r="E488" s="2" t="s">
        <v>278</v>
      </c>
      <c r="F488" s="2" t="s">
        <v>268</v>
      </c>
      <c r="G488" s="2" t="s">
        <v>269</v>
      </c>
      <c r="H488" s="2" t="s">
        <v>279</v>
      </c>
      <c r="I488" s="2" t="s">
        <v>742</v>
      </c>
      <c r="J488" s="2" t="s">
        <v>79</v>
      </c>
      <c r="K488" s="2" t="s">
        <v>232</v>
      </c>
      <c r="L488" s="2" t="s">
        <v>97</v>
      </c>
      <c r="M488" s="38" t="str">
        <f t="shared" si="18"/>
        <v>24</v>
      </c>
      <c r="N488" s="38" t="str">
        <f t="shared" si="19"/>
        <v>04</v>
      </c>
      <c r="O488" s="50" t="s">
        <v>783</v>
      </c>
      <c r="P488" s="50" t="s">
        <v>783</v>
      </c>
      <c r="Q488" s="50">
        <v>91</v>
      </c>
    </row>
    <row r="489" spans="1:17" ht="16" x14ac:dyDescent="0.45">
      <c r="A489" s="2" t="str">
        <f>IFERROR(VLOOKUP(B489,CODE!$B:$D,3,0),"-")</f>
        <v>네트워크</v>
      </c>
      <c r="B489" s="2" t="str">
        <f>IF(L489="-",VLOOKUP(J489,CODE!$B:$D,2,0),L489)</f>
        <v>애드몹</v>
      </c>
      <c r="C489" s="2" t="s">
        <v>266</v>
      </c>
      <c r="D489" s="2" t="s">
        <v>277</v>
      </c>
      <c r="E489" s="2" t="s">
        <v>278</v>
      </c>
      <c r="F489" s="2" t="s">
        <v>268</v>
      </c>
      <c r="G489" s="2" t="s">
        <v>269</v>
      </c>
      <c r="H489" s="2" t="s">
        <v>279</v>
      </c>
      <c r="I489" s="2" t="s">
        <v>743</v>
      </c>
      <c r="J489" s="2" t="s">
        <v>734</v>
      </c>
      <c r="K489" s="2" t="s">
        <v>232</v>
      </c>
      <c r="L489" s="2" t="s">
        <v>97</v>
      </c>
      <c r="M489" s="38" t="str">
        <f t="shared" si="18"/>
        <v>24</v>
      </c>
      <c r="N489" s="38" t="str">
        <f t="shared" si="19"/>
        <v>01</v>
      </c>
      <c r="O489" s="50" t="s">
        <v>784</v>
      </c>
      <c r="P489" s="50" t="s">
        <v>784</v>
      </c>
      <c r="Q489" s="50">
        <v>91</v>
      </c>
    </row>
    <row r="490" spans="1:17" ht="16" x14ac:dyDescent="0.45">
      <c r="A490" s="2" t="str">
        <f>IFERROR(VLOOKUP(B490,CODE!$B:$D,3,0),"-")</f>
        <v>네트워크</v>
      </c>
      <c r="B490" s="2" t="str">
        <f>IF(L490="-",VLOOKUP(J490,CODE!$B:$D,2,0),L490)</f>
        <v>애드몹</v>
      </c>
      <c r="C490" s="2" t="s">
        <v>266</v>
      </c>
      <c r="D490" s="2" t="s">
        <v>277</v>
      </c>
      <c r="E490" s="2" t="s">
        <v>278</v>
      </c>
      <c r="F490" s="2" t="s">
        <v>268</v>
      </c>
      <c r="G490" s="2" t="s">
        <v>269</v>
      </c>
      <c r="H490" s="2" t="s">
        <v>279</v>
      </c>
      <c r="I490" s="2" t="s">
        <v>744</v>
      </c>
      <c r="J490" s="2" t="s">
        <v>79</v>
      </c>
      <c r="K490" s="2" t="s">
        <v>232</v>
      </c>
      <c r="L490" s="2" t="s">
        <v>97</v>
      </c>
      <c r="M490" s="38" t="str">
        <f t="shared" si="18"/>
        <v>24</v>
      </c>
      <c r="N490" s="38" t="str">
        <f t="shared" si="19"/>
        <v>03</v>
      </c>
      <c r="O490" s="50" t="s">
        <v>755</v>
      </c>
      <c r="P490" s="50" t="s">
        <v>755</v>
      </c>
      <c r="Q490" s="50">
        <v>91</v>
      </c>
    </row>
    <row r="491" spans="1:17" ht="16" x14ac:dyDescent="0.45">
      <c r="A491" s="2" t="str">
        <f>IFERROR(VLOOKUP(B491,CODE!$B:$D,3,0),"-")</f>
        <v>네트워크</v>
      </c>
      <c r="B491" s="2" t="str">
        <f>IF(L491="-",VLOOKUP(J491,CODE!$B:$D,2,0),L491)</f>
        <v>애드몹</v>
      </c>
      <c r="C491" s="2" t="s">
        <v>266</v>
      </c>
      <c r="D491" s="2" t="s">
        <v>277</v>
      </c>
      <c r="E491" s="2" t="s">
        <v>278</v>
      </c>
      <c r="F491" s="2" t="s">
        <v>268</v>
      </c>
      <c r="G491" s="2" t="s">
        <v>269</v>
      </c>
      <c r="H491" s="2" t="s">
        <v>279</v>
      </c>
      <c r="I491" s="2" t="s">
        <v>745</v>
      </c>
      <c r="J491" s="2" t="s">
        <v>73</v>
      </c>
      <c r="K491" s="2" t="s">
        <v>232</v>
      </c>
      <c r="L491" s="2" t="s">
        <v>97</v>
      </c>
      <c r="M491" s="38" t="str">
        <f t="shared" si="18"/>
        <v>24</v>
      </c>
      <c r="N491" s="38" t="str">
        <f t="shared" si="19"/>
        <v>02</v>
      </c>
      <c r="O491" s="50" t="s">
        <v>785</v>
      </c>
      <c r="P491" s="50" t="s">
        <v>785</v>
      </c>
      <c r="Q491" s="50">
        <v>91</v>
      </c>
    </row>
    <row r="492" spans="1:17" ht="16" x14ac:dyDescent="0.45">
      <c r="A492" s="2" t="str">
        <f>IFERROR(VLOOKUP(B492,CODE!$B:$D,3,0),"-")</f>
        <v>네트워크</v>
      </c>
      <c r="B492" s="2" t="str">
        <f>IF(L492="-",VLOOKUP(J492,CODE!$B:$D,2,0),L492)</f>
        <v>애드몹</v>
      </c>
      <c r="C492" s="2" t="s">
        <v>266</v>
      </c>
      <c r="D492" s="2" t="s">
        <v>277</v>
      </c>
      <c r="E492" s="2" t="s">
        <v>278</v>
      </c>
      <c r="F492" s="2" t="s">
        <v>268</v>
      </c>
      <c r="G492" s="2" t="s">
        <v>269</v>
      </c>
      <c r="H492" s="2" t="s">
        <v>279</v>
      </c>
      <c r="I492" s="2" t="s">
        <v>745</v>
      </c>
      <c r="J492" s="2" t="s">
        <v>73</v>
      </c>
      <c r="K492" s="2" t="s">
        <v>232</v>
      </c>
      <c r="L492" s="2" t="s">
        <v>97</v>
      </c>
      <c r="M492" s="38" t="str">
        <f t="shared" si="18"/>
        <v>24</v>
      </c>
      <c r="N492" s="38" t="str">
        <f t="shared" si="19"/>
        <v>03</v>
      </c>
      <c r="O492" s="50" t="s">
        <v>763</v>
      </c>
      <c r="P492" s="50" t="s">
        <v>763</v>
      </c>
      <c r="Q492" s="50">
        <v>91</v>
      </c>
    </row>
    <row r="493" spans="1:17" ht="16" x14ac:dyDescent="0.45">
      <c r="A493" s="2" t="str">
        <f>IFERROR(VLOOKUP(B493,CODE!$B:$D,3,0),"-")</f>
        <v>네트워크</v>
      </c>
      <c r="B493" s="2" t="str">
        <f>IF(L493="-",VLOOKUP(J493,CODE!$B:$D,2,0),L493)</f>
        <v>애드몹</v>
      </c>
      <c r="C493" s="2" t="s">
        <v>266</v>
      </c>
      <c r="D493" s="2" t="s">
        <v>277</v>
      </c>
      <c r="E493" s="2" t="s">
        <v>278</v>
      </c>
      <c r="F493" s="2" t="s">
        <v>268</v>
      </c>
      <c r="G493" s="2" t="s">
        <v>269</v>
      </c>
      <c r="H493" s="2" t="s">
        <v>279</v>
      </c>
      <c r="I493" s="2" t="s">
        <v>745</v>
      </c>
      <c r="J493" s="2" t="s">
        <v>73</v>
      </c>
      <c r="K493" s="2" t="s">
        <v>232</v>
      </c>
      <c r="L493" s="2" t="s">
        <v>97</v>
      </c>
      <c r="M493" s="38" t="str">
        <f t="shared" si="18"/>
        <v>24</v>
      </c>
      <c r="N493" s="38" t="str">
        <f t="shared" si="19"/>
        <v>04</v>
      </c>
      <c r="O493" s="50" t="s">
        <v>786</v>
      </c>
      <c r="P493" s="50" t="s">
        <v>786</v>
      </c>
      <c r="Q493" s="50">
        <v>91</v>
      </c>
    </row>
    <row r="494" spans="1:17" ht="16" x14ac:dyDescent="0.45">
      <c r="A494" s="2" t="str">
        <f>IFERROR(VLOOKUP(B494,CODE!$B:$D,3,0),"-")</f>
        <v>네트워크</v>
      </c>
      <c r="B494" s="2" t="str">
        <f>IF(L494="-",VLOOKUP(J494,CODE!$B:$D,2,0),L494)</f>
        <v>애드몹</v>
      </c>
      <c r="C494" s="2" t="s">
        <v>266</v>
      </c>
      <c r="D494" s="2" t="s">
        <v>277</v>
      </c>
      <c r="E494" s="2" t="s">
        <v>278</v>
      </c>
      <c r="F494" s="2" t="s">
        <v>268</v>
      </c>
      <c r="G494" s="2" t="s">
        <v>269</v>
      </c>
      <c r="H494" s="2" t="s">
        <v>279</v>
      </c>
      <c r="I494" s="2" t="s">
        <v>474</v>
      </c>
      <c r="J494" s="2" t="s">
        <v>73</v>
      </c>
      <c r="K494" s="2" t="s">
        <v>232</v>
      </c>
      <c r="L494" s="2" t="s">
        <v>97</v>
      </c>
      <c r="M494" s="38" t="str">
        <f t="shared" si="18"/>
        <v>24</v>
      </c>
      <c r="N494" s="38" t="str">
        <f t="shared" si="19"/>
        <v>02</v>
      </c>
      <c r="O494" s="50" t="s">
        <v>787</v>
      </c>
      <c r="P494" s="50" t="s">
        <v>787</v>
      </c>
      <c r="Q494" s="50">
        <v>91</v>
      </c>
    </row>
    <row r="495" spans="1:17" ht="16" x14ac:dyDescent="0.45">
      <c r="A495" s="2" t="str">
        <f>IFERROR(VLOOKUP(B495,CODE!$B:$D,3,0),"-")</f>
        <v>네트워크</v>
      </c>
      <c r="B495" s="2" t="str">
        <f>IF(L495="-",VLOOKUP(J495,CODE!$B:$D,2,0),L495)</f>
        <v>애드몹</v>
      </c>
      <c r="C495" s="2" t="s">
        <v>266</v>
      </c>
      <c r="D495" s="2" t="s">
        <v>277</v>
      </c>
      <c r="E495" s="2" t="s">
        <v>278</v>
      </c>
      <c r="F495" s="2" t="s">
        <v>268</v>
      </c>
      <c r="G495" s="2" t="s">
        <v>269</v>
      </c>
      <c r="H495" s="2" t="s">
        <v>279</v>
      </c>
      <c r="I495" s="2" t="s">
        <v>474</v>
      </c>
      <c r="J495" s="2" t="s">
        <v>73</v>
      </c>
      <c r="K495" s="2" t="s">
        <v>232</v>
      </c>
      <c r="L495" s="2" t="s">
        <v>97</v>
      </c>
      <c r="M495" s="38" t="str">
        <f t="shared" si="18"/>
        <v>24</v>
      </c>
      <c r="N495" s="38" t="str">
        <f t="shared" si="19"/>
        <v>03</v>
      </c>
      <c r="O495" s="50" t="s">
        <v>772</v>
      </c>
      <c r="P495" s="50" t="s">
        <v>772</v>
      </c>
      <c r="Q495" s="50">
        <v>91</v>
      </c>
    </row>
    <row r="496" spans="1:17" ht="16" x14ac:dyDescent="0.45">
      <c r="A496" s="2" t="str">
        <f>IFERROR(VLOOKUP(B496,CODE!$B:$D,3,0),"-")</f>
        <v>네트워크</v>
      </c>
      <c r="B496" s="2" t="str">
        <f>IF(L496="-",VLOOKUP(J496,CODE!$B:$D,2,0),L496)</f>
        <v>애드몹</v>
      </c>
      <c r="C496" s="2" t="s">
        <v>266</v>
      </c>
      <c r="D496" s="2" t="s">
        <v>277</v>
      </c>
      <c r="E496" s="2" t="s">
        <v>278</v>
      </c>
      <c r="F496" s="2" t="s">
        <v>268</v>
      </c>
      <c r="G496" s="2" t="s">
        <v>269</v>
      </c>
      <c r="H496" s="2" t="s">
        <v>279</v>
      </c>
      <c r="I496" s="2" t="s">
        <v>746</v>
      </c>
      <c r="J496" s="2" t="s">
        <v>73</v>
      </c>
      <c r="K496" s="2" t="s">
        <v>232</v>
      </c>
      <c r="L496" s="2" t="s">
        <v>97</v>
      </c>
      <c r="M496" s="38" t="str">
        <f t="shared" si="18"/>
        <v>24</v>
      </c>
      <c r="N496" s="38" t="str">
        <f t="shared" si="19"/>
        <v>02</v>
      </c>
      <c r="O496" s="50" t="s">
        <v>285</v>
      </c>
      <c r="P496" s="50" t="s">
        <v>285</v>
      </c>
      <c r="Q496" s="50">
        <v>91</v>
      </c>
    </row>
    <row r="497" spans="1:17" ht="16" x14ac:dyDescent="0.45">
      <c r="A497" s="2" t="str">
        <f>IFERROR(VLOOKUP(B497,CODE!$B:$D,3,0),"-")</f>
        <v>네트워크</v>
      </c>
      <c r="B497" s="2" t="str">
        <f>IF(L497="-",VLOOKUP(J497,CODE!$B:$D,2,0),L497)</f>
        <v>애드몹</v>
      </c>
      <c r="C497" s="2" t="s">
        <v>266</v>
      </c>
      <c r="D497" s="2" t="s">
        <v>277</v>
      </c>
      <c r="E497" s="2" t="s">
        <v>278</v>
      </c>
      <c r="F497" s="2" t="s">
        <v>268</v>
      </c>
      <c r="G497" s="2" t="s">
        <v>269</v>
      </c>
      <c r="H497" s="2" t="s">
        <v>279</v>
      </c>
      <c r="I497" s="2" t="s">
        <v>747</v>
      </c>
      <c r="J497" s="2" t="s">
        <v>73</v>
      </c>
      <c r="K497" s="2" t="s">
        <v>232</v>
      </c>
      <c r="L497" s="2" t="s">
        <v>97</v>
      </c>
      <c r="M497" s="38" t="str">
        <f t="shared" si="18"/>
        <v>24</v>
      </c>
      <c r="N497" s="38" t="str">
        <f t="shared" si="19"/>
        <v>03</v>
      </c>
      <c r="O497" s="50" t="s">
        <v>788</v>
      </c>
      <c r="P497" s="50" t="s">
        <v>788</v>
      </c>
      <c r="Q497" s="50">
        <v>91</v>
      </c>
    </row>
    <row r="498" spans="1:17" ht="16" x14ac:dyDescent="0.45">
      <c r="A498" s="2" t="str">
        <f>IFERROR(VLOOKUP(B498,CODE!$B:$D,3,0),"-")</f>
        <v>네트워크</v>
      </c>
      <c r="B498" s="2" t="str">
        <f>IF(L498="-",VLOOKUP(J498,CODE!$B:$D,2,0),L498)</f>
        <v>애드몹</v>
      </c>
      <c r="C498" s="2" t="s">
        <v>266</v>
      </c>
      <c r="D498" s="2" t="s">
        <v>277</v>
      </c>
      <c r="E498" s="2" t="s">
        <v>278</v>
      </c>
      <c r="F498" s="2" t="s">
        <v>268</v>
      </c>
      <c r="G498" s="2" t="s">
        <v>269</v>
      </c>
      <c r="H498" s="2" t="s">
        <v>279</v>
      </c>
      <c r="I498" s="2" t="s">
        <v>748</v>
      </c>
      <c r="J498" s="2" t="s">
        <v>73</v>
      </c>
      <c r="K498" s="2" t="s">
        <v>232</v>
      </c>
      <c r="L498" s="2" t="s">
        <v>97</v>
      </c>
      <c r="M498" s="38" t="str">
        <f t="shared" si="18"/>
        <v>24</v>
      </c>
      <c r="N498" s="38" t="str">
        <f t="shared" si="19"/>
        <v>03</v>
      </c>
      <c r="O498" s="50" t="s">
        <v>789</v>
      </c>
      <c r="P498" s="50" t="s">
        <v>789</v>
      </c>
      <c r="Q498" s="50">
        <v>91</v>
      </c>
    </row>
    <row r="499" spans="1:17" ht="16" x14ac:dyDescent="0.45">
      <c r="A499" s="2" t="str">
        <f>IFERROR(VLOOKUP(B499,CODE!$B:$D,3,0),"-")</f>
        <v>네트워크</v>
      </c>
      <c r="B499" s="2" t="str">
        <f>IF(L499="-",VLOOKUP(J499,CODE!$B:$D,2,0),L499)</f>
        <v>카카오광고</v>
      </c>
      <c r="C499" s="2" t="s">
        <v>266</v>
      </c>
      <c r="D499" s="2" t="s">
        <v>955</v>
      </c>
      <c r="E499" s="2" t="s">
        <v>280</v>
      </c>
      <c r="F499" s="2" t="s">
        <v>268</v>
      </c>
      <c r="G499" s="2" t="s">
        <v>269</v>
      </c>
      <c r="H499" s="2" t="s">
        <v>279</v>
      </c>
      <c r="I499" s="2" t="s">
        <v>95</v>
      </c>
      <c r="J499" s="2" t="s">
        <v>1</v>
      </c>
      <c r="K499" s="2" t="s">
        <v>228</v>
      </c>
      <c r="L499" s="2" t="s">
        <v>83</v>
      </c>
      <c r="M499" s="38" t="str">
        <f t="shared" si="18"/>
        <v>24</v>
      </c>
      <c r="N499" s="38" t="str">
        <f t="shared" si="19"/>
        <v>03</v>
      </c>
      <c r="O499" s="50" t="s">
        <v>788</v>
      </c>
      <c r="P499" s="50" t="s">
        <v>286</v>
      </c>
      <c r="Q499" s="50">
        <v>2712</v>
      </c>
    </row>
    <row r="500" spans="1:17" ht="16" x14ac:dyDescent="0.45">
      <c r="A500" s="2" t="str">
        <f>IFERROR(VLOOKUP(B500,CODE!$B:$D,3,0),"-")</f>
        <v>네트워크</v>
      </c>
      <c r="B500" s="2" t="str">
        <f>IF(L500="-",VLOOKUP(J500,CODE!$B:$D,2,0),L500)</f>
        <v>카카오광고</v>
      </c>
      <c r="C500" s="2" t="s">
        <v>266</v>
      </c>
      <c r="D500" s="2" t="s">
        <v>955</v>
      </c>
      <c r="E500" s="2" t="s">
        <v>280</v>
      </c>
      <c r="F500" s="2" t="s">
        <v>268</v>
      </c>
      <c r="G500" s="2" t="s">
        <v>269</v>
      </c>
      <c r="H500" s="2" t="s">
        <v>279</v>
      </c>
      <c r="I500" s="2" t="s">
        <v>95</v>
      </c>
      <c r="J500" s="2" t="s">
        <v>1</v>
      </c>
      <c r="K500" s="2" t="s">
        <v>228</v>
      </c>
      <c r="L500" s="2" t="s">
        <v>83</v>
      </c>
      <c r="M500" s="38" t="str">
        <f t="shared" si="18"/>
        <v>24</v>
      </c>
      <c r="N500" s="38" t="str">
        <f t="shared" si="19"/>
        <v>03</v>
      </c>
      <c r="O500" s="50" t="s">
        <v>770</v>
      </c>
      <c r="P500" s="50" t="s">
        <v>770</v>
      </c>
      <c r="Q500" s="50">
        <v>678</v>
      </c>
    </row>
    <row r="501" spans="1:17" ht="16" x14ac:dyDescent="0.45">
      <c r="A501" s="2" t="str">
        <f>IFERROR(VLOOKUP(B501,CODE!$B:$D,3,0),"-")</f>
        <v>네트워크</v>
      </c>
      <c r="B501" s="2" t="str">
        <f>IF(L501="-",VLOOKUP(J501,CODE!$B:$D,2,0),L501)</f>
        <v>카카오광고</v>
      </c>
      <c r="C501" s="2" t="s">
        <v>266</v>
      </c>
      <c r="D501" s="2" t="s">
        <v>955</v>
      </c>
      <c r="E501" s="2" t="s">
        <v>280</v>
      </c>
      <c r="F501" s="2" t="s">
        <v>268</v>
      </c>
      <c r="G501" s="2" t="s">
        <v>269</v>
      </c>
      <c r="H501" s="2" t="s">
        <v>279</v>
      </c>
      <c r="I501" s="2" t="s">
        <v>95</v>
      </c>
      <c r="J501" s="2" t="s">
        <v>1</v>
      </c>
      <c r="K501" s="2" t="s">
        <v>228</v>
      </c>
      <c r="L501" s="2" t="s">
        <v>83</v>
      </c>
      <c r="M501" s="38" t="str">
        <f t="shared" si="18"/>
        <v>24</v>
      </c>
      <c r="N501" s="38" t="str">
        <f t="shared" si="19"/>
        <v>03</v>
      </c>
      <c r="O501" s="50" t="s">
        <v>756</v>
      </c>
      <c r="P501" s="50" t="s">
        <v>756</v>
      </c>
      <c r="Q501" s="50">
        <v>678</v>
      </c>
    </row>
    <row r="502" spans="1:17" ht="16" x14ac:dyDescent="0.45">
      <c r="A502" s="2" t="str">
        <f>IFERROR(VLOOKUP(B502,CODE!$B:$D,3,0),"-")</f>
        <v>네트워크</v>
      </c>
      <c r="B502" s="2" t="str">
        <f>IF(L502="-",VLOOKUP(J502,CODE!$B:$D,2,0),L502)</f>
        <v>애드몹</v>
      </c>
      <c r="C502" s="2" t="s">
        <v>266</v>
      </c>
      <c r="D502" s="2" t="s">
        <v>955</v>
      </c>
      <c r="E502" s="2" t="s">
        <v>280</v>
      </c>
      <c r="F502" s="2" t="s">
        <v>268</v>
      </c>
      <c r="G502" s="2" t="s">
        <v>269</v>
      </c>
      <c r="H502" s="2" t="s">
        <v>279</v>
      </c>
      <c r="I502" s="2" t="s">
        <v>343</v>
      </c>
      <c r="J502" s="2" t="s">
        <v>7</v>
      </c>
      <c r="K502" s="2" t="s">
        <v>228</v>
      </c>
      <c r="L502" s="2" t="s">
        <v>97</v>
      </c>
      <c r="M502" s="38" t="str">
        <f t="shared" si="18"/>
        <v>24</v>
      </c>
      <c r="N502" s="38" t="str">
        <f t="shared" si="19"/>
        <v>06</v>
      </c>
      <c r="O502" s="50" t="s">
        <v>790</v>
      </c>
      <c r="P502" s="50" t="s">
        <v>790</v>
      </c>
      <c r="Q502" s="50">
        <v>133</v>
      </c>
    </row>
    <row r="503" spans="1:17" ht="16" x14ac:dyDescent="0.45">
      <c r="A503" s="2" t="str">
        <f>IFERROR(VLOOKUP(B503,CODE!$B:$D,3,0),"-")</f>
        <v>네트워크</v>
      </c>
      <c r="B503" s="2" t="str">
        <f>IF(L503="-",VLOOKUP(J503,CODE!$B:$D,2,0),L503)</f>
        <v>애드몹</v>
      </c>
      <c r="C503" s="2" t="s">
        <v>266</v>
      </c>
      <c r="D503" s="2" t="s">
        <v>955</v>
      </c>
      <c r="E503" s="2" t="s">
        <v>280</v>
      </c>
      <c r="F503" s="2" t="s">
        <v>268</v>
      </c>
      <c r="G503" s="2" t="s">
        <v>269</v>
      </c>
      <c r="H503" s="2" t="s">
        <v>279</v>
      </c>
      <c r="I503" s="2" t="s">
        <v>354</v>
      </c>
      <c r="J503" s="2" t="s">
        <v>60</v>
      </c>
      <c r="K503" s="2" t="s">
        <v>228</v>
      </c>
      <c r="L503" s="2" t="s">
        <v>97</v>
      </c>
      <c r="M503" s="38" t="str">
        <f t="shared" si="18"/>
        <v>24</v>
      </c>
      <c r="N503" s="38" t="str">
        <f t="shared" si="19"/>
        <v>06</v>
      </c>
      <c r="O503" s="50" t="s">
        <v>791</v>
      </c>
      <c r="P503" s="50" t="s">
        <v>791</v>
      </c>
      <c r="Q503" s="50">
        <v>133</v>
      </c>
    </row>
    <row r="504" spans="1:17" ht="16" x14ac:dyDescent="0.45">
      <c r="A504" s="2" t="str">
        <f>IFERROR(VLOOKUP(B504,CODE!$B:$D,3,0),"-")</f>
        <v>네트워크</v>
      </c>
      <c r="B504" s="2" t="str">
        <f>IF(L504="-",VLOOKUP(J504,CODE!$B:$D,2,0),L504)</f>
        <v>애드몹</v>
      </c>
      <c r="C504" s="2" t="s">
        <v>266</v>
      </c>
      <c r="D504" s="2" t="s">
        <v>955</v>
      </c>
      <c r="E504" s="2" t="s">
        <v>280</v>
      </c>
      <c r="F504" s="2" t="s">
        <v>268</v>
      </c>
      <c r="G504" s="2" t="s">
        <v>269</v>
      </c>
      <c r="H504" s="2" t="s">
        <v>279</v>
      </c>
      <c r="I504" s="2" t="s">
        <v>452</v>
      </c>
      <c r="J504" s="2" t="s">
        <v>60</v>
      </c>
      <c r="K504" s="2" t="s">
        <v>228</v>
      </c>
      <c r="L504" s="2" t="s">
        <v>97</v>
      </c>
      <c r="M504" s="38" t="str">
        <f t="shared" si="18"/>
        <v>24</v>
      </c>
      <c r="N504" s="38" t="str">
        <f t="shared" si="19"/>
        <v>06</v>
      </c>
      <c r="O504" s="50" t="s">
        <v>791</v>
      </c>
      <c r="P504" s="50" t="s">
        <v>791</v>
      </c>
      <c r="Q504" s="50">
        <v>133</v>
      </c>
    </row>
    <row r="505" spans="1:17" ht="16" x14ac:dyDescent="0.45">
      <c r="A505" s="2" t="str">
        <f>IFERROR(VLOOKUP(B505,CODE!$B:$D,3,0),"-")</f>
        <v>네트워크</v>
      </c>
      <c r="B505" s="2" t="str">
        <f>IF(L505="-",VLOOKUP(J505,CODE!$B:$D,2,0),L505)</f>
        <v>애드몹</v>
      </c>
      <c r="C505" s="2" t="s">
        <v>266</v>
      </c>
      <c r="D505" s="2" t="s">
        <v>955</v>
      </c>
      <c r="E505" s="2" t="s">
        <v>280</v>
      </c>
      <c r="F505" s="2" t="s">
        <v>268</v>
      </c>
      <c r="G505" s="2" t="s">
        <v>269</v>
      </c>
      <c r="H505" s="2" t="s">
        <v>279</v>
      </c>
      <c r="I505" s="2" t="s">
        <v>749</v>
      </c>
      <c r="J505" s="2" t="s">
        <v>7</v>
      </c>
      <c r="K505" s="2" t="s">
        <v>228</v>
      </c>
      <c r="L505" s="2" t="s">
        <v>97</v>
      </c>
      <c r="M505" s="38" t="str">
        <f t="shared" si="18"/>
        <v>24</v>
      </c>
      <c r="N505" s="38" t="str">
        <f t="shared" si="19"/>
        <v>06</v>
      </c>
      <c r="O505" s="50" t="s">
        <v>761</v>
      </c>
      <c r="P505" s="50" t="s">
        <v>761</v>
      </c>
      <c r="Q505" s="50">
        <v>127</v>
      </c>
    </row>
    <row r="506" spans="1:17" ht="16" x14ac:dyDescent="0.45">
      <c r="A506" s="2" t="str">
        <f>IFERROR(VLOOKUP(B506,CODE!$B:$D,3,0),"-")</f>
        <v>네트워크</v>
      </c>
      <c r="B506" s="2" t="str">
        <f>IF(L506="-",VLOOKUP(J506,CODE!$B:$D,2,0),L506)</f>
        <v>애드몹</v>
      </c>
      <c r="C506" s="2" t="s">
        <v>266</v>
      </c>
      <c r="D506" s="2" t="s">
        <v>955</v>
      </c>
      <c r="E506" s="2" t="s">
        <v>280</v>
      </c>
      <c r="F506" s="2" t="s">
        <v>268</v>
      </c>
      <c r="G506" s="2" t="s">
        <v>269</v>
      </c>
      <c r="H506" s="2" t="s">
        <v>279</v>
      </c>
      <c r="I506" s="2" t="s">
        <v>373</v>
      </c>
      <c r="J506" s="2" t="s">
        <v>99</v>
      </c>
      <c r="K506" s="2" t="s">
        <v>228</v>
      </c>
      <c r="L506" s="2" t="s">
        <v>97</v>
      </c>
      <c r="M506" s="38" t="str">
        <f t="shared" si="18"/>
        <v>24</v>
      </c>
      <c r="N506" s="38" t="str">
        <f t="shared" si="19"/>
        <v>06</v>
      </c>
      <c r="O506" s="50" t="s">
        <v>790</v>
      </c>
      <c r="P506" s="50" t="s">
        <v>790</v>
      </c>
      <c r="Q506" s="50">
        <v>133</v>
      </c>
    </row>
    <row r="507" spans="1:17" ht="16" x14ac:dyDescent="0.45">
      <c r="A507" s="2" t="str">
        <f>IFERROR(VLOOKUP(B507,CODE!$B:$D,3,0),"-")</f>
        <v>SNS</v>
      </c>
      <c r="B507" s="2" t="str">
        <f>IF(L507="-",VLOOKUP(J507,CODE!$B:$D,2,0),L507)</f>
        <v>SNS</v>
      </c>
      <c r="C507" s="2" t="s">
        <v>266</v>
      </c>
      <c r="D507" s="2" t="s">
        <v>955</v>
      </c>
      <c r="E507" s="2" t="s">
        <v>280</v>
      </c>
      <c r="F507" s="2" t="s">
        <v>268</v>
      </c>
      <c r="G507" s="2" t="s">
        <v>269</v>
      </c>
      <c r="H507" s="2" t="s">
        <v>279</v>
      </c>
      <c r="I507" s="2" t="s">
        <v>451</v>
      </c>
      <c r="J507" s="2" t="s">
        <v>4</v>
      </c>
      <c r="K507" s="2" t="s">
        <v>232</v>
      </c>
      <c r="L507" s="2" t="s">
        <v>82</v>
      </c>
      <c r="M507" s="38" t="str">
        <f t="shared" ref="M507:M570" si="20">LEFT(O507,2)</f>
        <v>24</v>
      </c>
      <c r="N507" s="38" t="str">
        <f t="shared" ref="N507:N570" si="21">MID(O507,4,2)</f>
        <v>03</v>
      </c>
      <c r="O507" s="50" t="s">
        <v>788</v>
      </c>
      <c r="P507" s="50" t="s">
        <v>772</v>
      </c>
      <c r="Q507" s="50">
        <v>399</v>
      </c>
    </row>
    <row r="508" spans="1:17" ht="16" x14ac:dyDescent="0.45">
      <c r="A508" s="2" t="str">
        <f>IFERROR(VLOOKUP(B508,CODE!$B:$D,3,0),"-")</f>
        <v>SNS</v>
      </c>
      <c r="B508" s="2" t="str">
        <f>IF(L508="-",VLOOKUP(J508,CODE!$B:$D,2,0),L508)</f>
        <v>SNS</v>
      </c>
      <c r="C508" s="2" t="s">
        <v>266</v>
      </c>
      <c r="D508" s="2" t="s">
        <v>955</v>
      </c>
      <c r="E508" s="2" t="s">
        <v>280</v>
      </c>
      <c r="F508" s="2" t="s">
        <v>268</v>
      </c>
      <c r="G508" s="2" t="s">
        <v>269</v>
      </c>
      <c r="H508" s="2" t="s">
        <v>279</v>
      </c>
      <c r="I508" s="2" t="s">
        <v>451</v>
      </c>
      <c r="J508" s="2" t="s">
        <v>4</v>
      </c>
      <c r="K508" s="2" t="s">
        <v>232</v>
      </c>
      <c r="L508" s="2" t="s">
        <v>82</v>
      </c>
      <c r="M508" s="38" t="str">
        <f t="shared" si="20"/>
        <v>24</v>
      </c>
      <c r="N508" s="38" t="str">
        <f t="shared" si="21"/>
        <v>03</v>
      </c>
      <c r="O508" s="50" t="s">
        <v>757</v>
      </c>
      <c r="P508" s="50" t="s">
        <v>757</v>
      </c>
      <c r="Q508" s="50">
        <v>200</v>
      </c>
    </row>
    <row r="509" spans="1:17" ht="16" x14ac:dyDescent="0.45">
      <c r="A509" s="2" t="str">
        <f>IFERROR(VLOOKUP(B509,CODE!$B:$D,3,0),"-")</f>
        <v>SNS</v>
      </c>
      <c r="B509" s="2" t="str">
        <f>IF(L509="-",VLOOKUP(J509,CODE!$B:$D,2,0),L509)</f>
        <v>SNS</v>
      </c>
      <c r="C509" s="2" t="s">
        <v>266</v>
      </c>
      <c r="D509" s="2" t="s">
        <v>955</v>
      </c>
      <c r="E509" s="2" t="s">
        <v>280</v>
      </c>
      <c r="F509" s="2" t="s">
        <v>268</v>
      </c>
      <c r="G509" s="2" t="s">
        <v>269</v>
      </c>
      <c r="H509" s="2" t="s">
        <v>279</v>
      </c>
      <c r="I509" s="2" t="s">
        <v>451</v>
      </c>
      <c r="J509" s="2" t="s">
        <v>4</v>
      </c>
      <c r="K509" s="2" t="s">
        <v>232</v>
      </c>
      <c r="L509" s="2" t="s">
        <v>82</v>
      </c>
      <c r="M509" s="38" t="str">
        <f t="shared" si="20"/>
        <v>24</v>
      </c>
      <c r="N509" s="38" t="str">
        <f t="shared" si="21"/>
        <v>03</v>
      </c>
      <c r="O509" s="50" t="s">
        <v>792</v>
      </c>
      <c r="P509" s="50" t="s">
        <v>288</v>
      </c>
      <c r="Q509" s="50">
        <v>599</v>
      </c>
    </row>
    <row r="510" spans="1:17" ht="16" x14ac:dyDescent="0.45">
      <c r="A510" s="2" t="str">
        <f>IFERROR(VLOOKUP(B510,CODE!$B:$D,3,0),"-")</f>
        <v>포털</v>
      </c>
      <c r="B510" s="2" t="str">
        <f>IF(L510="-",VLOOKUP(J510,CODE!$B:$D,2,0),L510)</f>
        <v>포털</v>
      </c>
      <c r="C510" s="2" t="s">
        <v>266</v>
      </c>
      <c r="D510" s="2" t="s">
        <v>281</v>
      </c>
      <c r="E510" s="2" t="s">
        <v>282</v>
      </c>
      <c r="F510" s="2" t="s">
        <v>268</v>
      </c>
      <c r="G510" s="2" t="s">
        <v>283</v>
      </c>
      <c r="H510" s="2" t="s">
        <v>284</v>
      </c>
      <c r="I510" s="2" t="s">
        <v>229</v>
      </c>
      <c r="J510" s="2" t="s">
        <v>1</v>
      </c>
      <c r="K510" s="2" t="s">
        <v>228</v>
      </c>
      <c r="L510" s="2" t="s">
        <v>82</v>
      </c>
      <c r="M510" s="38" t="str">
        <f t="shared" si="20"/>
        <v>24</v>
      </c>
      <c r="N510" s="38" t="str">
        <f t="shared" si="21"/>
        <v>03</v>
      </c>
      <c r="O510" s="50" t="s">
        <v>793</v>
      </c>
      <c r="P510" s="50" t="s">
        <v>793</v>
      </c>
      <c r="Q510" s="50">
        <v>2193</v>
      </c>
    </row>
    <row r="511" spans="1:17" ht="16" x14ac:dyDescent="0.45">
      <c r="A511" s="2" t="str">
        <f>IFERROR(VLOOKUP(B511,CODE!$B:$D,3,0),"-")</f>
        <v>포털</v>
      </c>
      <c r="B511" s="2" t="str">
        <f>IF(L511="-",VLOOKUP(J511,CODE!$B:$D,2,0),L511)</f>
        <v>포털</v>
      </c>
      <c r="C511" s="2" t="s">
        <v>266</v>
      </c>
      <c r="D511" s="2" t="s">
        <v>281</v>
      </c>
      <c r="E511" s="2" t="s">
        <v>282</v>
      </c>
      <c r="F511" s="2" t="s">
        <v>268</v>
      </c>
      <c r="G511" s="2" t="s">
        <v>283</v>
      </c>
      <c r="H511" s="2" t="s">
        <v>284</v>
      </c>
      <c r="I511" s="2" t="s">
        <v>229</v>
      </c>
      <c r="J511" s="2" t="s">
        <v>1</v>
      </c>
      <c r="K511" s="2" t="s">
        <v>228</v>
      </c>
      <c r="L511" s="2" t="s">
        <v>82</v>
      </c>
      <c r="M511" s="38" t="str">
        <f t="shared" si="20"/>
        <v>24</v>
      </c>
      <c r="N511" s="38" t="str">
        <f t="shared" si="21"/>
        <v>04</v>
      </c>
      <c r="O511" s="50" t="s">
        <v>794</v>
      </c>
      <c r="P511" s="50" t="s">
        <v>794</v>
      </c>
      <c r="Q511" s="50">
        <v>2193</v>
      </c>
    </row>
    <row r="512" spans="1:17" ht="16" x14ac:dyDescent="0.45">
      <c r="A512" s="2" t="str">
        <f>IFERROR(VLOOKUP(B512,CODE!$B:$D,3,0),"-")</f>
        <v>포털</v>
      </c>
      <c r="B512" s="2" t="str">
        <f>IF(L512="-",VLOOKUP(J512,CODE!$B:$D,2,0),L512)</f>
        <v>포털</v>
      </c>
      <c r="C512" s="2" t="s">
        <v>266</v>
      </c>
      <c r="D512" s="2" t="s">
        <v>281</v>
      </c>
      <c r="E512" s="2" t="s">
        <v>282</v>
      </c>
      <c r="F512" s="2" t="s">
        <v>268</v>
      </c>
      <c r="G512" s="2" t="s">
        <v>283</v>
      </c>
      <c r="H512" s="2" t="s">
        <v>284</v>
      </c>
      <c r="I512" s="2" t="s">
        <v>229</v>
      </c>
      <c r="J512" s="2" t="s">
        <v>1</v>
      </c>
      <c r="K512" s="2" t="s">
        <v>228</v>
      </c>
      <c r="L512" s="2" t="s">
        <v>82</v>
      </c>
      <c r="M512" s="38" t="str">
        <f t="shared" si="20"/>
        <v>24</v>
      </c>
      <c r="N512" s="38" t="str">
        <f t="shared" si="21"/>
        <v>05</v>
      </c>
      <c r="O512" s="50" t="s">
        <v>795</v>
      </c>
      <c r="P512" s="50" t="s">
        <v>796</v>
      </c>
      <c r="Q512" s="50">
        <v>9904</v>
      </c>
    </row>
    <row r="513" spans="1:17" ht="16" x14ac:dyDescent="0.45">
      <c r="A513" s="2" t="str">
        <f>IFERROR(VLOOKUP(B513,CODE!$B:$D,3,0),"-")</f>
        <v>포털</v>
      </c>
      <c r="B513" s="2" t="str">
        <f>IF(L513="-",VLOOKUP(J513,CODE!$B:$D,2,0),L513)</f>
        <v>포털</v>
      </c>
      <c r="C513" s="2" t="s">
        <v>266</v>
      </c>
      <c r="D513" s="2" t="s">
        <v>281</v>
      </c>
      <c r="E513" s="2" t="s">
        <v>282</v>
      </c>
      <c r="F513" s="2" t="s">
        <v>268</v>
      </c>
      <c r="G513" s="2" t="s">
        <v>283</v>
      </c>
      <c r="H513" s="2" t="s">
        <v>284</v>
      </c>
      <c r="I513" s="2" t="s">
        <v>229</v>
      </c>
      <c r="J513" s="2" t="s">
        <v>1</v>
      </c>
      <c r="K513" s="2" t="s">
        <v>228</v>
      </c>
      <c r="L513" s="2" t="s">
        <v>82</v>
      </c>
      <c r="M513" s="38" t="str">
        <f t="shared" si="20"/>
        <v>24</v>
      </c>
      <c r="N513" s="38" t="str">
        <f t="shared" si="21"/>
        <v>05</v>
      </c>
      <c r="O513" s="50" t="s">
        <v>797</v>
      </c>
      <c r="P513" s="50" t="s">
        <v>798</v>
      </c>
      <c r="Q513" s="50">
        <v>11885</v>
      </c>
    </row>
    <row r="514" spans="1:17" ht="16" x14ac:dyDescent="0.45">
      <c r="A514" s="2" t="str">
        <f>IFERROR(VLOOKUP(B514,CODE!$B:$D,3,0),"-")</f>
        <v>포털</v>
      </c>
      <c r="B514" s="2" t="str">
        <f>IF(L514="-",VLOOKUP(J514,CODE!$B:$D,2,0),L514)</f>
        <v>포털</v>
      </c>
      <c r="C514" s="2" t="s">
        <v>266</v>
      </c>
      <c r="D514" s="2" t="s">
        <v>281</v>
      </c>
      <c r="E514" s="2" t="s">
        <v>282</v>
      </c>
      <c r="F514" s="2" t="s">
        <v>268</v>
      </c>
      <c r="G514" s="2" t="s">
        <v>283</v>
      </c>
      <c r="H514" s="2" t="s">
        <v>284</v>
      </c>
      <c r="I514" s="2" t="s">
        <v>229</v>
      </c>
      <c r="J514" s="2" t="s">
        <v>1</v>
      </c>
      <c r="K514" s="2" t="s">
        <v>228</v>
      </c>
      <c r="L514" s="2" t="s">
        <v>82</v>
      </c>
      <c r="M514" s="38" t="str">
        <f t="shared" si="20"/>
        <v>24</v>
      </c>
      <c r="N514" s="38" t="str">
        <f t="shared" si="21"/>
        <v>05</v>
      </c>
      <c r="O514" s="50" t="s">
        <v>799</v>
      </c>
      <c r="P514" s="50" t="s">
        <v>800</v>
      </c>
      <c r="Q514" s="50">
        <v>13866</v>
      </c>
    </row>
    <row r="515" spans="1:17" ht="16" x14ac:dyDescent="0.45">
      <c r="A515" s="2" t="str">
        <f>IFERROR(VLOOKUP(B515,CODE!$B:$D,3,0),"-")</f>
        <v>포털</v>
      </c>
      <c r="B515" s="2" t="str">
        <f>IF(L515="-",VLOOKUP(J515,CODE!$B:$D,2,0),L515)</f>
        <v>포털</v>
      </c>
      <c r="C515" s="2" t="s">
        <v>266</v>
      </c>
      <c r="D515" s="2" t="s">
        <v>281</v>
      </c>
      <c r="E515" s="2" t="s">
        <v>282</v>
      </c>
      <c r="F515" s="2" t="s">
        <v>268</v>
      </c>
      <c r="G515" s="2" t="s">
        <v>283</v>
      </c>
      <c r="H515" s="2" t="s">
        <v>284</v>
      </c>
      <c r="I515" s="2" t="s">
        <v>229</v>
      </c>
      <c r="J515" s="2" t="s">
        <v>1</v>
      </c>
      <c r="K515" s="2" t="s">
        <v>228</v>
      </c>
      <c r="L515" s="2" t="s">
        <v>82</v>
      </c>
      <c r="M515" s="38" t="str">
        <f t="shared" si="20"/>
        <v>24</v>
      </c>
      <c r="N515" s="38" t="str">
        <f t="shared" si="21"/>
        <v>05</v>
      </c>
      <c r="O515" s="50" t="s">
        <v>801</v>
      </c>
      <c r="P515" s="50" t="s">
        <v>800</v>
      </c>
      <c r="Q515" s="50">
        <v>9904</v>
      </c>
    </row>
    <row r="516" spans="1:17" ht="16" x14ac:dyDescent="0.45">
      <c r="A516" s="2" t="str">
        <f>IFERROR(VLOOKUP(B516,CODE!$B:$D,3,0),"-")</f>
        <v>포털</v>
      </c>
      <c r="B516" s="2" t="str">
        <f>IF(L516="-",VLOOKUP(J516,CODE!$B:$D,2,0),L516)</f>
        <v>포털</v>
      </c>
      <c r="C516" s="2" t="s">
        <v>266</v>
      </c>
      <c r="D516" s="2" t="s">
        <v>281</v>
      </c>
      <c r="E516" s="2" t="s">
        <v>282</v>
      </c>
      <c r="F516" s="2" t="s">
        <v>268</v>
      </c>
      <c r="G516" s="2" t="s">
        <v>283</v>
      </c>
      <c r="H516" s="2" t="s">
        <v>284</v>
      </c>
      <c r="I516" s="2" t="s">
        <v>229</v>
      </c>
      <c r="J516" s="2" t="s">
        <v>1</v>
      </c>
      <c r="K516" s="2" t="s">
        <v>228</v>
      </c>
      <c r="L516" s="2" t="s">
        <v>82</v>
      </c>
      <c r="M516" s="38" t="str">
        <f t="shared" si="20"/>
        <v>24</v>
      </c>
      <c r="N516" s="38" t="str">
        <f t="shared" si="21"/>
        <v>05</v>
      </c>
      <c r="O516" s="50" t="s">
        <v>802</v>
      </c>
      <c r="P516" s="50" t="s">
        <v>287</v>
      </c>
      <c r="Q516" s="50">
        <v>5943</v>
      </c>
    </row>
    <row r="517" spans="1:17" ht="16" x14ac:dyDescent="0.45">
      <c r="A517" s="2" t="str">
        <f>IFERROR(VLOOKUP(B517,CODE!$B:$D,3,0),"-")</f>
        <v>포털</v>
      </c>
      <c r="B517" s="2" t="str">
        <f>IF(L517="-",VLOOKUP(J517,CODE!$B:$D,2,0),L517)</f>
        <v>포털</v>
      </c>
      <c r="C517" s="2" t="s">
        <v>266</v>
      </c>
      <c r="D517" s="2" t="s">
        <v>281</v>
      </c>
      <c r="E517" s="2" t="s">
        <v>282</v>
      </c>
      <c r="F517" s="2" t="s">
        <v>268</v>
      </c>
      <c r="G517" s="2" t="s">
        <v>283</v>
      </c>
      <c r="H517" s="2" t="s">
        <v>284</v>
      </c>
      <c r="I517" s="2" t="s">
        <v>229</v>
      </c>
      <c r="J517" s="2" t="s">
        <v>1</v>
      </c>
      <c r="K517" s="2" t="s">
        <v>228</v>
      </c>
      <c r="L517" s="2" t="s">
        <v>82</v>
      </c>
      <c r="M517" s="38" t="str">
        <f t="shared" si="20"/>
        <v>24</v>
      </c>
      <c r="N517" s="38" t="str">
        <f t="shared" si="21"/>
        <v>05</v>
      </c>
      <c r="O517" s="50" t="s">
        <v>803</v>
      </c>
      <c r="P517" s="50" t="s">
        <v>287</v>
      </c>
      <c r="Q517" s="50">
        <v>3962</v>
      </c>
    </row>
    <row r="518" spans="1:17" ht="16" x14ac:dyDescent="0.45">
      <c r="A518" s="2" t="str">
        <f>IFERROR(VLOOKUP(B518,CODE!$B:$D,3,0),"-")</f>
        <v>포털</v>
      </c>
      <c r="B518" s="2" t="str">
        <f>IF(L518="-",VLOOKUP(J518,CODE!$B:$D,2,0),L518)</f>
        <v>포털</v>
      </c>
      <c r="C518" s="2" t="s">
        <v>266</v>
      </c>
      <c r="D518" s="2" t="s">
        <v>281</v>
      </c>
      <c r="E518" s="2" t="s">
        <v>282</v>
      </c>
      <c r="F518" s="2" t="s">
        <v>268</v>
      </c>
      <c r="G518" s="2" t="s">
        <v>283</v>
      </c>
      <c r="H518" s="2" t="s">
        <v>284</v>
      </c>
      <c r="I518" s="2" t="s">
        <v>229</v>
      </c>
      <c r="J518" s="2" t="s">
        <v>1</v>
      </c>
      <c r="K518" s="2" t="s">
        <v>228</v>
      </c>
      <c r="L518" s="2" t="s">
        <v>82</v>
      </c>
      <c r="M518" s="38" t="str">
        <f t="shared" si="20"/>
        <v>24</v>
      </c>
      <c r="N518" s="38" t="str">
        <f t="shared" si="21"/>
        <v>05</v>
      </c>
      <c r="O518" s="50" t="s">
        <v>804</v>
      </c>
      <c r="P518" s="50" t="s">
        <v>804</v>
      </c>
      <c r="Q518" s="50">
        <v>1981</v>
      </c>
    </row>
    <row r="519" spans="1:17" ht="16" x14ac:dyDescent="0.45">
      <c r="A519" s="2" t="str">
        <f>IFERROR(VLOOKUP(B519,CODE!$B:$D,3,0),"-")</f>
        <v>네트워크</v>
      </c>
      <c r="B519" s="2" t="str">
        <f>IF(L519="-",VLOOKUP(J519,CODE!$B:$D,2,0),L519)</f>
        <v>카카오광고</v>
      </c>
      <c r="C519" s="2" t="s">
        <v>266</v>
      </c>
      <c r="D519" s="2" t="s">
        <v>281</v>
      </c>
      <c r="E519" s="2" t="s">
        <v>282</v>
      </c>
      <c r="F519" s="2" t="s">
        <v>268</v>
      </c>
      <c r="G519" s="2" t="s">
        <v>283</v>
      </c>
      <c r="H519" s="2" t="s">
        <v>284</v>
      </c>
      <c r="I519" s="2" t="s">
        <v>231</v>
      </c>
      <c r="J519" s="2" t="s">
        <v>76</v>
      </c>
      <c r="K519" s="2" t="s">
        <v>232</v>
      </c>
      <c r="L519" s="2" t="s">
        <v>83</v>
      </c>
      <c r="M519" s="38" t="str">
        <f t="shared" si="20"/>
        <v>24</v>
      </c>
      <c r="N519" s="38" t="str">
        <f t="shared" si="21"/>
        <v>01</v>
      </c>
      <c r="O519" s="50" t="s">
        <v>805</v>
      </c>
      <c r="P519" s="50" t="s">
        <v>805</v>
      </c>
      <c r="Q519" s="50">
        <v>5843</v>
      </c>
    </row>
    <row r="520" spans="1:17" ht="16" x14ac:dyDescent="0.45">
      <c r="A520" s="2" t="str">
        <f>IFERROR(VLOOKUP(B520,CODE!$B:$D,3,0),"-")</f>
        <v>네트워크</v>
      </c>
      <c r="B520" s="2" t="str">
        <f>IF(L520="-",VLOOKUP(J520,CODE!$B:$D,2,0),L520)</f>
        <v>카카오광고</v>
      </c>
      <c r="C520" s="2" t="s">
        <v>266</v>
      </c>
      <c r="D520" s="2" t="s">
        <v>281</v>
      </c>
      <c r="E520" s="2" t="s">
        <v>282</v>
      </c>
      <c r="F520" s="2" t="s">
        <v>268</v>
      </c>
      <c r="G520" s="2" t="s">
        <v>283</v>
      </c>
      <c r="H520" s="2" t="s">
        <v>284</v>
      </c>
      <c r="I520" s="2" t="s">
        <v>231</v>
      </c>
      <c r="J520" s="2" t="s">
        <v>76</v>
      </c>
      <c r="K520" s="2" t="s">
        <v>232</v>
      </c>
      <c r="L520" s="2" t="s">
        <v>83</v>
      </c>
      <c r="M520" s="38" t="str">
        <f t="shared" si="20"/>
        <v>24</v>
      </c>
      <c r="N520" s="38" t="str">
        <f t="shared" si="21"/>
        <v>02</v>
      </c>
      <c r="O520" s="50" t="s">
        <v>764</v>
      </c>
      <c r="P520" s="50" t="s">
        <v>764</v>
      </c>
      <c r="Q520" s="50">
        <v>6516</v>
      </c>
    </row>
    <row r="521" spans="1:17" ht="16" x14ac:dyDescent="0.45">
      <c r="A521" s="2" t="str">
        <f>IFERROR(VLOOKUP(B521,CODE!$B:$D,3,0),"-")</f>
        <v>네트워크</v>
      </c>
      <c r="B521" s="2" t="str">
        <f>IF(L521="-",VLOOKUP(J521,CODE!$B:$D,2,0),L521)</f>
        <v>카카오광고</v>
      </c>
      <c r="C521" s="2" t="s">
        <v>266</v>
      </c>
      <c r="D521" s="2" t="s">
        <v>281</v>
      </c>
      <c r="E521" s="2" t="s">
        <v>282</v>
      </c>
      <c r="F521" s="2" t="s">
        <v>268</v>
      </c>
      <c r="G521" s="2" t="s">
        <v>283</v>
      </c>
      <c r="H521" s="2" t="s">
        <v>284</v>
      </c>
      <c r="I521" s="2" t="s">
        <v>231</v>
      </c>
      <c r="J521" s="2" t="s">
        <v>76</v>
      </c>
      <c r="K521" s="2" t="s">
        <v>232</v>
      </c>
      <c r="L521" s="2" t="s">
        <v>83</v>
      </c>
      <c r="M521" s="38" t="str">
        <f t="shared" si="20"/>
        <v>24</v>
      </c>
      <c r="N521" s="38" t="str">
        <f t="shared" si="21"/>
        <v>05</v>
      </c>
      <c r="O521" s="50" t="s">
        <v>797</v>
      </c>
      <c r="P521" s="50" t="s">
        <v>798</v>
      </c>
      <c r="Q521" s="50">
        <v>39096</v>
      </c>
    </row>
    <row r="522" spans="1:17" ht="16" x14ac:dyDescent="0.45">
      <c r="A522" s="2" t="str">
        <f>IFERROR(VLOOKUP(B522,CODE!$B:$D,3,0),"-")</f>
        <v>네트워크</v>
      </c>
      <c r="B522" s="2" t="str">
        <f>IF(L522="-",VLOOKUP(J522,CODE!$B:$D,2,0),L522)</f>
        <v>카카오광고</v>
      </c>
      <c r="C522" s="2" t="s">
        <v>266</v>
      </c>
      <c r="D522" s="2" t="s">
        <v>281</v>
      </c>
      <c r="E522" s="2" t="s">
        <v>282</v>
      </c>
      <c r="F522" s="2" t="s">
        <v>268</v>
      </c>
      <c r="G522" s="2" t="s">
        <v>283</v>
      </c>
      <c r="H522" s="2" t="s">
        <v>284</v>
      </c>
      <c r="I522" s="2" t="s">
        <v>231</v>
      </c>
      <c r="J522" s="2" t="s">
        <v>76</v>
      </c>
      <c r="K522" s="2" t="s">
        <v>232</v>
      </c>
      <c r="L522" s="2" t="s">
        <v>83</v>
      </c>
      <c r="M522" s="38" t="str">
        <f t="shared" si="20"/>
        <v>24</v>
      </c>
      <c r="N522" s="38" t="str">
        <f t="shared" si="21"/>
        <v>05</v>
      </c>
      <c r="O522" s="50" t="s">
        <v>806</v>
      </c>
      <c r="P522" s="50" t="s">
        <v>806</v>
      </c>
      <c r="Q522" s="50">
        <v>6516</v>
      </c>
    </row>
    <row r="523" spans="1:17" ht="16" x14ac:dyDescent="0.45">
      <c r="A523" s="2" t="str">
        <f>IFERROR(VLOOKUP(B523,CODE!$B:$D,3,0),"-")</f>
        <v>네트워크</v>
      </c>
      <c r="B523" s="2" t="str">
        <f>IF(L523="-",VLOOKUP(J523,CODE!$B:$D,2,0),L523)</f>
        <v>카카오광고</v>
      </c>
      <c r="C523" s="2" t="s">
        <v>266</v>
      </c>
      <c r="D523" s="2" t="s">
        <v>281</v>
      </c>
      <c r="E523" s="2" t="s">
        <v>282</v>
      </c>
      <c r="F523" s="2" t="s">
        <v>268</v>
      </c>
      <c r="G523" s="2" t="s">
        <v>283</v>
      </c>
      <c r="H523" s="2" t="s">
        <v>284</v>
      </c>
      <c r="I523" s="2" t="s">
        <v>231</v>
      </c>
      <c r="J523" s="2" t="s">
        <v>76</v>
      </c>
      <c r="K523" s="2" t="s">
        <v>232</v>
      </c>
      <c r="L523" s="2" t="s">
        <v>83</v>
      </c>
      <c r="M523" s="38" t="str">
        <f t="shared" si="20"/>
        <v>24</v>
      </c>
      <c r="N523" s="38" t="str">
        <f t="shared" si="21"/>
        <v>05</v>
      </c>
      <c r="O523" s="50" t="s">
        <v>768</v>
      </c>
      <c r="P523" s="50" t="s">
        <v>768</v>
      </c>
      <c r="Q523" s="50">
        <v>6516</v>
      </c>
    </row>
    <row r="524" spans="1:17" ht="16" x14ac:dyDescent="0.45">
      <c r="A524" s="2" t="str">
        <f>IFERROR(VLOOKUP(B524,CODE!$B:$D,3,0),"-")</f>
        <v>네트워크</v>
      </c>
      <c r="B524" s="2" t="str">
        <f>IF(L524="-",VLOOKUP(J524,CODE!$B:$D,2,0),L524)</f>
        <v>카카오광고</v>
      </c>
      <c r="C524" s="2" t="s">
        <v>266</v>
      </c>
      <c r="D524" s="2" t="s">
        <v>281</v>
      </c>
      <c r="E524" s="2" t="s">
        <v>282</v>
      </c>
      <c r="F524" s="2" t="s">
        <v>268</v>
      </c>
      <c r="G524" s="2" t="s">
        <v>283</v>
      </c>
      <c r="H524" s="2" t="s">
        <v>284</v>
      </c>
      <c r="I524" s="2" t="s">
        <v>231</v>
      </c>
      <c r="J524" s="2" t="s">
        <v>76</v>
      </c>
      <c r="K524" s="2" t="s">
        <v>232</v>
      </c>
      <c r="L524" s="2" t="s">
        <v>83</v>
      </c>
      <c r="M524" s="38" t="str">
        <f t="shared" si="20"/>
        <v>24</v>
      </c>
      <c r="N524" s="38" t="str">
        <f t="shared" si="21"/>
        <v>05</v>
      </c>
      <c r="O524" s="50" t="s">
        <v>807</v>
      </c>
      <c r="P524" s="50" t="s">
        <v>807</v>
      </c>
      <c r="Q524" s="50">
        <v>6516</v>
      </c>
    </row>
    <row r="525" spans="1:17" ht="16" x14ac:dyDescent="0.45">
      <c r="A525" s="2" t="str">
        <f>IFERROR(VLOOKUP(B525,CODE!$B:$D,3,0),"-")</f>
        <v>네트워크</v>
      </c>
      <c r="B525" s="2" t="str">
        <f>IF(L525="-",VLOOKUP(J525,CODE!$B:$D,2,0),L525)</f>
        <v>카카오광고</v>
      </c>
      <c r="C525" s="2" t="s">
        <v>266</v>
      </c>
      <c r="D525" s="2" t="s">
        <v>281</v>
      </c>
      <c r="E525" s="2" t="s">
        <v>282</v>
      </c>
      <c r="F525" s="2" t="s">
        <v>268</v>
      </c>
      <c r="G525" s="2" t="s">
        <v>283</v>
      </c>
      <c r="H525" s="2" t="s">
        <v>284</v>
      </c>
      <c r="I525" s="2" t="s">
        <v>231</v>
      </c>
      <c r="J525" s="2" t="s">
        <v>76</v>
      </c>
      <c r="K525" s="2" t="s">
        <v>232</v>
      </c>
      <c r="L525" s="2" t="s">
        <v>83</v>
      </c>
      <c r="M525" s="38" t="str">
        <f t="shared" si="20"/>
        <v>24</v>
      </c>
      <c r="N525" s="38" t="str">
        <f t="shared" si="21"/>
        <v>05</v>
      </c>
      <c r="O525" s="50" t="s">
        <v>751</v>
      </c>
      <c r="P525" s="50" t="s">
        <v>800</v>
      </c>
      <c r="Q525" s="50">
        <v>13032</v>
      </c>
    </row>
    <row r="526" spans="1:17" ht="16" x14ac:dyDescent="0.45">
      <c r="A526" s="2" t="str">
        <f>IFERROR(VLOOKUP(B526,CODE!$B:$D,3,0),"-")</f>
        <v>네트워크</v>
      </c>
      <c r="B526" s="2" t="str">
        <f>IF(L526="-",VLOOKUP(J526,CODE!$B:$D,2,0),L526)</f>
        <v>카카오광고</v>
      </c>
      <c r="C526" s="2" t="s">
        <v>266</v>
      </c>
      <c r="D526" s="2" t="s">
        <v>281</v>
      </c>
      <c r="E526" s="2" t="s">
        <v>282</v>
      </c>
      <c r="F526" s="2" t="s">
        <v>268</v>
      </c>
      <c r="G526" s="2" t="s">
        <v>283</v>
      </c>
      <c r="H526" s="2" t="s">
        <v>284</v>
      </c>
      <c r="I526" s="2" t="s">
        <v>231</v>
      </c>
      <c r="J526" s="2" t="s">
        <v>76</v>
      </c>
      <c r="K526" s="2" t="s">
        <v>232</v>
      </c>
      <c r="L526" s="2" t="s">
        <v>83</v>
      </c>
      <c r="M526" s="38" t="str">
        <f t="shared" si="20"/>
        <v>24</v>
      </c>
      <c r="N526" s="38" t="str">
        <f t="shared" si="21"/>
        <v>05</v>
      </c>
      <c r="O526" s="50" t="s">
        <v>802</v>
      </c>
      <c r="P526" s="50" t="s">
        <v>808</v>
      </c>
      <c r="Q526" s="50">
        <v>39096</v>
      </c>
    </row>
    <row r="527" spans="1:17" ht="16" x14ac:dyDescent="0.45">
      <c r="A527" s="2" t="str">
        <f>IFERROR(VLOOKUP(B527,CODE!$B:$D,3,0),"-")</f>
        <v>네트워크</v>
      </c>
      <c r="B527" s="2" t="str">
        <f>IF(L527="-",VLOOKUP(J527,CODE!$B:$D,2,0),L527)</f>
        <v>카카오광고</v>
      </c>
      <c r="C527" s="2" t="s">
        <v>266</v>
      </c>
      <c r="D527" s="2" t="s">
        <v>281</v>
      </c>
      <c r="E527" s="2" t="s">
        <v>282</v>
      </c>
      <c r="F527" s="2" t="s">
        <v>268</v>
      </c>
      <c r="G527" s="2" t="s">
        <v>283</v>
      </c>
      <c r="H527" s="2" t="s">
        <v>284</v>
      </c>
      <c r="I527" s="2" t="s">
        <v>231</v>
      </c>
      <c r="J527" s="2" t="s">
        <v>76</v>
      </c>
      <c r="K527" s="2" t="s">
        <v>232</v>
      </c>
      <c r="L527" s="2" t="s">
        <v>83</v>
      </c>
      <c r="M527" s="38" t="str">
        <f t="shared" si="20"/>
        <v>24</v>
      </c>
      <c r="N527" s="38" t="str">
        <f t="shared" si="21"/>
        <v>05</v>
      </c>
      <c r="O527" s="50" t="s">
        <v>803</v>
      </c>
      <c r="P527" s="50" t="s">
        <v>752</v>
      </c>
      <c r="Q527" s="50">
        <v>39096</v>
      </c>
    </row>
    <row r="528" spans="1:17" ht="16" x14ac:dyDescent="0.45">
      <c r="A528" s="2" t="str">
        <f>IFERROR(VLOOKUP(B528,CODE!$B:$D,3,0),"-")</f>
        <v>네트워크</v>
      </c>
      <c r="B528" s="2" t="str">
        <f>IF(L528="-",VLOOKUP(J528,CODE!$B:$D,2,0),L528)</f>
        <v>카카오광고</v>
      </c>
      <c r="C528" s="2" t="s">
        <v>266</v>
      </c>
      <c r="D528" s="2" t="s">
        <v>281</v>
      </c>
      <c r="E528" s="2" t="s">
        <v>282</v>
      </c>
      <c r="F528" s="2" t="s">
        <v>268</v>
      </c>
      <c r="G528" s="2" t="s">
        <v>283</v>
      </c>
      <c r="H528" s="2" t="s">
        <v>284</v>
      </c>
      <c r="I528" s="2" t="s">
        <v>231</v>
      </c>
      <c r="J528" s="2" t="s">
        <v>76</v>
      </c>
      <c r="K528" s="2" t="s">
        <v>232</v>
      </c>
      <c r="L528" s="2" t="s">
        <v>83</v>
      </c>
      <c r="M528" s="38" t="str">
        <f t="shared" si="20"/>
        <v>24</v>
      </c>
      <c r="N528" s="38" t="str">
        <f t="shared" si="21"/>
        <v>05</v>
      </c>
      <c r="O528" s="50" t="s">
        <v>809</v>
      </c>
      <c r="P528" s="50" t="s">
        <v>809</v>
      </c>
      <c r="Q528" s="50">
        <v>6516</v>
      </c>
    </row>
    <row r="529" spans="1:17" ht="16" x14ac:dyDescent="0.45">
      <c r="A529" s="2" t="str">
        <f>IFERROR(VLOOKUP(B529,CODE!$B:$D,3,0),"-")</f>
        <v>네트워크</v>
      </c>
      <c r="B529" s="2" t="str">
        <f>IF(L529="-",VLOOKUP(J529,CODE!$B:$D,2,0),L529)</f>
        <v>카카오광고</v>
      </c>
      <c r="C529" s="2" t="s">
        <v>266</v>
      </c>
      <c r="D529" s="2" t="s">
        <v>281</v>
      </c>
      <c r="E529" s="2" t="s">
        <v>282</v>
      </c>
      <c r="F529" s="2" t="s">
        <v>268</v>
      </c>
      <c r="G529" s="2" t="s">
        <v>283</v>
      </c>
      <c r="H529" s="2" t="s">
        <v>284</v>
      </c>
      <c r="I529" s="2" t="s">
        <v>231</v>
      </c>
      <c r="J529" s="2" t="s">
        <v>76</v>
      </c>
      <c r="K529" s="2" t="s">
        <v>232</v>
      </c>
      <c r="L529" s="2" t="s">
        <v>83</v>
      </c>
      <c r="M529" s="38" t="str">
        <f t="shared" si="20"/>
        <v>24</v>
      </c>
      <c r="N529" s="38" t="str">
        <f t="shared" si="21"/>
        <v>05</v>
      </c>
      <c r="O529" s="50" t="s">
        <v>810</v>
      </c>
      <c r="P529" s="50" t="s">
        <v>810</v>
      </c>
      <c r="Q529" s="50">
        <v>6516</v>
      </c>
    </row>
    <row r="530" spans="1:17" ht="16" x14ac:dyDescent="0.45">
      <c r="A530" s="2" t="str">
        <f>IFERROR(VLOOKUP(B530,CODE!$B:$D,3,0),"-")</f>
        <v>네트워크</v>
      </c>
      <c r="B530" s="2" t="str">
        <f>IF(L530="-",VLOOKUP(J530,CODE!$B:$D,2,0),L530)</f>
        <v>카카오광고</v>
      </c>
      <c r="C530" s="2" t="s">
        <v>266</v>
      </c>
      <c r="D530" s="2" t="s">
        <v>281</v>
      </c>
      <c r="E530" s="2" t="s">
        <v>282</v>
      </c>
      <c r="F530" s="2" t="s">
        <v>268</v>
      </c>
      <c r="G530" s="2" t="s">
        <v>283</v>
      </c>
      <c r="H530" s="2" t="s">
        <v>284</v>
      </c>
      <c r="I530" s="2" t="s">
        <v>231</v>
      </c>
      <c r="J530" s="2" t="s">
        <v>76</v>
      </c>
      <c r="K530" s="2" t="s">
        <v>232</v>
      </c>
      <c r="L530" s="2" t="s">
        <v>83</v>
      </c>
      <c r="M530" s="38" t="str">
        <f t="shared" si="20"/>
        <v>24</v>
      </c>
      <c r="N530" s="38" t="str">
        <f t="shared" si="21"/>
        <v>05</v>
      </c>
      <c r="O530" s="50" t="s">
        <v>811</v>
      </c>
      <c r="P530" s="50" t="s">
        <v>811</v>
      </c>
      <c r="Q530" s="50">
        <v>6516</v>
      </c>
    </row>
    <row r="531" spans="1:17" ht="16" x14ac:dyDescent="0.45">
      <c r="A531" s="2" t="str">
        <f>IFERROR(VLOOKUP(B531,CODE!$B:$D,3,0),"-")</f>
        <v>네트워크</v>
      </c>
      <c r="B531" s="2" t="str">
        <f>IF(L531="-",VLOOKUP(J531,CODE!$B:$D,2,0),L531)</f>
        <v>카카오광고</v>
      </c>
      <c r="C531" s="2" t="s">
        <v>266</v>
      </c>
      <c r="D531" s="2" t="s">
        <v>281</v>
      </c>
      <c r="E531" s="2" t="s">
        <v>282</v>
      </c>
      <c r="F531" s="2" t="s">
        <v>268</v>
      </c>
      <c r="G531" s="2" t="s">
        <v>283</v>
      </c>
      <c r="H531" s="2" t="s">
        <v>284</v>
      </c>
      <c r="I531" s="2" t="s">
        <v>231</v>
      </c>
      <c r="J531" s="2" t="s">
        <v>76</v>
      </c>
      <c r="K531" s="2" t="s">
        <v>232</v>
      </c>
      <c r="L531" s="2" t="s">
        <v>83</v>
      </c>
      <c r="M531" s="38" t="str">
        <f t="shared" si="20"/>
        <v>24</v>
      </c>
      <c r="N531" s="38" t="str">
        <f t="shared" si="21"/>
        <v>05</v>
      </c>
      <c r="O531" s="50" t="s">
        <v>812</v>
      </c>
      <c r="P531" s="50" t="s">
        <v>812</v>
      </c>
      <c r="Q531" s="50">
        <v>6516</v>
      </c>
    </row>
    <row r="532" spans="1:17" ht="16" x14ac:dyDescent="0.45">
      <c r="A532" s="2" t="str">
        <f>IFERROR(VLOOKUP(B532,CODE!$B:$D,3,0),"-")</f>
        <v>네트워크</v>
      </c>
      <c r="B532" s="2" t="str">
        <f>IF(L532="-",VLOOKUP(J532,CODE!$B:$D,2,0),L532)</f>
        <v>카카오광고</v>
      </c>
      <c r="C532" s="2" t="s">
        <v>266</v>
      </c>
      <c r="D532" s="2" t="s">
        <v>281</v>
      </c>
      <c r="E532" s="2" t="s">
        <v>282</v>
      </c>
      <c r="F532" s="2" t="s">
        <v>268</v>
      </c>
      <c r="G532" s="2" t="s">
        <v>283</v>
      </c>
      <c r="H532" s="2" t="s">
        <v>284</v>
      </c>
      <c r="I532" s="2" t="s">
        <v>231</v>
      </c>
      <c r="J532" s="2" t="s">
        <v>76</v>
      </c>
      <c r="K532" s="2" t="s">
        <v>232</v>
      </c>
      <c r="L532" s="2" t="s">
        <v>83</v>
      </c>
      <c r="M532" s="38" t="str">
        <f t="shared" si="20"/>
        <v>24</v>
      </c>
      <c r="N532" s="38" t="str">
        <f t="shared" si="21"/>
        <v>06</v>
      </c>
      <c r="O532" s="50" t="s">
        <v>813</v>
      </c>
      <c r="P532" s="50" t="s">
        <v>813</v>
      </c>
      <c r="Q532" s="50">
        <v>6516</v>
      </c>
    </row>
    <row r="533" spans="1:17" ht="16" x14ac:dyDescent="0.45">
      <c r="A533" s="2" t="str">
        <f>IFERROR(VLOOKUP(B533,CODE!$B:$D,3,0),"-")</f>
        <v>네트워크</v>
      </c>
      <c r="B533" s="2" t="str">
        <f>IF(L533="-",VLOOKUP(J533,CODE!$B:$D,2,0),L533)</f>
        <v>카카오광고</v>
      </c>
      <c r="C533" s="2" t="s">
        <v>266</v>
      </c>
      <c r="D533" s="2" t="s">
        <v>281</v>
      </c>
      <c r="E533" s="2" t="s">
        <v>282</v>
      </c>
      <c r="F533" s="2" t="s">
        <v>268</v>
      </c>
      <c r="G533" s="2" t="s">
        <v>283</v>
      </c>
      <c r="H533" s="2" t="s">
        <v>284</v>
      </c>
      <c r="I533" s="2" t="s">
        <v>231</v>
      </c>
      <c r="J533" s="2" t="s">
        <v>76</v>
      </c>
      <c r="K533" s="2" t="s">
        <v>232</v>
      </c>
      <c r="L533" s="2" t="s">
        <v>83</v>
      </c>
      <c r="M533" s="38" t="str">
        <f t="shared" si="20"/>
        <v>24</v>
      </c>
      <c r="N533" s="38" t="str">
        <f t="shared" si="21"/>
        <v>06</v>
      </c>
      <c r="O533" s="50" t="s">
        <v>814</v>
      </c>
      <c r="P533" s="50" t="s">
        <v>814</v>
      </c>
      <c r="Q533" s="50">
        <v>6516</v>
      </c>
    </row>
    <row r="534" spans="1:17" ht="16" x14ac:dyDescent="0.45">
      <c r="A534" s="2" t="str">
        <f>IFERROR(VLOOKUP(B534,CODE!$B:$D,3,0),"-")</f>
        <v>네트워크</v>
      </c>
      <c r="B534" s="2" t="str">
        <f>IF(L534="-",VLOOKUP(J534,CODE!$B:$D,2,0),L534)</f>
        <v>카카오광고</v>
      </c>
      <c r="C534" s="2" t="s">
        <v>266</v>
      </c>
      <c r="D534" s="2" t="s">
        <v>281</v>
      </c>
      <c r="E534" s="2" t="s">
        <v>282</v>
      </c>
      <c r="F534" s="2" t="s">
        <v>268</v>
      </c>
      <c r="G534" s="2" t="s">
        <v>283</v>
      </c>
      <c r="H534" s="2" t="s">
        <v>284</v>
      </c>
      <c r="I534" s="2" t="s">
        <v>231</v>
      </c>
      <c r="J534" s="2" t="s">
        <v>76</v>
      </c>
      <c r="K534" s="2" t="s">
        <v>232</v>
      </c>
      <c r="L534" s="2" t="s">
        <v>83</v>
      </c>
      <c r="M534" s="38" t="str">
        <f t="shared" si="20"/>
        <v>24</v>
      </c>
      <c r="N534" s="38" t="str">
        <f t="shared" si="21"/>
        <v>06</v>
      </c>
      <c r="O534" s="50" t="s">
        <v>761</v>
      </c>
      <c r="P534" s="50" t="s">
        <v>761</v>
      </c>
      <c r="Q534" s="50">
        <v>6516</v>
      </c>
    </row>
    <row r="535" spans="1:17" ht="16" x14ac:dyDescent="0.45">
      <c r="A535" s="2" t="str">
        <f>IFERROR(VLOOKUP(B535,CODE!$B:$D,3,0),"-")</f>
        <v>네트워크</v>
      </c>
      <c r="B535" s="2" t="str">
        <f>IF(L535="-",VLOOKUP(J535,CODE!$B:$D,2,0),L535)</f>
        <v>카카오광고</v>
      </c>
      <c r="C535" s="2" t="s">
        <v>266</v>
      </c>
      <c r="D535" s="2" t="s">
        <v>281</v>
      </c>
      <c r="E535" s="2" t="s">
        <v>282</v>
      </c>
      <c r="F535" s="2" t="s">
        <v>268</v>
      </c>
      <c r="G535" s="2" t="s">
        <v>283</v>
      </c>
      <c r="H535" s="2" t="s">
        <v>284</v>
      </c>
      <c r="I535" s="2" t="s">
        <v>231</v>
      </c>
      <c r="J535" s="2" t="s">
        <v>76</v>
      </c>
      <c r="K535" s="2" t="s">
        <v>232</v>
      </c>
      <c r="L535" s="2" t="s">
        <v>83</v>
      </c>
      <c r="M535" s="38" t="str">
        <f t="shared" si="20"/>
        <v>24</v>
      </c>
      <c r="N535" s="38" t="str">
        <f t="shared" si="21"/>
        <v>06</v>
      </c>
      <c r="O535" s="50" t="s">
        <v>815</v>
      </c>
      <c r="P535" s="50" t="s">
        <v>776</v>
      </c>
      <c r="Q535" s="50">
        <v>13032</v>
      </c>
    </row>
    <row r="536" spans="1:17" ht="16" x14ac:dyDescent="0.45">
      <c r="A536" s="2" t="str">
        <f>IFERROR(VLOOKUP(B536,CODE!$B:$D,3,0),"-")</f>
        <v>네트워크</v>
      </c>
      <c r="B536" s="2" t="str">
        <f>IF(L536="-",VLOOKUP(J536,CODE!$B:$D,2,0),L536)</f>
        <v>버즈빌</v>
      </c>
      <c r="C536" s="2" t="s">
        <v>266</v>
      </c>
      <c r="D536" s="2" t="s">
        <v>281</v>
      </c>
      <c r="E536" s="2" t="s">
        <v>282</v>
      </c>
      <c r="F536" s="2" t="s">
        <v>268</v>
      </c>
      <c r="G536" s="2" t="s">
        <v>283</v>
      </c>
      <c r="H536" s="2" t="s">
        <v>284</v>
      </c>
      <c r="I536" s="2" t="s">
        <v>233</v>
      </c>
      <c r="J536" s="2" t="s">
        <v>2</v>
      </c>
      <c r="K536" s="2" t="s">
        <v>232</v>
      </c>
      <c r="L536" s="2" t="s">
        <v>233</v>
      </c>
      <c r="M536" s="38" t="str">
        <f t="shared" si="20"/>
        <v>24</v>
      </c>
      <c r="N536" s="38" t="str">
        <f t="shared" si="21"/>
        <v>01</v>
      </c>
      <c r="O536" s="50" t="s">
        <v>816</v>
      </c>
      <c r="P536" s="50" t="s">
        <v>817</v>
      </c>
      <c r="Q536" s="50">
        <v>4757</v>
      </c>
    </row>
    <row r="537" spans="1:17" ht="16" x14ac:dyDescent="0.45">
      <c r="A537" s="2" t="str">
        <f>IFERROR(VLOOKUP(B537,CODE!$B:$D,3,0),"-")</f>
        <v>네트워크</v>
      </c>
      <c r="B537" s="2" t="str">
        <f>IF(L537="-",VLOOKUP(J537,CODE!$B:$D,2,0),L537)</f>
        <v>버즈빌</v>
      </c>
      <c r="C537" s="2" t="s">
        <v>266</v>
      </c>
      <c r="D537" s="2" t="s">
        <v>281</v>
      </c>
      <c r="E537" s="2" t="s">
        <v>282</v>
      </c>
      <c r="F537" s="2" t="s">
        <v>268</v>
      </c>
      <c r="G537" s="2" t="s">
        <v>283</v>
      </c>
      <c r="H537" s="2" t="s">
        <v>284</v>
      </c>
      <c r="I537" s="2" t="s">
        <v>233</v>
      </c>
      <c r="J537" s="2" t="s">
        <v>2</v>
      </c>
      <c r="K537" s="2" t="s">
        <v>232</v>
      </c>
      <c r="L537" s="2" t="s">
        <v>233</v>
      </c>
      <c r="M537" s="38" t="str">
        <f t="shared" si="20"/>
        <v>24</v>
      </c>
      <c r="N537" s="38" t="str">
        <f t="shared" si="21"/>
        <v>01</v>
      </c>
      <c r="O537" s="50" t="s">
        <v>818</v>
      </c>
      <c r="P537" s="50" t="s">
        <v>769</v>
      </c>
      <c r="Q537" s="50">
        <v>2039</v>
      </c>
    </row>
    <row r="538" spans="1:17" ht="16" x14ac:dyDescent="0.45">
      <c r="A538" s="2" t="str">
        <f>IFERROR(VLOOKUP(B538,CODE!$B:$D,3,0),"-")</f>
        <v>네트워크</v>
      </c>
      <c r="B538" s="2" t="str">
        <f>IF(L538="-",VLOOKUP(J538,CODE!$B:$D,2,0),L538)</f>
        <v>버즈빌</v>
      </c>
      <c r="C538" s="2" t="s">
        <v>266</v>
      </c>
      <c r="D538" s="2" t="s">
        <v>281</v>
      </c>
      <c r="E538" s="2" t="s">
        <v>282</v>
      </c>
      <c r="F538" s="2" t="s">
        <v>268</v>
      </c>
      <c r="G538" s="2" t="s">
        <v>283</v>
      </c>
      <c r="H538" s="2" t="s">
        <v>284</v>
      </c>
      <c r="I538" s="2" t="s">
        <v>233</v>
      </c>
      <c r="J538" s="2" t="s">
        <v>2</v>
      </c>
      <c r="K538" s="2" t="s">
        <v>232</v>
      </c>
      <c r="L538" s="2" t="s">
        <v>233</v>
      </c>
      <c r="M538" s="38" t="str">
        <f t="shared" si="20"/>
        <v>24</v>
      </c>
      <c r="N538" s="38" t="str">
        <f t="shared" si="21"/>
        <v>01</v>
      </c>
      <c r="O538" s="50" t="s">
        <v>291</v>
      </c>
      <c r="P538" s="50" t="s">
        <v>819</v>
      </c>
      <c r="Q538" s="50">
        <v>2718</v>
      </c>
    </row>
    <row r="539" spans="1:17" ht="16" x14ac:dyDescent="0.45">
      <c r="A539" s="2" t="str">
        <f>IFERROR(VLOOKUP(B539,CODE!$B:$D,3,0),"-")</f>
        <v>네트워크</v>
      </c>
      <c r="B539" s="2" t="str">
        <f>IF(L539="-",VLOOKUP(J539,CODE!$B:$D,2,0),L539)</f>
        <v>버즈빌</v>
      </c>
      <c r="C539" s="2" t="s">
        <v>266</v>
      </c>
      <c r="D539" s="2" t="s">
        <v>281</v>
      </c>
      <c r="E539" s="2" t="s">
        <v>282</v>
      </c>
      <c r="F539" s="2" t="s">
        <v>268</v>
      </c>
      <c r="G539" s="2" t="s">
        <v>283</v>
      </c>
      <c r="H539" s="2" t="s">
        <v>284</v>
      </c>
      <c r="I539" s="2" t="s">
        <v>233</v>
      </c>
      <c r="J539" s="2" t="s">
        <v>2</v>
      </c>
      <c r="K539" s="2" t="s">
        <v>232</v>
      </c>
      <c r="L539" s="2" t="s">
        <v>233</v>
      </c>
      <c r="M539" s="38" t="str">
        <f t="shared" si="20"/>
        <v>24</v>
      </c>
      <c r="N539" s="38" t="str">
        <f t="shared" si="21"/>
        <v>01</v>
      </c>
      <c r="O539" s="50" t="s">
        <v>820</v>
      </c>
      <c r="P539" s="50" t="s">
        <v>821</v>
      </c>
      <c r="Q539" s="50">
        <v>4757</v>
      </c>
    </row>
    <row r="540" spans="1:17" ht="16" x14ac:dyDescent="0.45">
      <c r="A540" s="2" t="str">
        <f>IFERROR(VLOOKUP(B540,CODE!$B:$D,3,0),"-")</f>
        <v>네트워크</v>
      </c>
      <c r="B540" s="2" t="str">
        <f>IF(L540="-",VLOOKUP(J540,CODE!$B:$D,2,0),L540)</f>
        <v>버즈빌</v>
      </c>
      <c r="C540" s="2" t="s">
        <v>266</v>
      </c>
      <c r="D540" s="2" t="s">
        <v>281</v>
      </c>
      <c r="E540" s="2" t="s">
        <v>282</v>
      </c>
      <c r="F540" s="2" t="s">
        <v>268</v>
      </c>
      <c r="G540" s="2" t="s">
        <v>283</v>
      </c>
      <c r="H540" s="2" t="s">
        <v>284</v>
      </c>
      <c r="I540" s="2" t="s">
        <v>233</v>
      </c>
      <c r="J540" s="2" t="s">
        <v>2</v>
      </c>
      <c r="K540" s="2" t="s">
        <v>232</v>
      </c>
      <c r="L540" s="2" t="s">
        <v>233</v>
      </c>
      <c r="M540" s="38" t="str">
        <f t="shared" si="20"/>
        <v>24</v>
      </c>
      <c r="N540" s="38" t="str">
        <f t="shared" si="21"/>
        <v>01</v>
      </c>
      <c r="O540" s="50" t="s">
        <v>822</v>
      </c>
      <c r="P540" s="50" t="s">
        <v>823</v>
      </c>
      <c r="Q540" s="50">
        <v>4757</v>
      </c>
    </row>
    <row r="541" spans="1:17" ht="16" x14ac:dyDescent="0.45">
      <c r="A541" s="2" t="str">
        <f>IFERROR(VLOOKUP(B541,CODE!$B:$D,3,0),"-")</f>
        <v>네트워크</v>
      </c>
      <c r="B541" s="2" t="str">
        <f>IF(L541="-",VLOOKUP(J541,CODE!$B:$D,2,0),L541)</f>
        <v>버즈빌</v>
      </c>
      <c r="C541" s="2" t="s">
        <v>266</v>
      </c>
      <c r="D541" s="2" t="s">
        <v>281</v>
      </c>
      <c r="E541" s="2" t="s">
        <v>282</v>
      </c>
      <c r="F541" s="2" t="s">
        <v>268</v>
      </c>
      <c r="G541" s="2" t="s">
        <v>283</v>
      </c>
      <c r="H541" s="2" t="s">
        <v>284</v>
      </c>
      <c r="I541" s="2" t="s">
        <v>233</v>
      </c>
      <c r="J541" s="2" t="s">
        <v>2</v>
      </c>
      <c r="K541" s="2" t="s">
        <v>232</v>
      </c>
      <c r="L541" s="2" t="s">
        <v>233</v>
      </c>
      <c r="M541" s="38" t="str">
        <f t="shared" si="20"/>
        <v>24</v>
      </c>
      <c r="N541" s="38" t="str">
        <f t="shared" si="21"/>
        <v>01</v>
      </c>
      <c r="O541" s="50" t="s">
        <v>824</v>
      </c>
      <c r="P541" s="50" t="s">
        <v>825</v>
      </c>
      <c r="Q541" s="50">
        <v>2039</v>
      </c>
    </row>
    <row r="542" spans="1:17" ht="16" x14ac:dyDescent="0.45">
      <c r="A542" s="2" t="str">
        <f>IFERROR(VLOOKUP(B542,CODE!$B:$D,3,0),"-")</f>
        <v>네트워크</v>
      </c>
      <c r="B542" s="2" t="str">
        <f>IF(L542="-",VLOOKUP(J542,CODE!$B:$D,2,0),L542)</f>
        <v>버즈빌</v>
      </c>
      <c r="C542" s="2" t="s">
        <v>266</v>
      </c>
      <c r="D542" s="2" t="s">
        <v>281</v>
      </c>
      <c r="E542" s="2" t="s">
        <v>282</v>
      </c>
      <c r="F542" s="2" t="s">
        <v>268</v>
      </c>
      <c r="G542" s="2" t="s">
        <v>283</v>
      </c>
      <c r="H542" s="2" t="s">
        <v>284</v>
      </c>
      <c r="I542" s="2" t="s">
        <v>233</v>
      </c>
      <c r="J542" s="2" t="s">
        <v>2</v>
      </c>
      <c r="K542" s="2" t="s">
        <v>232</v>
      </c>
      <c r="L542" s="2" t="s">
        <v>233</v>
      </c>
      <c r="M542" s="38" t="str">
        <f t="shared" si="20"/>
        <v>24</v>
      </c>
      <c r="N542" s="38" t="str">
        <f t="shared" si="21"/>
        <v>02</v>
      </c>
      <c r="O542" s="50" t="s">
        <v>826</v>
      </c>
      <c r="P542" s="50" t="s">
        <v>827</v>
      </c>
      <c r="Q542" s="50">
        <v>2718</v>
      </c>
    </row>
    <row r="543" spans="1:17" ht="16" x14ac:dyDescent="0.45">
      <c r="A543" s="2" t="str">
        <f>IFERROR(VLOOKUP(B543,CODE!$B:$D,3,0),"-")</f>
        <v>네트워크</v>
      </c>
      <c r="B543" s="2" t="str">
        <f>IF(L543="-",VLOOKUP(J543,CODE!$B:$D,2,0),L543)</f>
        <v>버즈빌</v>
      </c>
      <c r="C543" s="2" t="s">
        <v>266</v>
      </c>
      <c r="D543" s="2" t="s">
        <v>281</v>
      </c>
      <c r="E543" s="2" t="s">
        <v>282</v>
      </c>
      <c r="F543" s="2" t="s">
        <v>268</v>
      </c>
      <c r="G543" s="2" t="s">
        <v>283</v>
      </c>
      <c r="H543" s="2" t="s">
        <v>284</v>
      </c>
      <c r="I543" s="2" t="s">
        <v>233</v>
      </c>
      <c r="J543" s="2" t="s">
        <v>2</v>
      </c>
      <c r="K543" s="2" t="s">
        <v>232</v>
      </c>
      <c r="L543" s="2" t="s">
        <v>233</v>
      </c>
      <c r="M543" s="38" t="str">
        <f t="shared" si="20"/>
        <v>24</v>
      </c>
      <c r="N543" s="38" t="str">
        <f t="shared" si="21"/>
        <v>02</v>
      </c>
      <c r="O543" s="50" t="s">
        <v>828</v>
      </c>
      <c r="P543" s="50" t="s">
        <v>785</v>
      </c>
      <c r="Q543" s="50">
        <v>4757</v>
      </c>
    </row>
    <row r="544" spans="1:17" ht="16" x14ac:dyDescent="0.45">
      <c r="A544" s="2" t="str">
        <f>IFERROR(VLOOKUP(B544,CODE!$B:$D,3,0),"-")</f>
        <v>네트워크</v>
      </c>
      <c r="B544" s="2" t="str">
        <f>IF(L544="-",VLOOKUP(J544,CODE!$B:$D,2,0),L544)</f>
        <v>버즈빌</v>
      </c>
      <c r="C544" s="2" t="s">
        <v>266</v>
      </c>
      <c r="D544" s="2" t="s">
        <v>281</v>
      </c>
      <c r="E544" s="2" t="s">
        <v>282</v>
      </c>
      <c r="F544" s="2" t="s">
        <v>268</v>
      </c>
      <c r="G544" s="2" t="s">
        <v>283</v>
      </c>
      <c r="H544" s="2" t="s">
        <v>284</v>
      </c>
      <c r="I544" s="2" t="s">
        <v>233</v>
      </c>
      <c r="J544" s="2" t="s">
        <v>2</v>
      </c>
      <c r="K544" s="2" t="s">
        <v>232</v>
      </c>
      <c r="L544" s="2" t="s">
        <v>233</v>
      </c>
      <c r="M544" s="38" t="str">
        <f t="shared" si="20"/>
        <v>24</v>
      </c>
      <c r="N544" s="38" t="str">
        <f t="shared" si="21"/>
        <v>02</v>
      </c>
      <c r="O544" s="50" t="s">
        <v>764</v>
      </c>
      <c r="P544" s="50" t="s">
        <v>829</v>
      </c>
      <c r="Q544" s="50">
        <v>4757</v>
      </c>
    </row>
    <row r="545" spans="1:17" ht="16" x14ac:dyDescent="0.45">
      <c r="A545" s="2" t="str">
        <f>IFERROR(VLOOKUP(B545,CODE!$B:$D,3,0),"-")</f>
        <v>네트워크</v>
      </c>
      <c r="B545" s="2" t="str">
        <f>IF(L545="-",VLOOKUP(J545,CODE!$B:$D,2,0),L545)</f>
        <v>버즈빌</v>
      </c>
      <c r="C545" s="2" t="s">
        <v>266</v>
      </c>
      <c r="D545" s="2" t="s">
        <v>281</v>
      </c>
      <c r="E545" s="2" t="s">
        <v>282</v>
      </c>
      <c r="F545" s="2" t="s">
        <v>268</v>
      </c>
      <c r="G545" s="2" t="s">
        <v>283</v>
      </c>
      <c r="H545" s="2" t="s">
        <v>284</v>
      </c>
      <c r="I545" s="2" t="s">
        <v>233</v>
      </c>
      <c r="J545" s="2" t="s">
        <v>2</v>
      </c>
      <c r="K545" s="2" t="s">
        <v>232</v>
      </c>
      <c r="L545" s="2" t="s">
        <v>233</v>
      </c>
      <c r="M545" s="38" t="str">
        <f t="shared" si="20"/>
        <v>24</v>
      </c>
      <c r="N545" s="38" t="str">
        <f t="shared" si="21"/>
        <v>02</v>
      </c>
      <c r="O545" s="50" t="s">
        <v>758</v>
      </c>
      <c r="P545" s="50" t="s">
        <v>830</v>
      </c>
      <c r="Q545" s="50">
        <v>4757</v>
      </c>
    </row>
    <row r="546" spans="1:17" ht="16" x14ac:dyDescent="0.45">
      <c r="A546" s="2" t="str">
        <f>IFERROR(VLOOKUP(B546,CODE!$B:$D,3,0),"-")</f>
        <v>네트워크</v>
      </c>
      <c r="B546" s="2" t="str">
        <f>IF(L546="-",VLOOKUP(J546,CODE!$B:$D,2,0),L546)</f>
        <v>버즈빌</v>
      </c>
      <c r="C546" s="2" t="s">
        <v>266</v>
      </c>
      <c r="D546" s="2" t="s">
        <v>281</v>
      </c>
      <c r="E546" s="2" t="s">
        <v>282</v>
      </c>
      <c r="F546" s="2" t="s">
        <v>268</v>
      </c>
      <c r="G546" s="2" t="s">
        <v>283</v>
      </c>
      <c r="H546" s="2" t="s">
        <v>284</v>
      </c>
      <c r="I546" s="2" t="s">
        <v>233</v>
      </c>
      <c r="J546" s="2" t="s">
        <v>2</v>
      </c>
      <c r="K546" s="2" t="s">
        <v>232</v>
      </c>
      <c r="L546" s="2" t="s">
        <v>233</v>
      </c>
      <c r="M546" s="38" t="str">
        <f t="shared" si="20"/>
        <v>24</v>
      </c>
      <c r="N546" s="38" t="str">
        <f t="shared" si="21"/>
        <v>02</v>
      </c>
      <c r="O546" s="50" t="s">
        <v>289</v>
      </c>
      <c r="P546" s="50" t="s">
        <v>831</v>
      </c>
      <c r="Q546" s="50">
        <v>2718</v>
      </c>
    </row>
    <row r="547" spans="1:17" ht="16" x14ac:dyDescent="0.45">
      <c r="A547" s="2" t="str">
        <f>IFERROR(VLOOKUP(B547,CODE!$B:$D,3,0),"-")</f>
        <v>네트워크</v>
      </c>
      <c r="B547" s="2" t="str">
        <f>IF(L547="-",VLOOKUP(J547,CODE!$B:$D,2,0),L547)</f>
        <v>버즈빌</v>
      </c>
      <c r="C547" s="2" t="s">
        <v>266</v>
      </c>
      <c r="D547" s="2" t="s">
        <v>281</v>
      </c>
      <c r="E547" s="2" t="s">
        <v>282</v>
      </c>
      <c r="F547" s="2" t="s">
        <v>268</v>
      </c>
      <c r="G547" s="2" t="s">
        <v>283</v>
      </c>
      <c r="H547" s="2" t="s">
        <v>284</v>
      </c>
      <c r="I547" s="2" t="s">
        <v>233</v>
      </c>
      <c r="J547" s="2" t="s">
        <v>2</v>
      </c>
      <c r="K547" s="2" t="s">
        <v>232</v>
      </c>
      <c r="L547" s="2" t="s">
        <v>233</v>
      </c>
      <c r="M547" s="38" t="str">
        <f t="shared" si="20"/>
        <v>24</v>
      </c>
      <c r="N547" s="38" t="str">
        <f t="shared" si="21"/>
        <v>03</v>
      </c>
      <c r="O547" s="50" t="s">
        <v>832</v>
      </c>
      <c r="P547" s="50" t="s">
        <v>833</v>
      </c>
      <c r="Q547" s="50">
        <v>2039</v>
      </c>
    </row>
    <row r="548" spans="1:17" ht="16" x14ac:dyDescent="0.45">
      <c r="A548" s="2" t="str">
        <f>IFERROR(VLOOKUP(B548,CODE!$B:$D,3,0),"-")</f>
        <v>네트워크</v>
      </c>
      <c r="B548" s="2" t="str">
        <f>IF(L548="-",VLOOKUP(J548,CODE!$B:$D,2,0),L548)</f>
        <v>버즈빌</v>
      </c>
      <c r="C548" s="2" t="s">
        <v>266</v>
      </c>
      <c r="D548" s="2" t="s">
        <v>281</v>
      </c>
      <c r="E548" s="2" t="s">
        <v>282</v>
      </c>
      <c r="F548" s="2" t="s">
        <v>268</v>
      </c>
      <c r="G548" s="2" t="s">
        <v>283</v>
      </c>
      <c r="H548" s="2" t="s">
        <v>284</v>
      </c>
      <c r="I548" s="2" t="s">
        <v>233</v>
      </c>
      <c r="J548" s="2" t="s">
        <v>2</v>
      </c>
      <c r="K548" s="2" t="s">
        <v>232</v>
      </c>
      <c r="L548" s="2" t="s">
        <v>233</v>
      </c>
      <c r="M548" s="38" t="str">
        <f t="shared" si="20"/>
        <v>24</v>
      </c>
      <c r="N548" s="38" t="str">
        <f t="shared" si="21"/>
        <v>03</v>
      </c>
      <c r="O548" s="50" t="s">
        <v>834</v>
      </c>
      <c r="P548" s="50" t="s">
        <v>789</v>
      </c>
      <c r="Q548" s="50">
        <v>4757</v>
      </c>
    </row>
    <row r="549" spans="1:17" ht="16" x14ac:dyDescent="0.45">
      <c r="A549" s="2" t="str">
        <f>IFERROR(VLOOKUP(B549,CODE!$B:$D,3,0),"-")</f>
        <v>네트워크</v>
      </c>
      <c r="B549" s="2" t="str">
        <f>IF(L549="-",VLOOKUP(J549,CODE!$B:$D,2,0),L549)</f>
        <v>버즈빌</v>
      </c>
      <c r="C549" s="2" t="s">
        <v>266</v>
      </c>
      <c r="D549" s="2" t="s">
        <v>281</v>
      </c>
      <c r="E549" s="2" t="s">
        <v>282</v>
      </c>
      <c r="F549" s="2" t="s">
        <v>268</v>
      </c>
      <c r="G549" s="2" t="s">
        <v>283</v>
      </c>
      <c r="H549" s="2" t="s">
        <v>284</v>
      </c>
      <c r="I549" s="2" t="s">
        <v>233</v>
      </c>
      <c r="J549" s="2" t="s">
        <v>2</v>
      </c>
      <c r="K549" s="2" t="s">
        <v>232</v>
      </c>
      <c r="L549" s="2" t="s">
        <v>233</v>
      </c>
      <c r="M549" s="38" t="str">
        <f t="shared" si="20"/>
        <v>24</v>
      </c>
      <c r="N549" s="38" t="str">
        <f t="shared" si="21"/>
        <v>03</v>
      </c>
      <c r="O549" s="50" t="s">
        <v>780</v>
      </c>
      <c r="P549" s="50" t="s">
        <v>286</v>
      </c>
      <c r="Q549" s="50">
        <v>4757</v>
      </c>
    </row>
    <row r="550" spans="1:17" ht="16" x14ac:dyDescent="0.45">
      <c r="A550" s="2" t="str">
        <f>IFERROR(VLOOKUP(B550,CODE!$B:$D,3,0),"-")</f>
        <v>네트워크</v>
      </c>
      <c r="B550" s="2" t="str">
        <f>IF(L550="-",VLOOKUP(J550,CODE!$B:$D,2,0),L550)</f>
        <v>버즈빌</v>
      </c>
      <c r="C550" s="2" t="s">
        <v>266</v>
      </c>
      <c r="D550" s="2" t="s">
        <v>281</v>
      </c>
      <c r="E550" s="2" t="s">
        <v>282</v>
      </c>
      <c r="F550" s="2" t="s">
        <v>268</v>
      </c>
      <c r="G550" s="2" t="s">
        <v>283</v>
      </c>
      <c r="H550" s="2" t="s">
        <v>284</v>
      </c>
      <c r="I550" s="2" t="s">
        <v>233</v>
      </c>
      <c r="J550" s="2" t="s">
        <v>2</v>
      </c>
      <c r="K550" s="2" t="s">
        <v>232</v>
      </c>
      <c r="L550" s="2" t="s">
        <v>233</v>
      </c>
      <c r="M550" s="38" t="str">
        <f t="shared" si="20"/>
        <v>24</v>
      </c>
      <c r="N550" s="38" t="str">
        <f t="shared" si="21"/>
        <v>03</v>
      </c>
      <c r="O550" s="50" t="s">
        <v>770</v>
      </c>
      <c r="P550" s="50" t="s">
        <v>757</v>
      </c>
      <c r="Q550" s="50">
        <v>4757</v>
      </c>
    </row>
    <row r="551" spans="1:17" ht="16" x14ac:dyDescent="0.45">
      <c r="A551" s="2" t="str">
        <f>IFERROR(VLOOKUP(B551,CODE!$B:$D,3,0),"-")</f>
        <v>네트워크</v>
      </c>
      <c r="B551" s="2" t="str">
        <f>IF(L551="-",VLOOKUP(J551,CODE!$B:$D,2,0),L551)</f>
        <v>버즈빌</v>
      </c>
      <c r="C551" s="2" t="s">
        <v>266</v>
      </c>
      <c r="D551" s="2" t="s">
        <v>281</v>
      </c>
      <c r="E551" s="2" t="s">
        <v>282</v>
      </c>
      <c r="F551" s="2" t="s">
        <v>268</v>
      </c>
      <c r="G551" s="2" t="s">
        <v>283</v>
      </c>
      <c r="H551" s="2" t="s">
        <v>284</v>
      </c>
      <c r="I551" s="2" t="s">
        <v>233</v>
      </c>
      <c r="J551" s="2" t="s">
        <v>2</v>
      </c>
      <c r="K551" s="2" t="s">
        <v>232</v>
      </c>
      <c r="L551" s="2" t="s">
        <v>233</v>
      </c>
      <c r="M551" s="38" t="str">
        <f t="shared" si="20"/>
        <v>24</v>
      </c>
      <c r="N551" s="38" t="str">
        <f t="shared" si="21"/>
        <v>03</v>
      </c>
      <c r="O551" s="50" t="s">
        <v>792</v>
      </c>
      <c r="P551" s="50" t="s">
        <v>767</v>
      </c>
      <c r="Q551" s="50">
        <v>4757</v>
      </c>
    </row>
    <row r="552" spans="1:17" ht="16" x14ac:dyDescent="0.45">
      <c r="A552" s="2" t="str">
        <f>IFERROR(VLOOKUP(B552,CODE!$B:$D,3,0),"-")</f>
        <v>네트워크</v>
      </c>
      <c r="B552" s="2" t="str">
        <f>IF(L552="-",VLOOKUP(J552,CODE!$B:$D,2,0),L552)</f>
        <v>버즈빌</v>
      </c>
      <c r="C552" s="2" t="s">
        <v>266</v>
      </c>
      <c r="D552" s="2" t="s">
        <v>281</v>
      </c>
      <c r="E552" s="2" t="s">
        <v>282</v>
      </c>
      <c r="F552" s="2" t="s">
        <v>268</v>
      </c>
      <c r="G552" s="2" t="s">
        <v>283</v>
      </c>
      <c r="H552" s="2" t="s">
        <v>284</v>
      </c>
      <c r="I552" s="2" t="s">
        <v>233</v>
      </c>
      <c r="J552" s="2" t="s">
        <v>2</v>
      </c>
      <c r="K552" s="2" t="s">
        <v>232</v>
      </c>
      <c r="L552" s="2" t="s">
        <v>233</v>
      </c>
      <c r="M552" s="38" t="str">
        <f t="shared" si="20"/>
        <v>24</v>
      </c>
      <c r="N552" s="38" t="str">
        <f t="shared" si="21"/>
        <v>04</v>
      </c>
      <c r="O552" s="50" t="s">
        <v>786</v>
      </c>
      <c r="P552" s="50" t="s">
        <v>835</v>
      </c>
      <c r="Q552" s="50">
        <v>2039</v>
      </c>
    </row>
    <row r="553" spans="1:17" ht="16" x14ac:dyDescent="0.45">
      <c r="A553" s="2" t="str">
        <f>IFERROR(VLOOKUP(B553,CODE!$B:$D,3,0),"-")</f>
        <v>네트워크</v>
      </c>
      <c r="B553" s="2" t="str">
        <f>IF(L553="-",VLOOKUP(J553,CODE!$B:$D,2,0),L553)</f>
        <v>버즈빌</v>
      </c>
      <c r="C553" s="2" t="s">
        <v>266</v>
      </c>
      <c r="D553" s="2" t="s">
        <v>281</v>
      </c>
      <c r="E553" s="2" t="s">
        <v>282</v>
      </c>
      <c r="F553" s="2" t="s">
        <v>268</v>
      </c>
      <c r="G553" s="2" t="s">
        <v>283</v>
      </c>
      <c r="H553" s="2" t="s">
        <v>284</v>
      </c>
      <c r="I553" s="2" t="s">
        <v>233</v>
      </c>
      <c r="J553" s="2" t="s">
        <v>2</v>
      </c>
      <c r="K553" s="2" t="s">
        <v>232</v>
      </c>
      <c r="L553" s="2" t="s">
        <v>233</v>
      </c>
      <c r="M553" s="38" t="str">
        <f t="shared" si="20"/>
        <v>24</v>
      </c>
      <c r="N553" s="38" t="str">
        <f t="shared" si="21"/>
        <v>04</v>
      </c>
      <c r="O553" s="50" t="s">
        <v>836</v>
      </c>
      <c r="P553" s="50" t="s">
        <v>759</v>
      </c>
      <c r="Q553" s="50">
        <v>2718</v>
      </c>
    </row>
    <row r="554" spans="1:17" ht="16" x14ac:dyDescent="0.45">
      <c r="A554" s="2" t="str">
        <f>IFERROR(VLOOKUP(B554,CODE!$B:$D,3,0),"-")</f>
        <v>네트워크</v>
      </c>
      <c r="B554" s="2" t="str">
        <f>IF(L554="-",VLOOKUP(J554,CODE!$B:$D,2,0),L554)</f>
        <v>버즈빌</v>
      </c>
      <c r="C554" s="2" t="s">
        <v>266</v>
      </c>
      <c r="D554" s="2" t="s">
        <v>281</v>
      </c>
      <c r="E554" s="2" t="s">
        <v>282</v>
      </c>
      <c r="F554" s="2" t="s">
        <v>268</v>
      </c>
      <c r="G554" s="2" t="s">
        <v>283</v>
      </c>
      <c r="H554" s="2" t="s">
        <v>284</v>
      </c>
      <c r="I554" s="2" t="s">
        <v>233</v>
      </c>
      <c r="J554" s="2" t="s">
        <v>2</v>
      </c>
      <c r="K554" s="2" t="s">
        <v>232</v>
      </c>
      <c r="L554" s="2" t="s">
        <v>233</v>
      </c>
      <c r="M554" s="38" t="str">
        <f t="shared" si="20"/>
        <v>24</v>
      </c>
      <c r="N554" s="38" t="str">
        <f t="shared" si="21"/>
        <v>04</v>
      </c>
      <c r="O554" s="50" t="s">
        <v>837</v>
      </c>
      <c r="P554" s="50" t="s">
        <v>838</v>
      </c>
      <c r="Q554" s="50">
        <v>4757</v>
      </c>
    </row>
    <row r="555" spans="1:17" ht="16" x14ac:dyDescent="0.45">
      <c r="A555" s="2" t="str">
        <f>IFERROR(VLOOKUP(B555,CODE!$B:$D,3,0),"-")</f>
        <v>네트워크</v>
      </c>
      <c r="B555" s="2" t="str">
        <f>IF(L555="-",VLOOKUP(J555,CODE!$B:$D,2,0),L555)</f>
        <v>버즈빌</v>
      </c>
      <c r="C555" s="2" t="s">
        <v>266</v>
      </c>
      <c r="D555" s="2" t="s">
        <v>281</v>
      </c>
      <c r="E555" s="2" t="s">
        <v>282</v>
      </c>
      <c r="F555" s="2" t="s">
        <v>268</v>
      </c>
      <c r="G555" s="2" t="s">
        <v>283</v>
      </c>
      <c r="H555" s="2" t="s">
        <v>284</v>
      </c>
      <c r="I555" s="2" t="s">
        <v>233</v>
      </c>
      <c r="J555" s="2" t="s">
        <v>2</v>
      </c>
      <c r="K555" s="2" t="s">
        <v>232</v>
      </c>
      <c r="L555" s="2" t="s">
        <v>233</v>
      </c>
      <c r="M555" s="38" t="str">
        <f t="shared" si="20"/>
        <v>24</v>
      </c>
      <c r="N555" s="38" t="str">
        <f t="shared" si="21"/>
        <v>04</v>
      </c>
      <c r="O555" s="50" t="s">
        <v>839</v>
      </c>
      <c r="P555" s="50" t="s">
        <v>760</v>
      </c>
      <c r="Q555" s="50">
        <v>4757</v>
      </c>
    </row>
    <row r="556" spans="1:17" ht="16" x14ac:dyDescent="0.45">
      <c r="A556" s="2" t="str">
        <f>IFERROR(VLOOKUP(B556,CODE!$B:$D,3,0),"-")</f>
        <v>네트워크</v>
      </c>
      <c r="B556" s="2" t="str">
        <f>IF(L556="-",VLOOKUP(J556,CODE!$B:$D,2,0),L556)</f>
        <v>버즈빌</v>
      </c>
      <c r="C556" s="2" t="s">
        <v>266</v>
      </c>
      <c r="D556" s="2" t="s">
        <v>281</v>
      </c>
      <c r="E556" s="2" t="s">
        <v>282</v>
      </c>
      <c r="F556" s="2" t="s">
        <v>268</v>
      </c>
      <c r="G556" s="2" t="s">
        <v>283</v>
      </c>
      <c r="H556" s="2" t="s">
        <v>284</v>
      </c>
      <c r="I556" s="2" t="s">
        <v>233</v>
      </c>
      <c r="J556" s="2" t="s">
        <v>2</v>
      </c>
      <c r="K556" s="2" t="s">
        <v>232</v>
      </c>
      <c r="L556" s="2" t="s">
        <v>233</v>
      </c>
      <c r="M556" s="38" t="str">
        <f t="shared" si="20"/>
        <v>24</v>
      </c>
      <c r="N556" s="38" t="str">
        <f t="shared" si="21"/>
        <v>04</v>
      </c>
      <c r="O556" s="50" t="s">
        <v>840</v>
      </c>
      <c r="P556" s="50" t="s">
        <v>841</v>
      </c>
      <c r="Q556" s="50">
        <v>4077</v>
      </c>
    </row>
    <row r="557" spans="1:17" ht="16" x14ac:dyDescent="0.45">
      <c r="A557" s="2" t="str">
        <f>IFERROR(VLOOKUP(B557,CODE!$B:$D,3,0),"-")</f>
        <v>네트워크</v>
      </c>
      <c r="B557" s="2" t="str">
        <f>IF(L557="-",VLOOKUP(J557,CODE!$B:$D,2,0),L557)</f>
        <v>버즈빌</v>
      </c>
      <c r="C557" s="2" t="s">
        <v>266</v>
      </c>
      <c r="D557" s="2" t="s">
        <v>281</v>
      </c>
      <c r="E557" s="2" t="s">
        <v>282</v>
      </c>
      <c r="F557" s="2" t="s">
        <v>268</v>
      </c>
      <c r="G557" s="2" t="s">
        <v>283</v>
      </c>
      <c r="H557" s="2" t="s">
        <v>284</v>
      </c>
      <c r="I557" s="2" t="s">
        <v>233</v>
      </c>
      <c r="J557" s="2" t="s">
        <v>2</v>
      </c>
      <c r="K557" s="2" t="s">
        <v>232</v>
      </c>
      <c r="L557" s="2" t="s">
        <v>233</v>
      </c>
      <c r="M557" s="38" t="str">
        <f t="shared" si="20"/>
        <v>24</v>
      </c>
      <c r="N557" s="38" t="str">
        <f t="shared" si="21"/>
        <v>04</v>
      </c>
      <c r="O557" s="50" t="s">
        <v>842</v>
      </c>
      <c r="P557" s="50" t="s">
        <v>843</v>
      </c>
      <c r="Q557" s="50">
        <v>1359</v>
      </c>
    </row>
    <row r="558" spans="1:17" ht="16" x14ac:dyDescent="0.45">
      <c r="A558" s="2" t="str">
        <f>IFERROR(VLOOKUP(B558,CODE!$B:$D,3,0),"-")</f>
        <v>SNS</v>
      </c>
      <c r="B558" s="2" t="str">
        <f>IF(L558="-",VLOOKUP(J558,CODE!$B:$D,2,0),L558)</f>
        <v>SNS</v>
      </c>
      <c r="C558" s="2" t="s">
        <v>266</v>
      </c>
      <c r="D558" s="2" t="s">
        <v>281</v>
      </c>
      <c r="E558" s="2" t="s">
        <v>282</v>
      </c>
      <c r="F558" s="2" t="s">
        <v>268</v>
      </c>
      <c r="G558" s="2" t="s">
        <v>283</v>
      </c>
      <c r="H558" s="2" t="s">
        <v>284</v>
      </c>
      <c r="I558" s="2" t="s">
        <v>451</v>
      </c>
      <c r="J558" s="2" t="s">
        <v>4</v>
      </c>
      <c r="K558" s="2" t="s">
        <v>232</v>
      </c>
      <c r="L558" s="2" t="s">
        <v>82</v>
      </c>
      <c r="M558" s="38" t="str">
        <f t="shared" si="20"/>
        <v>24</v>
      </c>
      <c r="N558" s="38" t="str">
        <f t="shared" si="21"/>
        <v>01</v>
      </c>
      <c r="O558" s="50" t="s">
        <v>816</v>
      </c>
      <c r="P558" s="50" t="s">
        <v>844</v>
      </c>
      <c r="Q558" s="50">
        <v>302</v>
      </c>
    </row>
    <row r="559" spans="1:17" ht="16" x14ac:dyDescent="0.45">
      <c r="A559" s="2" t="str">
        <f>IFERROR(VLOOKUP(B559,CODE!$B:$D,3,0),"-")</f>
        <v>SNS</v>
      </c>
      <c r="B559" s="2" t="str">
        <f>IF(L559="-",VLOOKUP(J559,CODE!$B:$D,2,0),L559)</f>
        <v>SNS</v>
      </c>
      <c r="C559" s="2" t="s">
        <v>266</v>
      </c>
      <c r="D559" s="2" t="s">
        <v>281</v>
      </c>
      <c r="E559" s="2" t="s">
        <v>282</v>
      </c>
      <c r="F559" s="2" t="s">
        <v>268</v>
      </c>
      <c r="G559" s="2" t="s">
        <v>283</v>
      </c>
      <c r="H559" s="2" t="s">
        <v>284</v>
      </c>
      <c r="I559" s="2" t="s">
        <v>451</v>
      </c>
      <c r="J559" s="2" t="s">
        <v>4</v>
      </c>
      <c r="K559" s="2" t="s">
        <v>232</v>
      </c>
      <c r="L559" s="2" t="s">
        <v>82</v>
      </c>
      <c r="M559" s="38" t="str">
        <f t="shared" si="20"/>
        <v>24</v>
      </c>
      <c r="N559" s="38" t="str">
        <f t="shared" si="21"/>
        <v>01</v>
      </c>
      <c r="O559" s="50" t="s">
        <v>291</v>
      </c>
      <c r="P559" s="50" t="s">
        <v>819</v>
      </c>
      <c r="Q559" s="50">
        <v>603</v>
      </c>
    </row>
    <row r="560" spans="1:17" ht="16" x14ac:dyDescent="0.45">
      <c r="A560" s="2" t="str">
        <f>IFERROR(VLOOKUP(B560,CODE!$B:$D,3,0),"-")</f>
        <v>SNS</v>
      </c>
      <c r="B560" s="2" t="str">
        <f>IF(L560="-",VLOOKUP(J560,CODE!$B:$D,2,0),L560)</f>
        <v>SNS</v>
      </c>
      <c r="C560" s="2" t="s">
        <v>266</v>
      </c>
      <c r="D560" s="2" t="s">
        <v>281</v>
      </c>
      <c r="E560" s="2" t="s">
        <v>282</v>
      </c>
      <c r="F560" s="2" t="s">
        <v>268</v>
      </c>
      <c r="G560" s="2" t="s">
        <v>283</v>
      </c>
      <c r="H560" s="2" t="s">
        <v>284</v>
      </c>
      <c r="I560" s="2" t="s">
        <v>451</v>
      </c>
      <c r="J560" s="2" t="s">
        <v>4</v>
      </c>
      <c r="K560" s="2" t="s">
        <v>232</v>
      </c>
      <c r="L560" s="2" t="s">
        <v>82</v>
      </c>
      <c r="M560" s="38" t="str">
        <f t="shared" si="20"/>
        <v>24</v>
      </c>
      <c r="N560" s="38" t="str">
        <f t="shared" si="21"/>
        <v>01</v>
      </c>
      <c r="O560" s="50" t="s">
        <v>820</v>
      </c>
      <c r="P560" s="50" t="s">
        <v>845</v>
      </c>
      <c r="Q560" s="50">
        <v>754</v>
      </c>
    </row>
    <row r="561" spans="1:17" ht="16" x14ac:dyDescent="0.45">
      <c r="A561" s="2" t="str">
        <f>IFERROR(VLOOKUP(B561,CODE!$B:$D,3,0),"-")</f>
        <v>SNS</v>
      </c>
      <c r="B561" s="2" t="str">
        <f>IF(L561="-",VLOOKUP(J561,CODE!$B:$D,2,0),L561)</f>
        <v>SNS</v>
      </c>
      <c r="C561" s="2" t="s">
        <v>266</v>
      </c>
      <c r="D561" s="2" t="s">
        <v>281</v>
      </c>
      <c r="E561" s="2" t="s">
        <v>282</v>
      </c>
      <c r="F561" s="2" t="s">
        <v>268</v>
      </c>
      <c r="G561" s="2" t="s">
        <v>283</v>
      </c>
      <c r="H561" s="2" t="s">
        <v>284</v>
      </c>
      <c r="I561" s="2" t="s">
        <v>451</v>
      </c>
      <c r="J561" s="2" t="s">
        <v>4</v>
      </c>
      <c r="K561" s="2" t="s">
        <v>232</v>
      </c>
      <c r="L561" s="2" t="s">
        <v>82</v>
      </c>
      <c r="M561" s="38" t="str">
        <f t="shared" si="20"/>
        <v>24</v>
      </c>
      <c r="N561" s="38" t="str">
        <f t="shared" si="21"/>
        <v>02</v>
      </c>
      <c r="O561" s="50" t="s">
        <v>828</v>
      </c>
      <c r="P561" s="50" t="s">
        <v>846</v>
      </c>
      <c r="Q561" s="50">
        <v>452</v>
      </c>
    </row>
    <row r="562" spans="1:17" ht="16" x14ac:dyDescent="0.45">
      <c r="A562" s="2" t="str">
        <f>IFERROR(VLOOKUP(B562,CODE!$B:$D,3,0),"-")</f>
        <v>SNS</v>
      </c>
      <c r="B562" s="2" t="str">
        <f>IF(L562="-",VLOOKUP(J562,CODE!$B:$D,2,0),L562)</f>
        <v>SNS</v>
      </c>
      <c r="C562" s="2" t="s">
        <v>266</v>
      </c>
      <c r="D562" s="2" t="s">
        <v>281</v>
      </c>
      <c r="E562" s="2" t="s">
        <v>282</v>
      </c>
      <c r="F562" s="2" t="s">
        <v>268</v>
      </c>
      <c r="G562" s="2" t="s">
        <v>283</v>
      </c>
      <c r="H562" s="2" t="s">
        <v>284</v>
      </c>
      <c r="I562" s="2" t="s">
        <v>451</v>
      </c>
      <c r="J562" s="2" t="s">
        <v>4</v>
      </c>
      <c r="K562" s="2" t="s">
        <v>232</v>
      </c>
      <c r="L562" s="2" t="s">
        <v>82</v>
      </c>
      <c r="M562" s="38" t="str">
        <f t="shared" si="20"/>
        <v>24</v>
      </c>
      <c r="N562" s="38" t="str">
        <f t="shared" si="21"/>
        <v>02</v>
      </c>
      <c r="O562" s="50" t="s">
        <v>847</v>
      </c>
      <c r="P562" s="50" t="s">
        <v>785</v>
      </c>
      <c r="Q562" s="50">
        <v>452</v>
      </c>
    </row>
    <row r="563" spans="1:17" ht="16" x14ac:dyDescent="0.45">
      <c r="A563" s="2" t="str">
        <f>IFERROR(VLOOKUP(B563,CODE!$B:$D,3,0),"-")</f>
        <v>SNS</v>
      </c>
      <c r="B563" s="2" t="str">
        <f>IF(L563="-",VLOOKUP(J563,CODE!$B:$D,2,0),L563)</f>
        <v>SNS</v>
      </c>
      <c r="C563" s="2" t="s">
        <v>266</v>
      </c>
      <c r="D563" s="2" t="s">
        <v>281</v>
      </c>
      <c r="E563" s="2" t="s">
        <v>282</v>
      </c>
      <c r="F563" s="2" t="s">
        <v>268</v>
      </c>
      <c r="G563" s="2" t="s">
        <v>283</v>
      </c>
      <c r="H563" s="2" t="s">
        <v>284</v>
      </c>
      <c r="I563" s="2" t="s">
        <v>451</v>
      </c>
      <c r="J563" s="2" t="s">
        <v>4</v>
      </c>
      <c r="K563" s="2" t="s">
        <v>232</v>
      </c>
      <c r="L563" s="2" t="s">
        <v>82</v>
      </c>
      <c r="M563" s="38" t="str">
        <f t="shared" si="20"/>
        <v>24</v>
      </c>
      <c r="N563" s="38" t="str">
        <f t="shared" si="21"/>
        <v>02</v>
      </c>
      <c r="O563" s="50" t="s">
        <v>764</v>
      </c>
      <c r="P563" s="50" t="s">
        <v>848</v>
      </c>
      <c r="Q563" s="50">
        <v>302</v>
      </c>
    </row>
    <row r="564" spans="1:17" ht="16" x14ac:dyDescent="0.45">
      <c r="A564" s="2" t="str">
        <f>IFERROR(VLOOKUP(B564,CODE!$B:$D,3,0),"-")</f>
        <v>SNS</v>
      </c>
      <c r="B564" s="2" t="str">
        <f>IF(L564="-",VLOOKUP(J564,CODE!$B:$D,2,0),L564)</f>
        <v>SNS</v>
      </c>
      <c r="C564" s="2" t="s">
        <v>266</v>
      </c>
      <c r="D564" s="2" t="s">
        <v>281</v>
      </c>
      <c r="E564" s="2" t="s">
        <v>282</v>
      </c>
      <c r="F564" s="2" t="s">
        <v>268</v>
      </c>
      <c r="G564" s="2" t="s">
        <v>283</v>
      </c>
      <c r="H564" s="2" t="s">
        <v>284</v>
      </c>
      <c r="I564" s="2" t="s">
        <v>451</v>
      </c>
      <c r="J564" s="2" t="s">
        <v>4</v>
      </c>
      <c r="K564" s="2" t="s">
        <v>232</v>
      </c>
      <c r="L564" s="2" t="s">
        <v>82</v>
      </c>
      <c r="M564" s="38" t="str">
        <f t="shared" si="20"/>
        <v>24</v>
      </c>
      <c r="N564" s="38" t="str">
        <f t="shared" si="21"/>
        <v>02</v>
      </c>
      <c r="O564" s="50" t="s">
        <v>849</v>
      </c>
      <c r="P564" s="50" t="s">
        <v>750</v>
      </c>
      <c r="Q564" s="50">
        <v>452</v>
      </c>
    </row>
    <row r="565" spans="1:17" ht="16" x14ac:dyDescent="0.45">
      <c r="A565" s="2" t="str">
        <f>IFERROR(VLOOKUP(B565,CODE!$B:$D,3,0),"-")</f>
        <v>SNS</v>
      </c>
      <c r="B565" s="2" t="str">
        <f>IF(L565="-",VLOOKUP(J565,CODE!$B:$D,2,0),L565)</f>
        <v>SNS</v>
      </c>
      <c r="C565" s="2" t="s">
        <v>266</v>
      </c>
      <c r="D565" s="2" t="s">
        <v>281</v>
      </c>
      <c r="E565" s="2" t="s">
        <v>282</v>
      </c>
      <c r="F565" s="2" t="s">
        <v>268</v>
      </c>
      <c r="G565" s="2" t="s">
        <v>283</v>
      </c>
      <c r="H565" s="2" t="s">
        <v>284</v>
      </c>
      <c r="I565" s="2" t="s">
        <v>451</v>
      </c>
      <c r="J565" s="2" t="s">
        <v>4</v>
      </c>
      <c r="K565" s="2" t="s">
        <v>232</v>
      </c>
      <c r="L565" s="2" t="s">
        <v>82</v>
      </c>
      <c r="M565" s="38" t="str">
        <f t="shared" si="20"/>
        <v>24</v>
      </c>
      <c r="N565" s="38" t="str">
        <f t="shared" si="21"/>
        <v>03</v>
      </c>
      <c r="O565" s="50" t="s">
        <v>850</v>
      </c>
      <c r="P565" s="50" t="s">
        <v>851</v>
      </c>
      <c r="Q565" s="50">
        <v>399</v>
      </c>
    </row>
    <row r="566" spans="1:17" ht="16" x14ac:dyDescent="0.45">
      <c r="A566" s="2" t="str">
        <f>IFERROR(VLOOKUP(B566,CODE!$B:$D,3,0),"-")</f>
        <v>SNS</v>
      </c>
      <c r="B566" s="2" t="str">
        <f>IF(L566="-",VLOOKUP(J566,CODE!$B:$D,2,0),L566)</f>
        <v>SNS</v>
      </c>
      <c r="C566" s="2" t="s">
        <v>266</v>
      </c>
      <c r="D566" s="2" t="s">
        <v>281</v>
      </c>
      <c r="E566" s="2" t="s">
        <v>282</v>
      </c>
      <c r="F566" s="2" t="s">
        <v>268</v>
      </c>
      <c r="G566" s="2" t="s">
        <v>283</v>
      </c>
      <c r="H566" s="2" t="s">
        <v>284</v>
      </c>
      <c r="I566" s="2" t="s">
        <v>451</v>
      </c>
      <c r="J566" s="2" t="s">
        <v>4</v>
      </c>
      <c r="K566" s="2" t="s">
        <v>232</v>
      </c>
      <c r="L566" s="2" t="s">
        <v>82</v>
      </c>
      <c r="M566" s="38" t="str">
        <f t="shared" si="20"/>
        <v>24</v>
      </c>
      <c r="N566" s="38" t="str">
        <f t="shared" si="21"/>
        <v>03</v>
      </c>
      <c r="O566" s="50" t="s">
        <v>288</v>
      </c>
      <c r="P566" s="50" t="s">
        <v>852</v>
      </c>
      <c r="Q566" s="50">
        <v>599</v>
      </c>
    </row>
    <row r="567" spans="1:17" ht="16" x14ac:dyDescent="0.45">
      <c r="A567" s="2" t="str">
        <f>IFERROR(VLOOKUP(B567,CODE!$B:$D,3,0),"-")</f>
        <v>SNS</v>
      </c>
      <c r="B567" s="2" t="str">
        <f>IF(L567="-",VLOOKUP(J567,CODE!$B:$D,2,0),L567)</f>
        <v>SNS</v>
      </c>
      <c r="C567" s="2" t="s">
        <v>266</v>
      </c>
      <c r="D567" s="2" t="s">
        <v>281</v>
      </c>
      <c r="E567" s="2" t="s">
        <v>282</v>
      </c>
      <c r="F567" s="2" t="s">
        <v>268</v>
      </c>
      <c r="G567" s="2" t="s">
        <v>283</v>
      </c>
      <c r="H567" s="2" t="s">
        <v>284</v>
      </c>
      <c r="I567" s="2" t="s">
        <v>451</v>
      </c>
      <c r="J567" s="2" t="s">
        <v>4</v>
      </c>
      <c r="K567" s="2" t="s">
        <v>232</v>
      </c>
      <c r="L567" s="2" t="s">
        <v>82</v>
      </c>
      <c r="M567" s="38" t="str">
        <f t="shared" si="20"/>
        <v>24</v>
      </c>
      <c r="N567" s="38" t="str">
        <f t="shared" si="21"/>
        <v>04</v>
      </c>
      <c r="O567" s="50" t="s">
        <v>853</v>
      </c>
      <c r="P567" s="50" t="s">
        <v>854</v>
      </c>
      <c r="Q567" s="50">
        <v>399</v>
      </c>
    </row>
    <row r="568" spans="1:17" ht="16" x14ac:dyDescent="0.45">
      <c r="A568" s="2" t="str">
        <f>IFERROR(VLOOKUP(B568,CODE!$B:$D,3,0),"-")</f>
        <v>SNS</v>
      </c>
      <c r="B568" s="2" t="str">
        <f>IF(L568="-",VLOOKUP(J568,CODE!$B:$D,2,0),L568)</f>
        <v>SNS</v>
      </c>
      <c r="C568" s="2" t="s">
        <v>266</v>
      </c>
      <c r="D568" s="2" t="s">
        <v>281</v>
      </c>
      <c r="E568" s="2" t="s">
        <v>282</v>
      </c>
      <c r="F568" s="2" t="s">
        <v>268</v>
      </c>
      <c r="G568" s="2" t="s">
        <v>283</v>
      </c>
      <c r="H568" s="2" t="s">
        <v>284</v>
      </c>
      <c r="I568" s="2" t="s">
        <v>451</v>
      </c>
      <c r="J568" s="2" t="s">
        <v>4</v>
      </c>
      <c r="K568" s="2" t="s">
        <v>232</v>
      </c>
      <c r="L568" s="2" t="s">
        <v>82</v>
      </c>
      <c r="M568" s="38" t="str">
        <f t="shared" si="20"/>
        <v>24</v>
      </c>
      <c r="N568" s="38" t="str">
        <f t="shared" si="21"/>
        <v>05</v>
      </c>
      <c r="O568" s="50" t="s">
        <v>795</v>
      </c>
      <c r="P568" s="50" t="s">
        <v>855</v>
      </c>
      <c r="Q568" s="50">
        <v>695</v>
      </c>
    </row>
    <row r="569" spans="1:17" ht="16" x14ac:dyDescent="0.45">
      <c r="A569" s="2" t="str">
        <f>IFERROR(VLOOKUP(B569,CODE!$B:$D,3,0),"-")</f>
        <v>SNS</v>
      </c>
      <c r="B569" s="2" t="str">
        <f>IF(L569="-",VLOOKUP(J569,CODE!$B:$D,2,0),L569)</f>
        <v>SNS</v>
      </c>
      <c r="C569" s="2" t="s">
        <v>266</v>
      </c>
      <c r="D569" s="2" t="s">
        <v>281</v>
      </c>
      <c r="E569" s="2" t="s">
        <v>282</v>
      </c>
      <c r="F569" s="2" t="s">
        <v>268</v>
      </c>
      <c r="G569" s="2" t="s">
        <v>283</v>
      </c>
      <c r="H569" s="2" t="s">
        <v>284</v>
      </c>
      <c r="I569" s="2" t="s">
        <v>451</v>
      </c>
      <c r="J569" s="2" t="s">
        <v>4</v>
      </c>
      <c r="K569" s="2" t="s">
        <v>232</v>
      </c>
      <c r="L569" s="2" t="s">
        <v>82</v>
      </c>
      <c r="M569" s="38" t="str">
        <f t="shared" si="20"/>
        <v>24</v>
      </c>
      <c r="N569" s="38" t="str">
        <f t="shared" si="21"/>
        <v>05</v>
      </c>
      <c r="O569" s="50" t="s">
        <v>855</v>
      </c>
      <c r="P569" s="50" t="s">
        <v>796</v>
      </c>
      <c r="Q569" s="50">
        <v>1389</v>
      </c>
    </row>
    <row r="570" spans="1:17" ht="16" x14ac:dyDescent="0.45">
      <c r="A570" s="2" t="str">
        <f>IFERROR(VLOOKUP(B570,CODE!$B:$D,3,0),"-")</f>
        <v>SNS</v>
      </c>
      <c r="B570" s="2" t="str">
        <f>IF(L570="-",VLOOKUP(J570,CODE!$B:$D,2,0),L570)</f>
        <v>SNS</v>
      </c>
      <c r="C570" s="2" t="s">
        <v>266</v>
      </c>
      <c r="D570" s="2" t="s">
        <v>281</v>
      </c>
      <c r="E570" s="2" t="s">
        <v>282</v>
      </c>
      <c r="F570" s="2" t="s">
        <v>268</v>
      </c>
      <c r="G570" s="2" t="s">
        <v>283</v>
      </c>
      <c r="H570" s="2" t="s">
        <v>284</v>
      </c>
      <c r="I570" s="2" t="s">
        <v>451</v>
      </c>
      <c r="J570" s="2" t="s">
        <v>4</v>
      </c>
      <c r="K570" s="2" t="s">
        <v>232</v>
      </c>
      <c r="L570" s="2" t="s">
        <v>82</v>
      </c>
      <c r="M570" s="38" t="str">
        <f t="shared" si="20"/>
        <v>24</v>
      </c>
      <c r="N570" s="38" t="str">
        <f t="shared" si="21"/>
        <v>05</v>
      </c>
      <c r="O570" s="50" t="s">
        <v>797</v>
      </c>
      <c r="P570" s="50" t="s">
        <v>806</v>
      </c>
      <c r="Q570" s="50">
        <v>1736</v>
      </c>
    </row>
    <row r="571" spans="1:17" ht="16" x14ac:dyDescent="0.45">
      <c r="A571" s="2" t="str">
        <f>IFERROR(VLOOKUP(B571,CODE!$B:$D,3,0),"-")</f>
        <v>SNS</v>
      </c>
      <c r="B571" s="2" t="str">
        <f>IF(L571="-",VLOOKUP(J571,CODE!$B:$D,2,0),L571)</f>
        <v>SNS</v>
      </c>
      <c r="C571" s="2" t="s">
        <v>266</v>
      </c>
      <c r="D571" s="2" t="s">
        <v>281</v>
      </c>
      <c r="E571" s="2" t="s">
        <v>282</v>
      </c>
      <c r="F571" s="2" t="s">
        <v>268</v>
      </c>
      <c r="G571" s="2" t="s">
        <v>283</v>
      </c>
      <c r="H571" s="2" t="s">
        <v>284</v>
      </c>
      <c r="I571" s="2" t="s">
        <v>451</v>
      </c>
      <c r="J571" s="2" t="s">
        <v>4</v>
      </c>
      <c r="K571" s="2" t="s">
        <v>232</v>
      </c>
      <c r="L571" s="2" t="s">
        <v>82</v>
      </c>
      <c r="M571" s="38" t="str">
        <f t="shared" ref="M571:M634" si="22">LEFT(O571,2)</f>
        <v>24</v>
      </c>
      <c r="N571" s="38" t="str">
        <f t="shared" ref="N571:N634" si="23">MID(O571,4,2)</f>
        <v>05</v>
      </c>
      <c r="O571" s="50" t="s">
        <v>782</v>
      </c>
      <c r="P571" s="50" t="s">
        <v>856</v>
      </c>
      <c r="Q571" s="50">
        <v>695</v>
      </c>
    </row>
    <row r="572" spans="1:17" ht="16" x14ac:dyDescent="0.45">
      <c r="A572" s="2" t="str">
        <f>IFERROR(VLOOKUP(B572,CODE!$B:$D,3,0),"-")</f>
        <v>포털</v>
      </c>
      <c r="B572" s="2" t="str">
        <f>IF(L572="-",VLOOKUP(J572,CODE!$B:$D,2,0),L572)</f>
        <v>포털</v>
      </c>
      <c r="C572" s="2" t="s">
        <v>266</v>
      </c>
      <c r="D572" s="2" t="s">
        <v>267</v>
      </c>
      <c r="E572" s="2" t="s">
        <v>267</v>
      </c>
      <c r="F572" s="2" t="s">
        <v>268</v>
      </c>
      <c r="G572" s="2" t="s">
        <v>269</v>
      </c>
      <c r="H572" s="2" t="s">
        <v>270</v>
      </c>
      <c r="I572" s="2" t="s">
        <v>229</v>
      </c>
      <c r="J572" s="2" t="s">
        <v>1</v>
      </c>
      <c r="K572" s="2" t="s">
        <v>228</v>
      </c>
      <c r="L572" s="2" t="s">
        <v>82</v>
      </c>
      <c r="M572" s="38" t="str">
        <f t="shared" si="22"/>
        <v>24</v>
      </c>
      <c r="N572" s="38" t="str">
        <f t="shared" si="23"/>
        <v>08</v>
      </c>
      <c r="O572" s="50" t="s">
        <v>872</v>
      </c>
      <c r="P572" s="50" t="s">
        <v>873</v>
      </c>
      <c r="Q572" s="50">
        <v>10846</v>
      </c>
    </row>
    <row r="573" spans="1:17" ht="16" x14ac:dyDescent="0.45">
      <c r="A573" s="2" t="str">
        <f>IFERROR(VLOOKUP(B573,CODE!$B:$D,3,0),"-")</f>
        <v>포털</v>
      </c>
      <c r="B573" s="2" t="str">
        <f>IF(L573="-",VLOOKUP(J573,CODE!$B:$D,2,0),L573)</f>
        <v>포털</v>
      </c>
      <c r="C573" s="2" t="s">
        <v>266</v>
      </c>
      <c r="D573" s="2" t="s">
        <v>267</v>
      </c>
      <c r="E573" s="2" t="s">
        <v>267</v>
      </c>
      <c r="F573" s="2" t="s">
        <v>268</v>
      </c>
      <c r="G573" s="2" t="s">
        <v>269</v>
      </c>
      <c r="H573" s="2" t="s">
        <v>270</v>
      </c>
      <c r="I573" s="2" t="s">
        <v>229</v>
      </c>
      <c r="J573" s="2" t="s">
        <v>1</v>
      </c>
      <c r="K573" s="2" t="s">
        <v>228</v>
      </c>
      <c r="L573" s="2" t="s">
        <v>82</v>
      </c>
      <c r="M573" s="38" t="str">
        <f t="shared" si="22"/>
        <v>24</v>
      </c>
      <c r="N573" s="38" t="str">
        <f t="shared" si="23"/>
        <v>10</v>
      </c>
      <c r="O573" s="50" t="s">
        <v>314</v>
      </c>
      <c r="P573" s="50" t="s">
        <v>315</v>
      </c>
      <c r="Q573" s="50">
        <v>15422</v>
      </c>
    </row>
    <row r="574" spans="1:17" ht="16" x14ac:dyDescent="0.45">
      <c r="A574" s="2" t="str">
        <f>IFERROR(VLOOKUP(B574,CODE!$B:$D,3,0),"-")</f>
        <v>포털</v>
      </c>
      <c r="B574" s="2" t="str">
        <f>IF(L574="-",VLOOKUP(J574,CODE!$B:$D,2,0),L574)</f>
        <v>포털</v>
      </c>
      <c r="C574" s="2" t="s">
        <v>266</v>
      </c>
      <c r="D574" s="2" t="s">
        <v>267</v>
      </c>
      <c r="E574" s="2" t="s">
        <v>267</v>
      </c>
      <c r="F574" s="2" t="s">
        <v>268</v>
      </c>
      <c r="G574" s="2" t="s">
        <v>269</v>
      </c>
      <c r="H574" s="2" t="s">
        <v>270</v>
      </c>
      <c r="I574" s="2" t="s">
        <v>229</v>
      </c>
      <c r="J574" s="2" t="s">
        <v>1</v>
      </c>
      <c r="K574" s="2" t="s">
        <v>228</v>
      </c>
      <c r="L574" s="2" t="s">
        <v>82</v>
      </c>
      <c r="M574" s="38" t="str">
        <f t="shared" si="22"/>
        <v>24</v>
      </c>
      <c r="N574" s="38" t="str">
        <f t="shared" si="23"/>
        <v>10</v>
      </c>
      <c r="O574" s="50" t="s">
        <v>316</v>
      </c>
      <c r="P574" s="50" t="s">
        <v>874</v>
      </c>
      <c r="Q574" s="50">
        <v>7711</v>
      </c>
    </row>
    <row r="575" spans="1:17" ht="16" x14ac:dyDescent="0.45">
      <c r="A575" s="2" t="str">
        <f>IFERROR(VLOOKUP(B575,CODE!$B:$D,3,0),"-")</f>
        <v>네트워크</v>
      </c>
      <c r="B575" s="2" t="str">
        <f>IF(L575="-",VLOOKUP(J575,CODE!$B:$D,2,0),L575)</f>
        <v>오픈마켓</v>
      </c>
      <c r="C575" s="2" t="s">
        <v>266</v>
      </c>
      <c r="D575" s="2" t="s">
        <v>267</v>
      </c>
      <c r="E575" s="2" t="s">
        <v>267</v>
      </c>
      <c r="F575" s="2" t="s">
        <v>268</v>
      </c>
      <c r="G575" s="2" t="s">
        <v>269</v>
      </c>
      <c r="H575" s="2" t="s">
        <v>270</v>
      </c>
      <c r="I575" s="2" t="s">
        <v>318</v>
      </c>
      <c r="J575" s="2" t="s">
        <v>3</v>
      </c>
      <c r="K575" s="2" t="s">
        <v>228</v>
      </c>
      <c r="L575" s="2" t="s">
        <v>82</v>
      </c>
      <c r="M575" s="38" t="str">
        <f t="shared" si="22"/>
        <v>24</v>
      </c>
      <c r="N575" s="38" t="str">
        <f t="shared" si="23"/>
        <v>11</v>
      </c>
      <c r="O575" s="50" t="s">
        <v>875</v>
      </c>
      <c r="P575" s="50" t="s">
        <v>875</v>
      </c>
      <c r="Q575" s="50">
        <v>66</v>
      </c>
    </row>
    <row r="576" spans="1:17" ht="16" x14ac:dyDescent="0.45">
      <c r="A576" s="2" t="str">
        <f>IFERROR(VLOOKUP(B576,CODE!$B:$D,3,0),"-")</f>
        <v>네트워크</v>
      </c>
      <c r="B576" s="2" t="str">
        <f>IF(L576="-",VLOOKUP(J576,CODE!$B:$D,2,0),L576)</f>
        <v>애드몹</v>
      </c>
      <c r="C576" s="2" t="s">
        <v>266</v>
      </c>
      <c r="D576" s="2" t="s">
        <v>277</v>
      </c>
      <c r="E576" s="2" t="s">
        <v>278</v>
      </c>
      <c r="F576" s="2" t="s">
        <v>268</v>
      </c>
      <c r="G576" s="2" t="s">
        <v>269</v>
      </c>
      <c r="H576" s="2" t="s">
        <v>279</v>
      </c>
      <c r="I576" s="2" t="s">
        <v>336</v>
      </c>
      <c r="J576" s="2" t="s">
        <v>1</v>
      </c>
      <c r="K576" s="2" t="s">
        <v>228</v>
      </c>
      <c r="L576" s="2" t="s">
        <v>97</v>
      </c>
      <c r="M576" s="38" t="str">
        <f t="shared" si="22"/>
        <v>24</v>
      </c>
      <c r="N576" s="38" t="str">
        <f t="shared" si="23"/>
        <v>07</v>
      </c>
      <c r="O576" s="50" t="s">
        <v>876</v>
      </c>
      <c r="P576" s="50" t="s">
        <v>876</v>
      </c>
      <c r="Q576" s="50">
        <v>631</v>
      </c>
    </row>
    <row r="577" spans="1:17" ht="16" x14ac:dyDescent="0.45">
      <c r="A577" s="2" t="str">
        <f>IFERROR(VLOOKUP(B577,CODE!$B:$D,3,0),"-")</f>
        <v>네트워크</v>
      </c>
      <c r="B577" s="2" t="str">
        <f>IF(L577="-",VLOOKUP(J577,CODE!$B:$D,2,0),L577)</f>
        <v>애드몹</v>
      </c>
      <c r="C577" s="2" t="s">
        <v>266</v>
      </c>
      <c r="D577" s="2" t="s">
        <v>277</v>
      </c>
      <c r="E577" s="2" t="s">
        <v>278</v>
      </c>
      <c r="F577" s="2" t="s">
        <v>268</v>
      </c>
      <c r="G577" s="2" t="s">
        <v>269</v>
      </c>
      <c r="H577" s="2" t="s">
        <v>279</v>
      </c>
      <c r="I577" s="2" t="s">
        <v>857</v>
      </c>
      <c r="J577" s="2" t="s">
        <v>7</v>
      </c>
      <c r="K577" s="2" t="s">
        <v>228</v>
      </c>
      <c r="L577" s="2" t="s">
        <v>97</v>
      </c>
      <c r="M577" s="38" t="str">
        <f t="shared" si="22"/>
        <v>24</v>
      </c>
      <c r="N577" s="38" t="str">
        <f t="shared" si="23"/>
        <v>07</v>
      </c>
      <c r="O577" s="50" t="s">
        <v>877</v>
      </c>
      <c r="P577" s="50" t="s">
        <v>877</v>
      </c>
      <c r="Q577" s="50">
        <v>133</v>
      </c>
    </row>
    <row r="578" spans="1:17" ht="16" x14ac:dyDescent="0.45">
      <c r="A578" s="2" t="str">
        <f>IFERROR(VLOOKUP(B578,CODE!$B:$D,3,0),"-")</f>
        <v>네트워크</v>
      </c>
      <c r="B578" s="2" t="str">
        <f>IF(L578="-",VLOOKUP(J578,CODE!$B:$D,2,0),L578)</f>
        <v>애드몹</v>
      </c>
      <c r="C578" s="2" t="s">
        <v>266</v>
      </c>
      <c r="D578" s="2" t="s">
        <v>277</v>
      </c>
      <c r="E578" s="2" t="s">
        <v>278</v>
      </c>
      <c r="F578" s="2" t="s">
        <v>268</v>
      </c>
      <c r="G578" s="2" t="s">
        <v>269</v>
      </c>
      <c r="H578" s="2" t="s">
        <v>279</v>
      </c>
      <c r="I578" s="2" t="s">
        <v>857</v>
      </c>
      <c r="J578" s="2" t="s">
        <v>7</v>
      </c>
      <c r="K578" s="2" t="s">
        <v>228</v>
      </c>
      <c r="L578" s="2" t="s">
        <v>97</v>
      </c>
      <c r="M578" s="38" t="str">
        <f t="shared" si="22"/>
        <v>24</v>
      </c>
      <c r="N578" s="38" t="str">
        <f t="shared" si="23"/>
        <v>08</v>
      </c>
      <c r="O578" s="50" t="s">
        <v>305</v>
      </c>
      <c r="P578" s="50" t="s">
        <v>305</v>
      </c>
      <c r="Q578" s="50">
        <v>133</v>
      </c>
    </row>
    <row r="579" spans="1:17" ht="16" x14ac:dyDescent="0.45">
      <c r="A579" s="2" t="str">
        <f>IFERROR(VLOOKUP(B579,CODE!$B:$D,3,0),"-")</f>
        <v>네트워크</v>
      </c>
      <c r="B579" s="2" t="str">
        <f>IF(L579="-",VLOOKUP(J579,CODE!$B:$D,2,0),L579)</f>
        <v>애드몹</v>
      </c>
      <c r="C579" s="2" t="s">
        <v>266</v>
      </c>
      <c r="D579" s="2" t="s">
        <v>277</v>
      </c>
      <c r="E579" s="2" t="s">
        <v>278</v>
      </c>
      <c r="F579" s="2" t="s">
        <v>268</v>
      </c>
      <c r="G579" s="2" t="s">
        <v>269</v>
      </c>
      <c r="H579" s="2" t="s">
        <v>279</v>
      </c>
      <c r="I579" s="2" t="s">
        <v>749</v>
      </c>
      <c r="J579" s="2" t="s">
        <v>7</v>
      </c>
      <c r="K579" s="2" t="s">
        <v>228</v>
      </c>
      <c r="L579" s="2" t="s">
        <v>97</v>
      </c>
      <c r="M579" s="38" t="str">
        <f t="shared" si="22"/>
        <v>24</v>
      </c>
      <c r="N579" s="38" t="str">
        <f t="shared" si="23"/>
        <v>07</v>
      </c>
      <c r="O579" s="50" t="s">
        <v>878</v>
      </c>
      <c r="P579" s="50" t="s">
        <v>878</v>
      </c>
      <c r="Q579" s="50">
        <v>127</v>
      </c>
    </row>
    <row r="580" spans="1:17" ht="16" x14ac:dyDescent="0.45">
      <c r="A580" s="2" t="str">
        <f>IFERROR(VLOOKUP(B580,CODE!$B:$D,3,0),"-")</f>
        <v>네트워크</v>
      </c>
      <c r="B580" s="2" t="str">
        <f>IF(L580="-",VLOOKUP(J580,CODE!$B:$D,2,0),L580)</f>
        <v>애드몹</v>
      </c>
      <c r="C580" s="2" t="s">
        <v>266</v>
      </c>
      <c r="D580" s="2" t="s">
        <v>277</v>
      </c>
      <c r="E580" s="2" t="s">
        <v>278</v>
      </c>
      <c r="F580" s="2" t="s">
        <v>268</v>
      </c>
      <c r="G580" s="2" t="s">
        <v>269</v>
      </c>
      <c r="H580" s="2" t="s">
        <v>279</v>
      </c>
      <c r="I580" s="2" t="s">
        <v>749</v>
      </c>
      <c r="J580" s="2" t="s">
        <v>7</v>
      </c>
      <c r="K580" s="2" t="s">
        <v>228</v>
      </c>
      <c r="L580" s="2" t="s">
        <v>97</v>
      </c>
      <c r="M580" s="38" t="str">
        <f t="shared" si="22"/>
        <v>24</v>
      </c>
      <c r="N580" s="38" t="str">
        <f t="shared" si="23"/>
        <v>08</v>
      </c>
      <c r="O580" s="50" t="s">
        <v>879</v>
      </c>
      <c r="P580" s="50" t="s">
        <v>879</v>
      </c>
      <c r="Q580" s="50">
        <v>127</v>
      </c>
    </row>
    <row r="581" spans="1:17" ht="16" x14ac:dyDescent="0.45">
      <c r="A581" s="2" t="str">
        <f>IFERROR(VLOOKUP(B581,CODE!$B:$D,3,0),"-")</f>
        <v>네트워크</v>
      </c>
      <c r="B581" s="2" t="str">
        <f>IF(L581="-",VLOOKUP(J581,CODE!$B:$D,2,0),L581)</f>
        <v>애드몹</v>
      </c>
      <c r="C581" s="2" t="s">
        <v>266</v>
      </c>
      <c r="D581" s="2" t="s">
        <v>277</v>
      </c>
      <c r="E581" s="2" t="s">
        <v>278</v>
      </c>
      <c r="F581" s="2" t="s">
        <v>268</v>
      </c>
      <c r="G581" s="2" t="s">
        <v>269</v>
      </c>
      <c r="H581" s="2" t="s">
        <v>279</v>
      </c>
      <c r="I581" s="2" t="s">
        <v>858</v>
      </c>
      <c r="J581" s="2" t="s">
        <v>84</v>
      </c>
      <c r="K581" s="2" t="s">
        <v>228</v>
      </c>
      <c r="L581" s="2" t="s">
        <v>97</v>
      </c>
      <c r="M581" s="38" t="str">
        <f t="shared" si="22"/>
        <v>24</v>
      </c>
      <c r="N581" s="38" t="str">
        <f t="shared" si="23"/>
        <v>09</v>
      </c>
      <c r="O581" s="50" t="s">
        <v>880</v>
      </c>
      <c r="P581" s="50" t="s">
        <v>880</v>
      </c>
      <c r="Q581" s="50">
        <v>279</v>
      </c>
    </row>
    <row r="582" spans="1:17" ht="16" x14ac:dyDescent="0.45">
      <c r="A582" s="2" t="str">
        <f>IFERROR(VLOOKUP(B582,CODE!$B:$D,3,0),"-")</f>
        <v>네트워크</v>
      </c>
      <c r="B582" s="2" t="str">
        <f>IF(L582="-",VLOOKUP(J582,CODE!$B:$D,2,0),L582)</f>
        <v>애드몹</v>
      </c>
      <c r="C582" s="2" t="s">
        <v>266</v>
      </c>
      <c r="D582" s="2" t="s">
        <v>277</v>
      </c>
      <c r="E582" s="2" t="s">
        <v>278</v>
      </c>
      <c r="F582" s="2" t="s">
        <v>268</v>
      </c>
      <c r="G582" s="2" t="s">
        <v>269</v>
      </c>
      <c r="H582" s="2" t="s">
        <v>279</v>
      </c>
      <c r="I582" s="2" t="s">
        <v>538</v>
      </c>
      <c r="J582" s="2" t="s">
        <v>98</v>
      </c>
      <c r="K582" s="2" t="s">
        <v>228</v>
      </c>
      <c r="L582" s="2" t="s">
        <v>97</v>
      </c>
      <c r="M582" s="38" t="str">
        <f t="shared" si="22"/>
        <v>24</v>
      </c>
      <c r="N582" s="38" t="str">
        <f t="shared" si="23"/>
        <v>08</v>
      </c>
      <c r="O582" s="50" t="s">
        <v>307</v>
      </c>
      <c r="P582" s="50" t="s">
        <v>307</v>
      </c>
      <c r="Q582" s="50">
        <v>265</v>
      </c>
    </row>
    <row r="583" spans="1:17" ht="16" x14ac:dyDescent="0.45">
      <c r="A583" s="2" t="str">
        <f>IFERROR(VLOOKUP(B583,CODE!$B:$D,3,0),"-")</f>
        <v>네트워크</v>
      </c>
      <c r="B583" s="2" t="str">
        <f>IF(L583="-",VLOOKUP(J583,CODE!$B:$D,2,0),L583)</f>
        <v>오픈마켓</v>
      </c>
      <c r="C583" s="2" t="s">
        <v>266</v>
      </c>
      <c r="D583" s="2" t="s">
        <v>277</v>
      </c>
      <c r="E583" s="2" t="s">
        <v>278</v>
      </c>
      <c r="F583" s="2" t="s">
        <v>268</v>
      </c>
      <c r="G583" s="2" t="s">
        <v>269</v>
      </c>
      <c r="H583" s="2" t="s">
        <v>279</v>
      </c>
      <c r="I583" s="2" t="s">
        <v>230</v>
      </c>
      <c r="J583" s="2" t="s">
        <v>3</v>
      </c>
      <c r="K583" s="2" t="s">
        <v>228</v>
      </c>
      <c r="L583" s="2" t="s">
        <v>82</v>
      </c>
      <c r="M583" s="38" t="str">
        <f t="shared" si="22"/>
        <v>24</v>
      </c>
      <c r="N583" s="38" t="str">
        <f t="shared" si="23"/>
        <v>10</v>
      </c>
      <c r="O583" s="50" t="s">
        <v>881</v>
      </c>
      <c r="P583" s="50" t="s">
        <v>881</v>
      </c>
      <c r="Q583" s="50">
        <v>165</v>
      </c>
    </row>
    <row r="584" spans="1:17" ht="16" x14ac:dyDescent="0.45">
      <c r="A584" s="2" t="str">
        <f>IFERROR(VLOOKUP(B584,CODE!$B:$D,3,0),"-")</f>
        <v>네트워크</v>
      </c>
      <c r="B584" s="2" t="str">
        <f>IF(L584="-",VLOOKUP(J584,CODE!$B:$D,2,0),L584)</f>
        <v>오픈마켓</v>
      </c>
      <c r="C584" s="2" t="s">
        <v>266</v>
      </c>
      <c r="D584" s="2" t="s">
        <v>277</v>
      </c>
      <c r="E584" s="2" t="s">
        <v>278</v>
      </c>
      <c r="F584" s="2" t="s">
        <v>268</v>
      </c>
      <c r="G584" s="2" t="s">
        <v>269</v>
      </c>
      <c r="H584" s="2" t="s">
        <v>279</v>
      </c>
      <c r="I584" s="2" t="s">
        <v>230</v>
      </c>
      <c r="J584" s="2" t="s">
        <v>3</v>
      </c>
      <c r="K584" s="2" t="s">
        <v>228</v>
      </c>
      <c r="L584" s="2" t="s">
        <v>82</v>
      </c>
      <c r="M584" s="38" t="str">
        <f t="shared" si="22"/>
        <v>24</v>
      </c>
      <c r="N584" s="38" t="str">
        <f t="shared" si="23"/>
        <v>10</v>
      </c>
      <c r="O584" s="50" t="s">
        <v>882</v>
      </c>
      <c r="P584" s="50" t="s">
        <v>882</v>
      </c>
      <c r="Q584" s="50">
        <v>165</v>
      </c>
    </row>
    <row r="585" spans="1:17" ht="16" x14ac:dyDescent="0.45">
      <c r="A585" s="2" t="str">
        <f>IFERROR(VLOOKUP(B585,CODE!$B:$D,3,0),"-")</f>
        <v>네트워크</v>
      </c>
      <c r="B585" s="2" t="str">
        <f>IF(L585="-",VLOOKUP(J585,CODE!$B:$D,2,0),L585)</f>
        <v>오픈마켓</v>
      </c>
      <c r="C585" s="2" t="s">
        <v>266</v>
      </c>
      <c r="D585" s="2" t="s">
        <v>277</v>
      </c>
      <c r="E585" s="2" t="s">
        <v>278</v>
      </c>
      <c r="F585" s="2" t="s">
        <v>268</v>
      </c>
      <c r="G585" s="2" t="s">
        <v>269</v>
      </c>
      <c r="H585" s="2" t="s">
        <v>279</v>
      </c>
      <c r="I585" s="2" t="s">
        <v>230</v>
      </c>
      <c r="J585" s="2" t="s">
        <v>3</v>
      </c>
      <c r="K585" s="2" t="s">
        <v>228</v>
      </c>
      <c r="L585" s="2" t="s">
        <v>82</v>
      </c>
      <c r="M585" s="38" t="str">
        <f t="shared" si="22"/>
        <v>24</v>
      </c>
      <c r="N585" s="38" t="str">
        <f t="shared" si="23"/>
        <v>10</v>
      </c>
      <c r="O585" s="50" t="s">
        <v>883</v>
      </c>
      <c r="P585" s="50" t="s">
        <v>883</v>
      </c>
      <c r="Q585" s="50">
        <v>165</v>
      </c>
    </row>
    <row r="586" spans="1:17" ht="16" x14ac:dyDescent="0.45">
      <c r="A586" s="2" t="str">
        <f>IFERROR(VLOOKUP(B586,CODE!$B:$D,3,0),"-")</f>
        <v>네트워크</v>
      </c>
      <c r="B586" s="2" t="str">
        <f>IF(L586="-",VLOOKUP(J586,CODE!$B:$D,2,0),L586)</f>
        <v>애드몹</v>
      </c>
      <c r="C586" s="2" t="s">
        <v>266</v>
      </c>
      <c r="D586" s="2" t="s">
        <v>277</v>
      </c>
      <c r="E586" s="2" t="s">
        <v>278</v>
      </c>
      <c r="F586" s="2" t="s">
        <v>268</v>
      </c>
      <c r="G586" s="2" t="s">
        <v>269</v>
      </c>
      <c r="H586" s="2" t="s">
        <v>279</v>
      </c>
      <c r="I586" s="2" t="s">
        <v>732</v>
      </c>
      <c r="J586" s="2" t="s">
        <v>73</v>
      </c>
      <c r="K586" s="2" t="s">
        <v>232</v>
      </c>
      <c r="L586" s="2" t="s">
        <v>97</v>
      </c>
      <c r="M586" s="38" t="str">
        <f t="shared" si="22"/>
        <v>24</v>
      </c>
      <c r="N586" s="38" t="str">
        <f t="shared" si="23"/>
        <v>07</v>
      </c>
      <c r="O586" s="50" t="s">
        <v>884</v>
      </c>
      <c r="P586" s="50" t="s">
        <v>884</v>
      </c>
      <c r="Q586" s="50">
        <v>78</v>
      </c>
    </row>
    <row r="587" spans="1:17" ht="16" x14ac:dyDescent="0.45">
      <c r="A587" s="2" t="str">
        <f>IFERROR(VLOOKUP(B587,CODE!$B:$D,3,0),"-")</f>
        <v>네트워크</v>
      </c>
      <c r="B587" s="2" t="str">
        <f>IF(L587="-",VLOOKUP(J587,CODE!$B:$D,2,0),L587)</f>
        <v>애드몹</v>
      </c>
      <c r="C587" s="2" t="s">
        <v>266</v>
      </c>
      <c r="D587" s="2" t="s">
        <v>277</v>
      </c>
      <c r="E587" s="2" t="s">
        <v>278</v>
      </c>
      <c r="F587" s="2" t="s">
        <v>268</v>
      </c>
      <c r="G587" s="2" t="s">
        <v>269</v>
      </c>
      <c r="H587" s="2" t="s">
        <v>279</v>
      </c>
      <c r="I587" s="2" t="s">
        <v>859</v>
      </c>
      <c r="J587" s="2" t="s">
        <v>73</v>
      </c>
      <c r="K587" s="2" t="s">
        <v>232</v>
      </c>
      <c r="L587" s="2" t="s">
        <v>97</v>
      </c>
      <c r="M587" s="38" t="str">
        <f t="shared" si="22"/>
        <v>24</v>
      </c>
      <c r="N587" s="38" t="str">
        <f t="shared" si="23"/>
        <v>07</v>
      </c>
      <c r="O587" s="50" t="s">
        <v>885</v>
      </c>
      <c r="P587" s="50" t="s">
        <v>302</v>
      </c>
      <c r="Q587" s="50">
        <v>311</v>
      </c>
    </row>
    <row r="588" spans="1:17" ht="16" x14ac:dyDescent="0.45">
      <c r="A588" s="2" t="str">
        <f>IFERROR(VLOOKUP(B588,CODE!$B:$D,3,0),"-")</f>
        <v>네트워크</v>
      </c>
      <c r="B588" s="2" t="str">
        <f>IF(L588="-",VLOOKUP(J588,CODE!$B:$D,2,0),L588)</f>
        <v>애드몹</v>
      </c>
      <c r="C588" s="2" t="s">
        <v>266</v>
      </c>
      <c r="D588" s="2" t="s">
        <v>277</v>
      </c>
      <c r="E588" s="2" t="s">
        <v>278</v>
      </c>
      <c r="F588" s="2" t="s">
        <v>268</v>
      </c>
      <c r="G588" s="2" t="s">
        <v>269</v>
      </c>
      <c r="H588" s="2" t="s">
        <v>279</v>
      </c>
      <c r="I588" s="2" t="s">
        <v>551</v>
      </c>
      <c r="J588" s="2" t="s">
        <v>58</v>
      </c>
      <c r="K588" s="2" t="s">
        <v>232</v>
      </c>
      <c r="L588" s="2" t="s">
        <v>97</v>
      </c>
      <c r="M588" s="38" t="str">
        <f t="shared" si="22"/>
        <v>24</v>
      </c>
      <c r="N588" s="38" t="str">
        <f t="shared" si="23"/>
        <v>08</v>
      </c>
      <c r="O588" s="50" t="s">
        <v>312</v>
      </c>
      <c r="P588" s="50" t="s">
        <v>312</v>
      </c>
      <c r="Q588" s="50">
        <v>78</v>
      </c>
    </row>
    <row r="589" spans="1:17" ht="16" x14ac:dyDescent="0.45">
      <c r="A589" s="2" t="str">
        <f>IFERROR(VLOOKUP(B589,CODE!$B:$D,3,0),"-")</f>
        <v>네트워크</v>
      </c>
      <c r="B589" s="2" t="str">
        <f>IF(L589="-",VLOOKUP(J589,CODE!$B:$D,2,0),L589)</f>
        <v>애드몹</v>
      </c>
      <c r="C589" s="2" t="s">
        <v>266</v>
      </c>
      <c r="D589" s="2" t="s">
        <v>277</v>
      </c>
      <c r="E589" s="2" t="s">
        <v>278</v>
      </c>
      <c r="F589" s="2" t="s">
        <v>268</v>
      </c>
      <c r="G589" s="2" t="s">
        <v>269</v>
      </c>
      <c r="H589" s="2" t="s">
        <v>279</v>
      </c>
      <c r="I589" s="2" t="s">
        <v>733</v>
      </c>
      <c r="J589" s="2" t="s">
        <v>734</v>
      </c>
      <c r="K589" s="2" t="s">
        <v>232</v>
      </c>
      <c r="L589" s="2" t="s">
        <v>97</v>
      </c>
      <c r="M589" s="38" t="str">
        <f t="shared" si="22"/>
        <v>24</v>
      </c>
      <c r="N589" s="38" t="str">
        <f t="shared" si="23"/>
        <v>07</v>
      </c>
      <c r="O589" s="50" t="s">
        <v>886</v>
      </c>
      <c r="P589" s="50" t="s">
        <v>886</v>
      </c>
      <c r="Q589" s="50">
        <v>78</v>
      </c>
    </row>
    <row r="590" spans="1:17" ht="16" x14ac:dyDescent="0.45">
      <c r="A590" s="2" t="str">
        <f>IFERROR(VLOOKUP(B590,CODE!$B:$D,3,0),"-")</f>
        <v>네트워크</v>
      </c>
      <c r="B590" s="2" t="str">
        <f>IF(L590="-",VLOOKUP(J590,CODE!$B:$D,2,0),L590)</f>
        <v>애드몹</v>
      </c>
      <c r="C590" s="2" t="s">
        <v>266</v>
      </c>
      <c r="D590" s="2" t="s">
        <v>277</v>
      </c>
      <c r="E590" s="2" t="s">
        <v>278</v>
      </c>
      <c r="F590" s="2" t="s">
        <v>268</v>
      </c>
      <c r="G590" s="2" t="s">
        <v>269</v>
      </c>
      <c r="H590" s="2" t="s">
        <v>279</v>
      </c>
      <c r="I590" s="2" t="s">
        <v>733</v>
      </c>
      <c r="J590" s="2" t="s">
        <v>734</v>
      </c>
      <c r="K590" s="2" t="s">
        <v>232</v>
      </c>
      <c r="L590" s="2" t="s">
        <v>97</v>
      </c>
      <c r="M590" s="38" t="str">
        <f t="shared" si="22"/>
        <v>24</v>
      </c>
      <c r="N590" s="38" t="str">
        <f t="shared" si="23"/>
        <v>08</v>
      </c>
      <c r="O590" s="50" t="s">
        <v>887</v>
      </c>
      <c r="P590" s="50" t="s">
        <v>887</v>
      </c>
      <c r="Q590" s="50">
        <v>78</v>
      </c>
    </row>
    <row r="591" spans="1:17" ht="16" x14ac:dyDescent="0.45">
      <c r="A591" s="2" t="str">
        <f>IFERROR(VLOOKUP(B591,CODE!$B:$D,3,0),"-")</f>
        <v>네트워크</v>
      </c>
      <c r="B591" s="2" t="str">
        <f>IF(L591="-",VLOOKUP(J591,CODE!$B:$D,2,0),L591)</f>
        <v>애드몹</v>
      </c>
      <c r="C591" s="2" t="s">
        <v>266</v>
      </c>
      <c r="D591" s="2" t="s">
        <v>277</v>
      </c>
      <c r="E591" s="2" t="s">
        <v>278</v>
      </c>
      <c r="F591" s="2" t="s">
        <v>268</v>
      </c>
      <c r="G591" s="2" t="s">
        <v>269</v>
      </c>
      <c r="H591" s="2" t="s">
        <v>279</v>
      </c>
      <c r="I591" s="2" t="s">
        <v>860</v>
      </c>
      <c r="J591" s="2" t="s">
        <v>594</v>
      </c>
      <c r="K591" s="2" t="s">
        <v>232</v>
      </c>
      <c r="L591" s="2" t="s">
        <v>97</v>
      </c>
      <c r="M591" s="38" t="str">
        <f t="shared" si="22"/>
        <v>24</v>
      </c>
      <c r="N591" s="38" t="str">
        <f t="shared" si="23"/>
        <v>08</v>
      </c>
      <c r="O591" s="50" t="s">
        <v>888</v>
      </c>
      <c r="P591" s="50" t="s">
        <v>888</v>
      </c>
      <c r="Q591" s="50">
        <v>78</v>
      </c>
    </row>
    <row r="592" spans="1:17" ht="16" x14ac:dyDescent="0.45">
      <c r="A592" s="2" t="str">
        <f>IFERROR(VLOOKUP(B592,CODE!$B:$D,3,0),"-")</f>
        <v>네트워크</v>
      </c>
      <c r="B592" s="2" t="str">
        <f>IF(L592="-",VLOOKUP(J592,CODE!$B:$D,2,0),L592)</f>
        <v>애드몹</v>
      </c>
      <c r="C592" s="2" t="s">
        <v>266</v>
      </c>
      <c r="D592" s="2" t="s">
        <v>277</v>
      </c>
      <c r="E592" s="2" t="s">
        <v>278</v>
      </c>
      <c r="F592" s="2" t="s">
        <v>268</v>
      </c>
      <c r="G592" s="2" t="s">
        <v>269</v>
      </c>
      <c r="H592" s="2" t="s">
        <v>279</v>
      </c>
      <c r="I592" s="2" t="s">
        <v>861</v>
      </c>
      <c r="J592" s="2" t="s">
        <v>73</v>
      </c>
      <c r="K592" s="2" t="s">
        <v>232</v>
      </c>
      <c r="L592" s="2" t="s">
        <v>97</v>
      </c>
      <c r="M592" s="38" t="str">
        <f t="shared" si="22"/>
        <v>24</v>
      </c>
      <c r="N592" s="38" t="str">
        <f t="shared" si="23"/>
        <v>07</v>
      </c>
      <c r="O592" s="50" t="s">
        <v>889</v>
      </c>
      <c r="P592" s="50" t="s">
        <v>889</v>
      </c>
      <c r="Q592" s="50">
        <v>78</v>
      </c>
    </row>
    <row r="593" spans="1:17" ht="16" x14ac:dyDescent="0.45">
      <c r="A593" s="2" t="str">
        <f>IFERROR(VLOOKUP(B593,CODE!$B:$D,3,0),"-")</f>
        <v>네트워크</v>
      </c>
      <c r="B593" s="2" t="str">
        <f>IF(L593="-",VLOOKUP(J593,CODE!$B:$D,2,0),L593)</f>
        <v>애드몹</v>
      </c>
      <c r="C593" s="2" t="s">
        <v>266</v>
      </c>
      <c r="D593" s="2" t="s">
        <v>277</v>
      </c>
      <c r="E593" s="2" t="s">
        <v>278</v>
      </c>
      <c r="F593" s="2" t="s">
        <v>268</v>
      </c>
      <c r="G593" s="2" t="s">
        <v>269</v>
      </c>
      <c r="H593" s="2" t="s">
        <v>279</v>
      </c>
      <c r="I593" s="2" t="s">
        <v>861</v>
      </c>
      <c r="J593" s="2" t="s">
        <v>73</v>
      </c>
      <c r="K593" s="2" t="s">
        <v>232</v>
      </c>
      <c r="L593" s="2" t="s">
        <v>97</v>
      </c>
      <c r="M593" s="38" t="str">
        <f t="shared" si="22"/>
        <v>24</v>
      </c>
      <c r="N593" s="38" t="str">
        <f t="shared" si="23"/>
        <v>08</v>
      </c>
      <c r="O593" s="50" t="s">
        <v>872</v>
      </c>
      <c r="P593" s="50" t="s">
        <v>872</v>
      </c>
      <c r="Q593" s="50">
        <v>78</v>
      </c>
    </row>
    <row r="594" spans="1:17" ht="16" x14ac:dyDescent="0.45">
      <c r="A594" s="2" t="str">
        <f>IFERROR(VLOOKUP(B594,CODE!$B:$D,3,0),"-")</f>
        <v>네트워크</v>
      </c>
      <c r="B594" s="2" t="str">
        <f>IF(L594="-",VLOOKUP(J594,CODE!$B:$D,2,0),L594)</f>
        <v>애드몹</v>
      </c>
      <c r="C594" s="2" t="s">
        <v>266</v>
      </c>
      <c r="D594" s="2" t="s">
        <v>277</v>
      </c>
      <c r="E594" s="2" t="s">
        <v>278</v>
      </c>
      <c r="F594" s="2" t="s">
        <v>268</v>
      </c>
      <c r="G594" s="2" t="s">
        <v>269</v>
      </c>
      <c r="H594" s="2" t="s">
        <v>279</v>
      </c>
      <c r="I594" s="2" t="s">
        <v>862</v>
      </c>
      <c r="J594" s="2" t="s">
        <v>58</v>
      </c>
      <c r="K594" s="2" t="s">
        <v>232</v>
      </c>
      <c r="L594" s="2" t="s">
        <v>97</v>
      </c>
      <c r="M594" s="38" t="str">
        <f t="shared" si="22"/>
        <v>24</v>
      </c>
      <c r="N594" s="38" t="str">
        <f t="shared" si="23"/>
        <v>08</v>
      </c>
      <c r="O594" s="50" t="s">
        <v>879</v>
      </c>
      <c r="P594" s="50" t="s">
        <v>879</v>
      </c>
      <c r="Q594" s="50">
        <v>78</v>
      </c>
    </row>
    <row r="595" spans="1:17" ht="16" x14ac:dyDescent="0.45">
      <c r="A595" s="2" t="str">
        <f>IFERROR(VLOOKUP(B595,CODE!$B:$D,3,0),"-")</f>
        <v>네트워크</v>
      </c>
      <c r="B595" s="2" t="str">
        <f>IF(L595="-",VLOOKUP(J595,CODE!$B:$D,2,0),L595)</f>
        <v>애드몹</v>
      </c>
      <c r="C595" s="2" t="s">
        <v>266</v>
      </c>
      <c r="D595" s="2" t="s">
        <v>277</v>
      </c>
      <c r="E595" s="2" t="s">
        <v>278</v>
      </c>
      <c r="F595" s="2" t="s">
        <v>268</v>
      </c>
      <c r="G595" s="2" t="s">
        <v>269</v>
      </c>
      <c r="H595" s="2" t="s">
        <v>279</v>
      </c>
      <c r="I595" s="2" t="s">
        <v>862</v>
      </c>
      <c r="J595" s="2" t="s">
        <v>58</v>
      </c>
      <c r="K595" s="2" t="s">
        <v>232</v>
      </c>
      <c r="L595" s="2" t="s">
        <v>97</v>
      </c>
      <c r="M595" s="38" t="str">
        <f t="shared" si="22"/>
        <v>24</v>
      </c>
      <c r="N595" s="38" t="str">
        <f t="shared" si="23"/>
        <v>08</v>
      </c>
      <c r="O595" s="50" t="s">
        <v>890</v>
      </c>
      <c r="P595" s="50" t="s">
        <v>890</v>
      </c>
      <c r="Q595" s="50">
        <v>78</v>
      </c>
    </row>
    <row r="596" spans="1:17" ht="16" x14ac:dyDescent="0.45">
      <c r="A596" s="2" t="str">
        <f>IFERROR(VLOOKUP(B596,CODE!$B:$D,3,0),"-")</f>
        <v>네트워크</v>
      </c>
      <c r="B596" s="2" t="str">
        <f>IF(L596="-",VLOOKUP(J596,CODE!$B:$D,2,0),L596)</f>
        <v>애드몹</v>
      </c>
      <c r="C596" s="2" t="s">
        <v>266</v>
      </c>
      <c r="D596" s="2" t="s">
        <v>277</v>
      </c>
      <c r="E596" s="2" t="s">
        <v>278</v>
      </c>
      <c r="F596" s="2" t="s">
        <v>268</v>
      </c>
      <c r="G596" s="2" t="s">
        <v>269</v>
      </c>
      <c r="H596" s="2" t="s">
        <v>279</v>
      </c>
      <c r="I596" s="2" t="s">
        <v>863</v>
      </c>
      <c r="J596" s="2" t="s">
        <v>2</v>
      </c>
      <c r="K596" s="2" t="s">
        <v>232</v>
      </c>
      <c r="L596" s="2" t="s">
        <v>97</v>
      </c>
      <c r="M596" s="38" t="str">
        <f t="shared" si="22"/>
        <v>24</v>
      </c>
      <c r="N596" s="38" t="str">
        <f t="shared" si="23"/>
        <v>08</v>
      </c>
      <c r="O596" s="50" t="s">
        <v>879</v>
      </c>
      <c r="P596" s="50" t="s">
        <v>879</v>
      </c>
      <c r="Q596" s="50">
        <v>78</v>
      </c>
    </row>
    <row r="597" spans="1:17" ht="16" x14ac:dyDescent="0.45">
      <c r="A597" s="2" t="str">
        <f>IFERROR(VLOOKUP(B597,CODE!$B:$D,3,0),"-")</f>
        <v>네트워크</v>
      </c>
      <c r="B597" s="2" t="str">
        <f>IF(L597="-",VLOOKUP(J597,CODE!$B:$D,2,0),L597)</f>
        <v>애드몹</v>
      </c>
      <c r="C597" s="2" t="s">
        <v>266</v>
      </c>
      <c r="D597" s="2" t="s">
        <v>277</v>
      </c>
      <c r="E597" s="2" t="s">
        <v>278</v>
      </c>
      <c r="F597" s="2" t="s">
        <v>268</v>
      </c>
      <c r="G597" s="2" t="s">
        <v>269</v>
      </c>
      <c r="H597" s="2" t="s">
        <v>279</v>
      </c>
      <c r="I597" s="2" t="s">
        <v>864</v>
      </c>
      <c r="J597" s="2" t="s">
        <v>734</v>
      </c>
      <c r="K597" s="2" t="s">
        <v>232</v>
      </c>
      <c r="L597" s="2" t="s">
        <v>97</v>
      </c>
      <c r="M597" s="38" t="str">
        <f t="shared" si="22"/>
        <v>24</v>
      </c>
      <c r="N597" s="38" t="str">
        <f t="shared" si="23"/>
        <v>08</v>
      </c>
      <c r="O597" s="50" t="s">
        <v>891</v>
      </c>
      <c r="P597" s="50" t="s">
        <v>891</v>
      </c>
      <c r="Q597" s="50">
        <v>78</v>
      </c>
    </row>
    <row r="598" spans="1:17" ht="16" x14ac:dyDescent="0.45">
      <c r="A598" s="2" t="str">
        <f>IFERROR(VLOOKUP(B598,CODE!$B:$D,3,0),"-")</f>
        <v>네트워크</v>
      </c>
      <c r="B598" s="2" t="str">
        <f>IF(L598="-",VLOOKUP(J598,CODE!$B:$D,2,0),L598)</f>
        <v>애드몹</v>
      </c>
      <c r="C598" s="2" t="s">
        <v>266</v>
      </c>
      <c r="D598" s="2" t="s">
        <v>277</v>
      </c>
      <c r="E598" s="2" t="s">
        <v>278</v>
      </c>
      <c r="F598" s="2" t="s">
        <v>268</v>
      </c>
      <c r="G598" s="2" t="s">
        <v>269</v>
      </c>
      <c r="H598" s="2" t="s">
        <v>279</v>
      </c>
      <c r="I598" s="2" t="s">
        <v>865</v>
      </c>
      <c r="J598" s="2" t="s">
        <v>73</v>
      </c>
      <c r="K598" s="2" t="s">
        <v>232</v>
      </c>
      <c r="L598" s="2" t="s">
        <v>97</v>
      </c>
      <c r="M598" s="38" t="str">
        <f t="shared" si="22"/>
        <v>24</v>
      </c>
      <c r="N598" s="38" t="str">
        <f t="shared" si="23"/>
        <v>08</v>
      </c>
      <c r="O598" s="50" t="s">
        <v>892</v>
      </c>
      <c r="P598" s="50" t="s">
        <v>892</v>
      </c>
      <c r="Q598" s="50">
        <v>78</v>
      </c>
    </row>
    <row r="599" spans="1:17" ht="16" x14ac:dyDescent="0.45">
      <c r="A599" s="2" t="str">
        <f>IFERROR(VLOOKUP(B599,CODE!$B:$D,3,0),"-")</f>
        <v>네트워크</v>
      </c>
      <c r="B599" s="2" t="str">
        <f>IF(L599="-",VLOOKUP(J599,CODE!$B:$D,2,0),L599)</f>
        <v>애드몹</v>
      </c>
      <c r="C599" s="2" t="s">
        <v>266</v>
      </c>
      <c r="D599" s="2" t="s">
        <v>277</v>
      </c>
      <c r="E599" s="2" t="s">
        <v>278</v>
      </c>
      <c r="F599" s="2" t="s">
        <v>268</v>
      </c>
      <c r="G599" s="2" t="s">
        <v>269</v>
      </c>
      <c r="H599" s="2" t="s">
        <v>279</v>
      </c>
      <c r="I599" s="2" t="s">
        <v>866</v>
      </c>
      <c r="J599" s="2" t="s">
        <v>73</v>
      </c>
      <c r="K599" s="2" t="s">
        <v>232</v>
      </c>
      <c r="L599" s="2" t="s">
        <v>97</v>
      </c>
      <c r="M599" s="38" t="str">
        <f t="shared" si="22"/>
        <v>24</v>
      </c>
      <c r="N599" s="38" t="str">
        <f t="shared" si="23"/>
        <v>08</v>
      </c>
      <c r="O599" s="50" t="s">
        <v>890</v>
      </c>
      <c r="P599" s="50" t="s">
        <v>890</v>
      </c>
      <c r="Q599" s="50">
        <v>78</v>
      </c>
    </row>
    <row r="600" spans="1:17" ht="16" x14ac:dyDescent="0.45">
      <c r="A600" s="2" t="str">
        <f>IFERROR(VLOOKUP(B600,CODE!$B:$D,3,0),"-")</f>
        <v>네트워크</v>
      </c>
      <c r="B600" s="2" t="str">
        <f>IF(L600="-",VLOOKUP(J600,CODE!$B:$D,2,0),L600)</f>
        <v>애드몹</v>
      </c>
      <c r="C600" s="2" t="s">
        <v>266</v>
      </c>
      <c r="D600" s="2" t="s">
        <v>277</v>
      </c>
      <c r="E600" s="2" t="s">
        <v>278</v>
      </c>
      <c r="F600" s="2" t="s">
        <v>268</v>
      </c>
      <c r="G600" s="2" t="s">
        <v>269</v>
      </c>
      <c r="H600" s="2" t="s">
        <v>279</v>
      </c>
      <c r="I600" s="2" t="s">
        <v>867</v>
      </c>
      <c r="J600" s="2" t="s">
        <v>73</v>
      </c>
      <c r="K600" s="2" t="s">
        <v>232</v>
      </c>
      <c r="L600" s="2" t="s">
        <v>97</v>
      </c>
      <c r="M600" s="38" t="str">
        <f t="shared" si="22"/>
        <v>24</v>
      </c>
      <c r="N600" s="38" t="str">
        <f t="shared" si="23"/>
        <v>09</v>
      </c>
      <c r="O600" s="50" t="s">
        <v>893</v>
      </c>
      <c r="P600" s="50" t="s">
        <v>893</v>
      </c>
      <c r="Q600" s="50">
        <v>82</v>
      </c>
    </row>
    <row r="601" spans="1:17" ht="16" x14ac:dyDescent="0.45">
      <c r="A601" s="2" t="str">
        <f>IFERROR(VLOOKUP(B601,CODE!$B:$D,3,0),"-")</f>
        <v>SNS</v>
      </c>
      <c r="B601" s="2" t="str">
        <f>IF(L601="-",VLOOKUP(J601,CODE!$B:$D,2,0),L601)</f>
        <v>SNS</v>
      </c>
      <c r="C601" s="2" t="s">
        <v>266</v>
      </c>
      <c r="D601" s="2" t="s">
        <v>277</v>
      </c>
      <c r="E601" s="2" t="s">
        <v>278</v>
      </c>
      <c r="F601" s="2" t="s">
        <v>268</v>
      </c>
      <c r="G601" s="2" t="s">
        <v>269</v>
      </c>
      <c r="H601" s="2" t="s">
        <v>279</v>
      </c>
      <c r="I601" s="2" t="s">
        <v>451</v>
      </c>
      <c r="J601" s="2" t="s">
        <v>4</v>
      </c>
      <c r="K601" s="2" t="s">
        <v>232</v>
      </c>
      <c r="L601" s="2" t="s">
        <v>82</v>
      </c>
      <c r="M601" s="38" t="str">
        <f t="shared" si="22"/>
        <v>24</v>
      </c>
      <c r="N601" s="38" t="str">
        <f t="shared" si="23"/>
        <v>11</v>
      </c>
      <c r="O601" s="50" t="s">
        <v>894</v>
      </c>
      <c r="P601" s="50" t="s">
        <v>894</v>
      </c>
      <c r="Q601" s="50">
        <v>734</v>
      </c>
    </row>
    <row r="602" spans="1:17" ht="16" x14ac:dyDescent="0.45">
      <c r="A602" s="2" t="str">
        <f>IFERROR(VLOOKUP(B602,CODE!$B:$D,3,0),"-")</f>
        <v>SNS</v>
      </c>
      <c r="B602" s="2" t="str">
        <f>IF(L602="-",VLOOKUP(J602,CODE!$B:$D,2,0),L602)</f>
        <v>SNS</v>
      </c>
      <c r="C602" s="2" t="s">
        <v>266</v>
      </c>
      <c r="D602" s="2" t="s">
        <v>277</v>
      </c>
      <c r="E602" s="2" t="s">
        <v>278</v>
      </c>
      <c r="F602" s="2" t="s">
        <v>268</v>
      </c>
      <c r="G602" s="2" t="s">
        <v>269</v>
      </c>
      <c r="H602" s="2" t="s">
        <v>279</v>
      </c>
      <c r="I602" s="2" t="s">
        <v>451</v>
      </c>
      <c r="J602" s="2" t="s">
        <v>4</v>
      </c>
      <c r="K602" s="2" t="s">
        <v>232</v>
      </c>
      <c r="L602" s="2" t="s">
        <v>82</v>
      </c>
      <c r="M602" s="38" t="str">
        <f t="shared" si="22"/>
        <v>24</v>
      </c>
      <c r="N602" s="38" t="str">
        <f t="shared" si="23"/>
        <v>12</v>
      </c>
      <c r="O602" s="50" t="s">
        <v>895</v>
      </c>
      <c r="P602" s="50" t="s">
        <v>895</v>
      </c>
      <c r="Q602" s="50">
        <v>542</v>
      </c>
    </row>
    <row r="603" spans="1:17" ht="16" x14ac:dyDescent="0.45">
      <c r="A603" s="2" t="str">
        <f>IFERROR(VLOOKUP(B603,CODE!$B:$D,3,0),"-")</f>
        <v>SNS</v>
      </c>
      <c r="B603" s="2" t="str">
        <f>IF(L603="-",VLOOKUP(J603,CODE!$B:$D,2,0),L603)</f>
        <v>SNS</v>
      </c>
      <c r="C603" s="2" t="s">
        <v>266</v>
      </c>
      <c r="D603" s="2" t="s">
        <v>277</v>
      </c>
      <c r="E603" s="2" t="s">
        <v>278</v>
      </c>
      <c r="F603" s="2" t="s">
        <v>268</v>
      </c>
      <c r="G603" s="2" t="s">
        <v>269</v>
      </c>
      <c r="H603" s="2" t="s">
        <v>279</v>
      </c>
      <c r="I603" s="2" t="s">
        <v>451</v>
      </c>
      <c r="J603" s="2" t="s">
        <v>4</v>
      </c>
      <c r="K603" s="2" t="s">
        <v>232</v>
      </c>
      <c r="L603" s="2" t="s">
        <v>82</v>
      </c>
      <c r="M603" s="38" t="str">
        <f t="shared" si="22"/>
        <v>24</v>
      </c>
      <c r="N603" s="38" t="str">
        <f t="shared" si="23"/>
        <v>12</v>
      </c>
      <c r="O603" s="50" t="s">
        <v>896</v>
      </c>
      <c r="P603" s="50" t="s">
        <v>897</v>
      </c>
      <c r="Q603" s="50">
        <v>2708</v>
      </c>
    </row>
    <row r="604" spans="1:17" ht="16" x14ac:dyDescent="0.45">
      <c r="A604" s="2" t="str">
        <f>IFERROR(VLOOKUP(B604,CODE!$B:$D,3,0),"-")</f>
        <v>네트워크</v>
      </c>
      <c r="B604" s="2" t="str">
        <f>IF(L604="-",VLOOKUP(J604,CODE!$B:$D,2,0),L604)</f>
        <v>애드몹</v>
      </c>
      <c r="C604" s="2" t="s">
        <v>266</v>
      </c>
      <c r="D604" s="2" t="s">
        <v>277</v>
      </c>
      <c r="E604" s="2" t="s">
        <v>278</v>
      </c>
      <c r="F604" s="2" t="s">
        <v>268</v>
      </c>
      <c r="G604" s="2" t="s">
        <v>269</v>
      </c>
      <c r="H604" s="2" t="s">
        <v>279</v>
      </c>
      <c r="I604" s="2" t="s">
        <v>575</v>
      </c>
      <c r="J604" s="2" t="s">
        <v>73</v>
      </c>
      <c r="K604" s="2" t="s">
        <v>232</v>
      </c>
      <c r="L604" s="2" t="s">
        <v>97</v>
      </c>
      <c r="M604" s="38" t="str">
        <f t="shared" si="22"/>
        <v>24</v>
      </c>
      <c r="N604" s="38" t="str">
        <f t="shared" si="23"/>
        <v>07</v>
      </c>
      <c r="O604" s="50" t="s">
        <v>898</v>
      </c>
      <c r="P604" s="50" t="s">
        <v>898</v>
      </c>
      <c r="Q604" s="50">
        <v>78</v>
      </c>
    </row>
    <row r="605" spans="1:17" ht="16" x14ac:dyDescent="0.45">
      <c r="A605" s="2" t="str">
        <f>IFERROR(VLOOKUP(B605,CODE!$B:$D,3,0),"-")</f>
        <v>네트워크</v>
      </c>
      <c r="B605" s="2" t="str">
        <f>IF(L605="-",VLOOKUP(J605,CODE!$B:$D,2,0),L605)</f>
        <v>애드몹</v>
      </c>
      <c r="C605" s="2" t="s">
        <v>266</v>
      </c>
      <c r="D605" s="2" t="s">
        <v>277</v>
      </c>
      <c r="E605" s="2" t="s">
        <v>278</v>
      </c>
      <c r="F605" s="2" t="s">
        <v>268</v>
      </c>
      <c r="G605" s="2" t="s">
        <v>269</v>
      </c>
      <c r="H605" s="2" t="s">
        <v>279</v>
      </c>
      <c r="I605" s="2" t="s">
        <v>582</v>
      </c>
      <c r="J605" s="2" t="s">
        <v>73</v>
      </c>
      <c r="K605" s="2" t="s">
        <v>232</v>
      </c>
      <c r="L605" s="2" t="s">
        <v>97</v>
      </c>
      <c r="M605" s="38" t="str">
        <f t="shared" si="22"/>
        <v>24</v>
      </c>
      <c r="N605" s="38" t="str">
        <f t="shared" si="23"/>
        <v>07</v>
      </c>
      <c r="O605" s="50" t="s">
        <v>899</v>
      </c>
      <c r="P605" s="50" t="s">
        <v>899</v>
      </c>
      <c r="Q605" s="50">
        <v>78</v>
      </c>
    </row>
    <row r="606" spans="1:17" ht="16" x14ac:dyDescent="0.45">
      <c r="A606" s="2" t="str">
        <f>IFERROR(VLOOKUP(B606,CODE!$B:$D,3,0),"-")</f>
        <v>네트워크</v>
      </c>
      <c r="B606" s="2" t="str">
        <f>IF(L606="-",VLOOKUP(J606,CODE!$B:$D,2,0),L606)</f>
        <v>애드몹</v>
      </c>
      <c r="C606" s="2" t="s">
        <v>266</v>
      </c>
      <c r="D606" s="2" t="s">
        <v>277</v>
      </c>
      <c r="E606" s="2" t="s">
        <v>278</v>
      </c>
      <c r="F606" s="2" t="s">
        <v>268</v>
      </c>
      <c r="G606" s="2" t="s">
        <v>269</v>
      </c>
      <c r="H606" s="2" t="s">
        <v>279</v>
      </c>
      <c r="I606" s="2" t="s">
        <v>582</v>
      </c>
      <c r="J606" s="2" t="s">
        <v>73</v>
      </c>
      <c r="K606" s="2" t="s">
        <v>232</v>
      </c>
      <c r="L606" s="2" t="s">
        <v>97</v>
      </c>
      <c r="M606" s="38" t="str">
        <f t="shared" si="22"/>
        <v>24</v>
      </c>
      <c r="N606" s="38" t="str">
        <f t="shared" si="23"/>
        <v>08</v>
      </c>
      <c r="O606" s="50" t="s">
        <v>305</v>
      </c>
      <c r="P606" s="50" t="s">
        <v>305</v>
      </c>
      <c r="Q606" s="50">
        <v>78</v>
      </c>
    </row>
    <row r="607" spans="1:17" ht="16" x14ac:dyDescent="0.45">
      <c r="A607" s="2" t="str">
        <f>IFERROR(VLOOKUP(B607,CODE!$B:$D,3,0),"-")</f>
        <v>네트워크</v>
      </c>
      <c r="B607" s="2" t="str">
        <f>IF(L607="-",VLOOKUP(J607,CODE!$B:$D,2,0),L607)</f>
        <v>애드몹</v>
      </c>
      <c r="C607" s="2" t="s">
        <v>266</v>
      </c>
      <c r="D607" s="2" t="s">
        <v>277</v>
      </c>
      <c r="E607" s="2" t="s">
        <v>278</v>
      </c>
      <c r="F607" s="2" t="s">
        <v>268</v>
      </c>
      <c r="G607" s="2" t="s">
        <v>269</v>
      </c>
      <c r="H607" s="2" t="s">
        <v>279</v>
      </c>
      <c r="I607" s="2" t="s">
        <v>741</v>
      </c>
      <c r="J607" s="2" t="s">
        <v>73</v>
      </c>
      <c r="K607" s="2" t="s">
        <v>232</v>
      </c>
      <c r="L607" s="2" t="s">
        <v>97</v>
      </c>
      <c r="M607" s="38" t="str">
        <f t="shared" si="22"/>
        <v>24</v>
      </c>
      <c r="N607" s="38" t="str">
        <f t="shared" si="23"/>
        <v>07</v>
      </c>
      <c r="O607" s="50" t="s">
        <v>900</v>
      </c>
      <c r="P607" s="50" t="s">
        <v>900</v>
      </c>
      <c r="Q607" s="50">
        <v>78</v>
      </c>
    </row>
    <row r="608" spans="1:17" ht="16" x14ac:dyDescent="0.45">
      <c r="A608" s="2" t="str">
        <f>IFERROR(VLOOKUP(B608,CODE!$B:$D,3,0),"-")</f>
        <v>네트워크</v>
      </c>
      <c r="B608" s="2" t="str">
        <f>IF(L608="-",VLOOKUP(J608,CODE!$B:$D,2,0),L608)</f>
        <v>애드몹</v>
      </c>
      <c r="C608" s="2" t="s">
        <v>266</v>
      </c>
      <c r="D608" s="2" t="s">
        <v>277</v>
      </c>
      <c r="E608" s="2" t="s">
        <v>278</v>
      </c>
      <c r="F608" s="2" t="s">
        <v>268</v>
      </c>
      <c r="G608" s="2" t="s">
        <v>269</v>
      </c>
      <c r="H608" s="2" t="s">
        <v>279</v>
      </c>
      <c r="I608" s="2" t="s">
        <v>868</v>
      </c>
      <c r="J608" s="2" t="s">
        <v>73</v>
      </c>
      <c r="K608" s="2" t="s">
        <v>232</v>
      </c>
      <c r="L608" s="2" t="s">
        <v>97</v>
      </c>
      <c r="M608" s="38" t="str">
        <f t="shared" si="22"/>
        <v>24</v>
      </c>
      <c r="N608" s="38" t="str">
        <f t="shared" si="23"/>
        <v>07</v>
      </c>
      <c r="O608" s="50" t="s">
        <v>901</v>
      </c>
      <c r="P608" s="50" t="s">
        <v>901</v>
      </c>
      <c r="Q608" s="50">
        <v>78</v>
      </c>
    </row>
    <row r="609" spans="1:17" ht="16" x14ac:dyDescent="0.45">
      <c r="A609" s="2" t="str">
        <f>IFERROR(VLOOKUP(B609,CODE!$B:$D,3,0),"-")</f>
        <v>네트워크</v>
      </c>
      <c r="B609" s="2" t="str">
        <f>IF(L609="-",VLOOKUP(J609,CODE!$B:$D,2,0),L609)</f>
        <v>애드몹</v>
      </c>
      <c r="C609" s="2" t="s">
        <v>266</v>
      </c>
      <c r="D609" s="2" t="s">
        <v>277</v>
      </c>
      <c r="E609" s="2" t="s">
        <v>278</v>
      </c>
      <c r="F609" s="2" t="s">
        <v>268</v>
      </c>
      <c r="G609" s="2" t="s">
        <v>269</v>
      </c>
      <c r="H609" s="2" t="s">
        <v>279</v>
      </c>
      <c r="I609" s="2" t="s">
        <v>869</v>
      </c>
      <c r="J609" s="2" t="s">
        <v>73</v>
      </c>
      <c r="K609" s="2" t="s">
        <v>232</v>
      </c>
      <c r="L609" s="2" t="s">
        <v>97</v>
      </c>
      <c r="M609" s="38" t="str">
        <f t="shared" si="22"/>
        <v>24</v>
      </c>
      <c r="N609" s="38" t="str">
        <f t="shared" si="23"/>
        <v>09</v>
      </c>
      <c r="O609" s="50" t="s">
        <v>902</v>
      </c>
      <c r="P609" s="50" t="s">
        <v>902</v>
      </c>
      <c r="Q609" s="50">
        <v>82</v>
      </c>
    </row>
    <row r="610" spans="1:17" ht="16" x14ac:dyDescent="0.45">
      <c r="A610" s="2" t="str">
        <f>IFERROR(VLOOKUP(B610,CODE!$B:$D,3,0),"-")</f>
        <v>네트워크</v>
      </c>
      <c r="B610" s="2" t="str">
        <f>IF(L610="-",VLOOKUP(J610,CODE!$B:$D,2,0),L610)</f>
        <v>애드몹</v>
      </c>
      <c r="C610" s="2" t="s">
        <v>266</v>
      </c>
      <c r="D610" s="2" t="s">
        <v>277</v>
      </c>
      <c r="E610" s="2" t="s">
        <v>278</v>
      </c>
      <c r="F610" s="2" t="s">
        <v>268</v>
      </c>
      <c r="G610" s="2" t="s">
        <v>269</v>
      </c>
      <c r="H610" s="2" t="s">
        <v>279</v>
      </c>
      <c r="I610" s="2" t="s">
        <v>870</v>
      </c>
      <c r="J610" s="2" t="s">
        <v>594</v>
      </c>
      <c r="K610" s="2" t="s">
        <v>232</v>
      </c>
      <c r="L610" s="2" t="s">
        <v>97</v>
      </c>
      <c r="M610" s="38" t="str">
        <f t="shared" si="22"/>
        <v>24</v>
      </c>
      <c r="N610" s="38" t="str">
        <f t="shared" si="23"/>
        <v>07</v>
      </c>
      <c r="O610" s="50" t="s">
        <v>901</v>
      </c>
      <c r="P610" s="50" t="s">
        <v>901</v>
      </c>
      <c r="Q610" s="50">
        <v>78</v>
      </c>
    </row>
    <row r="611" spans="1:17" ht="16" x14ac:dyDescent="0.45">
      <c r="A611" s="2" t="str">
        <f>IFERROR(VLOOKUP(B611,CODE!$B:$D,3,0),"-")</f>
        <v>네트워크</v>
      </c>
      <c r="B611" s="2" t="str">
        <f>IF(L611="-",VLOOKUP(J611,CODE!$B:$D,2,0),L611)</f>
        <v>애드몹</v>
      </c>
      <c r="C611" s="2" t="s">
        <v>266</v>
      </c>
      <c r="D611" s="2" t="s">
        <v>277</v>
      </c>
      <c r="E611" s="2" t="s">
        <v>278</v>
      </c>
      <c r="F611" s="2" t="s">
        <v>268</v>
      </c>
      <c r="G611" s="2" t="s">
        <v>269</v>
      </c>
      <c r="H611" s="2" t="s">
        <v>279</v>
      </c>
      <c r="I611" s="2" t="s">
        <v>871</v>
      </c>
      <c r="J611" s="2" t="s">
        <v>73</v>
      </c>
      <c r="K611" s="2" t="s">
        <v>232</v>
      </c>
      <c r="L611" s="2" t="s">
        <v>97</v>
      </c>
      <c r="M611" s="38" t="str">
        <f t="shared" si="22"/>
        <v>24</v>
      </c>
      <c r="N611" s="38" t="str">
        <f t="shared" si="23"/>
        <v>07</v>
      </c>
      <c r="O611" s="50" t="s">
        <v>878</v>
      </c>
      <c r="P611" s="50" t="s">
        <v>878</v>
      </c>
      <c r="Q611" s="50">
        <v>78</v>
      </c>
    </row>
    <row r="612" spans="1:17" ht="16" x14ac:dyDescent="0.45">
      <c r="A612" s="2" t="str">
        <f>IFERROR(VLOOKUP(B612,CODE!$B:$D,3,0),"-")</f>
        <v>네트워크</v>
      </c>
      <c r="B612" s="2" t="str">
        <f>IF(L612="-",VLOOKUP(J612,CODE!$B:$D,2,0),L612)</f>
        <v>애드몹</v>
      </c>
      <c r="C612" s="2" t="s">
        <v>266</v>
      </c>
      <c r="D612" s="2" t="s">
        <v>277</v>
      </c>
      <c r="E612" s="2" t="s">
        <v>278</v>
      </c>
      <c r="F612" s="2" t="s">
        <v>268</v>
      </c>
      <c r="G612" s="2" t="s">
        <v>269</v>
      </c>
      <c r="H612" s="2" t="s">
        <v>279</v>
      </c>
      <c r="I612" s="2" t="s">
        <v>476</v>
      </c>
      <c r="J612" s="2" t="s">
        <v>78</v>
      </c>
      <c r="K612" s="2" t="s">
        <v>232</v>
      </c>
      <c r="L612" s="2" t="s">
        <v>97</v>
      </c>
      <c r="M612" s="38" t="str">
        <f t="shared" si="22"/>
        <v>24</v>
      </c>
      <c r="N612" s="38" t="str">
        <f t="shared" si="23"/>
        <v>09</v>
      </c>
      <c r="O612" s="50" t="s">
        <v>903</v>
      </c>
      <c r="P612" s="50" t="s">
        <v>903</v>
      </c>
      <c r="Q612" s="50">
        <v>82</v>
      </c>
    </row>
    <row r="613" spans="1:17" ht="16" x14ac:dyDescent="0.45">
      <c r="A613" s="2" t="str">
        <f>IFERROR(VLOOKUP(B613,CODE!$B:$D,3,0),"-")</f>
        <v>SNS</v>
      </c>
      <c r="B613" s="2" t="str">
        <f>IF(L613="-",VLOOKUP(J613,CODE!$B:$D,2,0),L613)</f>
        <v>SNS</v>
      </c>
      <c r="C613" s="2" t="s">
        <v>266</v>
      </c>
      <c r="D613" s="2" t="s">
        <v>277</v>
      </c>
      <c r="E613" s="2" t="s">
        <v>296</v>
      </c>
      <c r="F613" s="2" t="s">
        <v>268</v>
      </c>
      <c r="G613" s="2" t="s">
        <v>269</v>
      </c>
      <c r="H613" s="2" t="s">
        <v>297</v>
      </c>
      <c r="I613" s="2" t="s">
        <v>451</v>
      </c>
      <c r="J613" s="2" t="s">
        <v>4</v>
      </c>
      <c r="K613" s="2" t="s">
        <v>232</v>
      </c>
      <c r="L613" s="2" t="s">
        <v>82</v>
      </c>
      <c r="M613" s="38" t="str">
        <f t="shared" si="22"/>
        <v>24</v>
      </c>
      <c r="N613" s="38" t="str">
        <f t="shared" si="23"/>
        <v>08</v>
      </c>
      <c r="O613" s="50" t="s">
        <v>879</v>
      </c>
      <c r="P613" s="50" t="s">
        <v>904</v>
      </c>
      <c r="Q613" s="50">
        <v>1676</v>
      </c>
    </row>
    <row r="614" spans="1:17" ht="16" x14ac:dyDescent="0.45">
      <c r="A614" s="2" t="str">
        <f>IFERROR(VLOOKUP(B614,CODE!$B:$D,3,0),"-")</f>
        <v>SNS</v>
      </c>
      <c r="B614" s="2" t="str">
        <f>IF(L614="-",VLOOKUP(J614,CODE!$B:$D,2,0),L614)</f>
        <v>SNS</v>
      </c>
      <c r="C614" s="2" t="s">
        <v>266</v>
      </c>
      <c r="D614" s="2" t="s">
        <v>277</v>
      </c>
      <c r="E614" s="2" t="s">
        <v>296</v>
      </c>
      <c r="F614" s="2" t="s">
        <v>268</v>
      </c>
      <c r="G614" s="2" t="s">
        <v>269</v>
      </c>
      <c r="H614" s="2" t="s">
        <v>297</v>
      </c>
      <c r="I614" s="2" t="s">
        <v>451</v>
      </c>
      <c r="J614" s="2" t="s">
        <v>4</v>
      </c>
      <c r="K614" s="2" t="s">
        <v>232</v>
      </c>
      <c r="L614" s="2" t="s">
        <v>82</v>
      </c>
      <c r="M614" s="38" t="str">
        <f t="shared" si="22"/>
        <v>24</v>
      </c>
      <c r="N614" s="38" t="str">
        <f t="shared" si="23"/>
        <v>08</v>
      </c>
      <c r="O614" s="50" t="s">
        <v>905</v>
      </c>
      <c r="P614" s="50" t="s">
        <v>905</v>
      </c>
      <c r="Q614" s="50">
        <v>559</v>
      </c>
    </row>
    <row r="615" spans="1:17" ht="16" x14ac:dyDescent="0.45">
      <c r="A615" s="2" t="str">
        <f>IFERROR(VLOOKUP(B615,CODE!$B:$D,3,0),"-")</f>
        <v>포털</v>
      </c>
      <c r="B615" s="2" t="str">
        <f>IF(L615="-",VLOOKUP(J615,CODE!$B:$D,2,0),L615)</f>
        <v>포털</v>
      </c>
      <c r="C615" s="2" t="s">
        <v>266</v>
      </c>
      <c r="D615" s="2" t="s">
        <v>281</v>
      </c>
      <c r="E615" s="2" t="s">
        <v>282</v>
      </c>
      <c r="F615" s="2" t="s">
        <v>268</v>
      </c>
      <c r="G615" s="2" t="s">
        <v>283</v>
      </c>
      <c r="H615" s="2" t="s">
        <v>284</v>
      </c>
      <c r="I615" s="2" t="s">
        <v>229</v>
      </c>
      <c r="J615" s="2" t="s">
        <v>1</v>
      </c>
      <c r="K615" s="2" t="s">
        <v>228</v>
      </c>
      <c r="L615" s="2" t="s">
        <v>82</v>
      </c>
      <c r="M615" s="38" t="str">
        <f t="shared" si="22"/>
        <v>24</v>
      </c>
      <c r="N615" s="38" t="str">
        <f t="shared" si="23"/>
        <v>07</v>
      </c>
      <c r="O615" s="50" t="s">
        <v>906</v>
      </c>
      <c r="P615" s="50" t="s">
        <v>906</v>
      </c>
      <c r="Q615" s="50">
        <v>2169</v>
      </c>
    </row>
    <row r="616" spans="1:17" ht="16" x14ac:dyDescent="0.45">
      <c r="A616" s="2" t="str">
        <f>IFERROR(VLOOKUP(B616,CODE!$B:$D,3,0),"-")</f>
        <v>포털</v>
      </c>
      <c r="B616" s="2" t="str">
        <f>IF(L616="-",VLOOKUP(J616,CODE!$B:$D,2,0),L616)</f>
        <v>포털</v>
      </c>
      <c r="C616" s="2" t="s">
        <v>266</v>
      </c>
      <c r="D616" s="2" t="s">
        <v>281</v>
      </c>
      <c r="E616" s="2" t="s">
        <v>282</v>
      </c>
      <c r="F616" s="2" t="s">
        <v>268</v>
      </c>
      <c r="G616" s="2" t="s">
        <v>283</v>
      </c>
      <c r="H616" s="2" t="s">
        <v>284</v>
      </c>
      <c r="I616" s="2" t="s">
        <v>229</v>
      </c>
      <c r="J616" s="2" t="s">
        <v>1</v>
      </c>
      <c r="K616" s="2" t="s">
        <v>228</v>
      </c>
      <c r="L616" s="2" t="s">
        <v>82</v>
      </c>
      <c r="M616" s="38" t="str">
        <f t="shared" si="22"/>
        <v>24</v>
      </c>
      <c r="N616" s="38" t="str">
        <f t="shared" si="23"/>
        <v>07</v>
      </c>
      <c r="O616" s="50" t="s">
        <v>898</v>
      </c>
      <c r="P616" s="50" t="s">
        <v>898</v>
      </c>
      <c r="Q616" s="50">
        <v>2169</v>
      </c>
    </row>
    <row r="617" spans="1:17" ht="16" x14ac:dyDescent="0.45">
      <c r="A617" s="2" t="str">
        <f>IFERROR(VLOOKUP(B617,CODE!$B:$D,3,0),"-")</f>
        <v>포털</v>
      </c>
      <c r="B617" s="2" t="str">
        <f>IF(L617="-",VLOOKUP(J617,CODE!$B:$D,2,0),L617)</f>
        <v>포털</v>
      </c>
      <c r="C617" s="2" t="s">
        <v>266</v>
      </c>
      <c r="D617" s="2" t="s">
        <v>281</v>
      </c>
      <c r="E617" s="2" t="s">
        <v>282</v>
      </c>
      <c r="F617" s="2" t="s">
        <v>268</v>
      </c>
      <c r="G617" s="2" t="s">
        <v>283</v>
      </c>
      <c r="H617" s="2" t="s">
        <v>284</v>
      </c>
      <c r="I617" s="2" t="s">
        <v>229</v>
      </c>
      <c r="J617" s="2" t="s">
        <v>1</v>
      </c>
      <c r="K617" s="2" t="s">
        <v>228</v>
      </c>
      <c r="L617" s="2" t="s">
        <v>82</v>
      </c>
      <c r="M617" s="38" t="str">
        <f t="shared" si="22"/>
        <v>24</v>
      </c>
      <c r="N617" s="38" t="str">
        <f t="shared" si="23"/>
        <v>08</v>
      </c>
      <c r="O617" s="50" t="s">
        <v>879</v>
      </c>
      <c r="P617" s="50" t="s">
        <v>907</v>
      </c>
      <c r="Q617" s="50">
        <v>4338</v>
      </c>
    </row>
    <row r="618" spans="1:17" ht="16" x14ac:dyDescent="0.45">
      <c r="A618" s="2" t="str">
        <f>IFERROR(VLOOKUP(B618,CODE!$B:$D,3,0),"-")</f>
        <v>포털</v>
      </c>
      <c r="B618" s="2" t="str">
        <f>IF(L618="-",VLOOKUP(J618,CODE!$B:$D,2,0),L618)</f>
        <v>포털</v>
      </c>
      <c r="C618" s="2" t="s">
        <v>266</v>
      </c>
      <c r="D618" s="2" t="s">
        <v>281</v>
      </c>
      <c r="E618" s="2" t="s">
        <v>282</v>
      </c>
      <c r="F618" s="2" t="s">
        <v>268</v>
      </c>
      <c r="G618" s="2" t="s">
        <v>283</v>
      </c>
      <c r="H618" s="2" t="s">
        <v>284</v>
      </c>
      <c r="I618" s="2" t="s">
        <v>229</v>
      </c>
      <c r="J618" s="2" t="s">
        <v>1</v>
      </c>
      <c r="K618" s="2" t="s">
        <v>228</v>
      </c>
      <c r="L618" s="2" t="s">
        <v>82</v>
      </c>
      <c r="M618" s="38" t="str">
        <f t="shared" si="22"/>
        <v>24</v>
      </c>
      <c r="N618" s="38" t="str">
        <f t="shared" si="23"/>
        <v>08</v>
      </c>
      <c r="O618" s="50" t="s">
        <v>905</v>
      </c>
      <c r="P618" s="50" t="s">
        <v>908</v>
      </c>
      <c r="Q618" s="50">
        <v>8677</v>
      </c>
    </row>
    <row r="619" spans="1:17" ht="16" x14ac:dyDescent="0.45">
      <c r="A619" s="2" t="str">
        <f>IFERROR(VLOOKUP(B619,CODE!$B:$D,3,0),"-")</f>
        <v>포털</v>
      </c>
      <c r="B619" s="2" t="str">
        <f>IF(L619="-",VLOOKUP(J619,CODE!$B:$D,2,0),L619)</f>
        <v>포털</v>
      </c>
      <c r="C619" s="2" t="s">
        <v>266</v>
      </c>
      <c r="D619" s="2" t="s">
        <v>281</v>
      </c>
      <c r="E619" s="2" t="s">
        <v>282</v>
      </c>
      <c r="F619" s="2" t="s">
        <v>268</v>
      </c>
      <c r="G619" s="2" t="s">
        <v>283</v>
      </c>
      <c r="H619" s="2" t="s">
        <v>284</v>
      </c>
      <c r="I619" s="2" t="s">
        <v>229</v>
      </c>
      <c r="J619" s="2" t="s">
        <v>1</v>
      </c>
      <c r="K619" s="2" t="s">
        <v>228</v>
      </c>
      <c r="L619" s="2" t="s">
        <v>82</v>
      </c>
      <c r="M619" s="38" t="str">
        <f t="shared" si="22"/>
        <v>24</v>
      </c>
      <c r="N619" s="38" t="str">
        <f t="shared" si="23"/>
        <v>08</v>
      </c>
      <c r="O619" s="50" t="s">
        <v>891</v>
      </c>
      <c r="P619" s="50" t="s">
        <v>909</v>
      </c>
      <c r="Q619" s="50">
        <v>10846</v>
      </c>
    </row>
    <row r="620" spans="1:17" ht="16" x14ac:dyDescent="0.45">
      <c r="A620" s="2" t="str">
        <f>IFERROR(VLOOKUP(B620,CODE!$B:$D,3,0),"-")</f>
        <v>포털</v>
      </c>
      <c r="B620" s="2" t="str">
        <f>IF(L620="-",VLOOKUP(J620,CODE!$B:$D,2,0),L620)</f>
        <v>포털</v>
      </c>
      <c r="C620" s="2" t="s">
        <v>266</v>
      </c>
      <c r="D620" s="2" t="s">
        <v>281</v>
      </c>
      <c r="E620" s="2" t="s">
        <v>282</v>
      </c>
      <c r="F620" s="2" t="s">
        <v>268</v>
      </c>
      <c r="G620" s="2" t="s">
        <v>283</v>
      </c>
      <c r="H620" s="2" t="s">
        <v>284</v>
      </c>
      <c r="I620" s="2" t="s">
        <v>229</v>
      </c>
      <c r="J620" s="2" t="s">
        <v>1</v>
      </c>
      <c r="K620" s="2" t="s">
        <v>228</v>
      </c>
      <c r="L620" s="2" t="s">
        <v>82</v>
      </c>
      <c r="M620" s="38" t="str">
        <f t="shared" si="22"/>
        <v>24</v>
      </c>
      <c r="N620" s="38" t="str">
        <f t="shared" si="23"/>
        <v>08</v>
      </c>
      <c r="O620" s="50" t="s">
        <v>890</v>
      </c>
      <c r="P620" s="50" t="s">
        <v>890</v>
      </c>
      <c r="Q620" s="50">
        <v>2169</v>
      </c>
    </row>
    <row r="621" spans="1:17" ht="16" x14ac:dyDescent="0.45">
      <c r="A621" s="2" t="str">
        <f>IFERROR(VLOOKUP(B621,CODE!$B:$D,3,0),"-")</f>
        <v>포털</v>
      </c>
      <c r="B621" s="2" t="str">
        <f>IF(L621="-",VLOOKUP(J621,CODE!$B:$D,2,0),L621)</f>
        <v>포털</v>
      </c>
      <c r="C621" s="2" t="s">
        <v>266</v>
      </c>
      <c r="D621" s="2" t="s">
        <v>281</v>
      </c>
      <c r="E621" s="2" t="s">
        <v>282</v>
      </c>
      <c r="F621" s="2" t="s">
        <v>268</v>
      </c>
      <c r="G621" s="2" t="s">
        <v>283</v>
      </c>
      <c r="H621" s="2" t="s">
        <v>284</v>
      </c>
      <c r="I621" s="2" t="s">
        <v>229</v>
      </c>
      <c r="J621" s="2" t="s">
        <v>1</v>
      </c>
      <c r="K621" s="2" t="s">
        <v>228</v>
      </c>
      <c r="L621" s="2" t="s">
        <v>82</v>
      </c>
      <c r="M621" s="38" t="str">
        <f t="shared" si="22"/>
        <v>24</v>
      </c>
      <c r="N621" s="38" t="str">
        <f t="shared" si="23"/>
        <v>08</v>
      </c>
      <c r="O621" s="50" t="s">
        <v>304</v>
      </c>
      <c r="P621" s="50" t="s">
        <v>304</v>
      </c>
      <c r="Q621" s="50">
        <v>2169</v>
      </c>
    </row>
    <row r="622" spans="1:17" ht="16" x14ac:dyDescent="0.45">
      <c r="A622" s="2" t="str">
        <f>IFERROR(VLOOKUP(B622,CODE!$B:$D,3,0),"-")</f>
        <v>포털</v>
      </c>
      <c r="B622" s="2" t="str">
        <f>IF(L622="-",VLOOKUP(J622,CODE!$B:$D,2,0),L622)</f>
        <v>포털</v>
      </c>
      <c r="C622" s="2" t="s">
        <v>266</v>
      </c>
      <c r="D622" s="2" t="s">
        <v>281</v>
      </c>
      <c r="E622" s="2" t="s">
        <v>282</v>
      </c>
      <c r="F622" s="2" t="s">
        <v>268</v>
      </c>
      <c r="G622" s="2" t="s">
        <v>283</v>
      </c>
      <c r="H622" s="2" t="s">
        <v>284</v>
      </c>
      <c r="I622" s="2" t="s">
        <v>229</v>
      </c>
      <c r="J622" s="2" t="s">
        <v>1</v>
      </c>
      <c r="K622" s="2" t="s">
        <v>228</v>
      </c>
      <c r="L622" s="2" t="s">
        <v>82</v>
      </c>
      <c r="M622" s="38" t="str">
        <f t="shared" si="22"/>
        <v>24</v>
      </c>
      <c r="N622" s="38" t="str">
        <f t="shared" si="23"/>
        <v>08</v>
      </c>
      <c r="O622" s="50" t="s">
        <v>305</v>
      </c>
      <c r="P622" s="50" t="s">
        <v>306</v>
      </c>
      <c r="Q622" s="50">
        <v>15184</v>
      </c>
    </row>
    <row r="623" spans="1:17" ht="16" x14ac:dyDescent="0.45">
      <c r="A623" s="2" t="str">
        <f>IFERROR(VLOOKUP(B623,CODE!$B:$D,3,0),"-")</f>
        <v>포털</v>
      </c>
      <c r="B623" s="2" t="str">
        <f>IF(L623="-",VLOOKUP(J623,CODE!$B:$D,2,0),L623)</f>
        <v>포털</v>
      </c>
      <c r="C623" s="2" t="s">
        <v>266</v>
      </c>
      <c r="D623" s="2" t="s">
        <v>281</v>
      </c>
      <c r="E623" s="2" t="s">
        <v>282</v>
      </c>
      <c r="F623" s="2" t="s">
        <v>268</v>
      </c>
      <c r="G623" s="2" t="s">
        <v>283</v>
      </c>
      <c r="H623" s="2" t="s">
        <v>284</v>
      </c>
      <c r="I623" s="2" t="s">
        <v>229</v>
      </c>
      <c r="J623" s="2" t="s">
        <v>1</v>
      </c>
      <c r="K623" s="2" t="s">
        <v>228</v>
      </c>
      <c r="L623" s="2" t="s">
        <v>82</v>
      </c>
      <c r="M623" s="38" t="str">
        <f t="shared" si="22"/>
        <v>24</v>
      </c>
      <c r="N623" s="38" t="str">
        <f t="shared" si="23"/>
        <v>08</v>
      </c>
      <c r="O623" s="50" t="s">
        <v>312</v>
      </c>
      <c r="P623" s="50" t="s">
        <v>910</v>
      </c>
      <c r="Q623" s="50">
        <v>10846</v>
      </c>
    </row>
    <row r="624" spans="1:17" ht="16" x14ac:dyDescent="0.45">
      <c r="A624" s="2" t="str">
        <f>IFERROR(VLOOKUP(B624,CODE!$B:$D,3,0),"-")</f>
        <v>포털</v>
      </c>
      <c r="B624" s="2" t="str">
        <f>IF(L624="-",VLOOKUP(J624,CODE!$B:$D,2,0),L624)</f>
        <v>포털</v>
      </c>
      <c r="C624" s="2" t="s">
        <v>266</v>
      </c>
      <c r="D624" s="2" t="s">
        <v>281</v>
      </c>
      <c r="E624" s="2" t="s">
        <v>282</v>
      </c>
      <c r="F624" s="2" t="s">
        <v>268</v>
      </c>
      <c r="G624" s="2" t="s">
        <v>283</v>
      </c>
      <c r="H624" s="2" t="s">
        <v>284</v>
      </c>
      <c r="I624" s="2" t="s">
        <v>229</v>
      </c>
      <c r="J624" s="2" t="s">
        <v>1</v>
      </c>
      <c r="K624" s="2" t="s">
        <v>228</v>
      </c>
      <c r="L624" s="2" t="s">
        <v>82</v>
      </c>
      <c r="M624" s="38" t="str">
        <f t="shared" si="22"/>
        <v>24</v>
      </c>
      <c r="N624" s="38" t="str">
        <f t="shared" si="23"/>
        <v>08</v>
      </c>
      <c r="O624" s="50" t="s">
        <v>911</v>
      </c>
      <c r="P624" s="50" t="s">
        <v>911</v>
      </c>
      <c r="Q624" s="50">
        <v>2169</v>
      </c>
    </row>
    <row r="625" spans="1:17" ht="16" x14ac:dyDescent="0.45">
      <c r="A625" s="2" t="str">
        <f>IFERROR(VLOOKUP(B625,CODE!$B:$D,3,0),"-")</f>
        <v>포털</v>
      </c>
      <c r="B625" s="2" t="str">
        <f>IF(L625="-",VLOOKUP(J625,CODE!$B:$D,2,0),L625)</f>
        <v>포털</v>
      </c>
      <c r="C625" s="2" t="s">
        <v>266</v>
      </c>
      <c r="D625" s="2" t="s">
        <v>281</v>
      </c>
      <c r="E625" s="2" t="s">
        <v>282</v>
      </c>
      <c r="F625" s="2" t="s">
        <v>268</v>
      </c>
      <c r="G625" s="2" t="s">
        <v>283</v>
      </c>
      <c r="H625" s="2" t="s">
        <v>284</v>
      </c>
      <c r="I625" s="2" t="s">
        <v>229</v>
      </c>
      <c r="J625" s="2" t="s">
        <v>1</v>
      </c>
      <c r="K625" s="2" t="s">
        <v>228</v>
      </c>
      <c r="L625" s="2" t="s">
        <v>82</v>
      </c>
      <c r="M625" s="38" t="str">
        <f t="shared" si="22"/>
        <v>24</v>
      </c>
      <c r="N625" s="38" t="str">
        <f t="shared" si="23"/>
        <v>08</v>
      </c>
      <c r="O625" s="50" t="s">
        <v>872</v>
      </c>
      <c r="P625" s="50" t="s">
        <v>872</v>
      </c>
      <c r="Q625" s="50">
        <v>2169</v>
      </c>
    </row>
    <row r="626" spans="1:17" ht="16" x14ac:dyDescent="0.45">
      <c r="A626" s="2" t="s">
        <v>951</v>
      </c>
      <c r="B626" s="2" t="str">
        <f>IF(L626="-",VLOOKUP(J626,CODE!$B:$D,2,0),L626)</f>
        <v>네트워크</v>
      </c>
      <c r="C626" s="2" t="s">
        <v>266</v>
      </c>
      <c r="D626" s="2" t="s">
        <v>281</v>
      </c>
      <c r="E626" s="2" t="s">
        <v>282</v>
      </c>
      <c r="F626" s="2" t="s">
        <v>268</v>
      </c>
      <c r="G626" s="2" t="s">
        <v>283</v>
      </c>
      <c r="H626" s="2" t="s">
        <v>284</v>
      </c>
      <c r="I626" s="2" t="s">
        <v>298</v>
      </c>
      <c r="J626" s="2" t="s">
        <v>299</v>
      </c>
      <c r="K626" s="2" t="s">
        <v>228</v>
      </c>
      <c r="L626" s="2" t="s">
        <v>951</v>
      </c>
      <c r="M626" s="38" t="str">
        <f t="shared" si="22"/>
        <v>24</v>
      </c>
      <c r="N626" s="38" t="str">
        <f t="shared" si="23"/>
        <v>10</v>
      </c>
      <c r="O626" s="50" t="s">
        <v>314</v>
      </c>
      <c r="P626" s="50" t="s">
        <v>315</v>
      </c>
      <c r="Q626" s="50">
        <v>1114</v>
      </c>
    </row>
    <row r="627" spans="1:17" ht="16" x14ac:dyDescent="0.45">
      <c r="A627" s="2" t="s">
        <v>951</v>
      </c>
      <c r="B627" s="2" t="str">
        <f>IF(L627="-",VLOOKUP(J627,CODE!$B:$D,2,0),L627)</f>
        <v>네트워크</v>
      </c>
      <c r="C627" s="2" t="s">
        <v>266</v>
      </c>
      <c r="D627" s="2" t="s">
        <v>281</v>
      </c>
      <c r="E627" s="2" t="s">
        <v>282</v>
      </c>
      <c r="F627" s="2" t="s">
        <v>268</v>
      </c>
      <c r="G627" s="2" t="s">
        <v>283</v>
      </c>
      <c r="H627" s="2" t="s">
        <v>284</v>
      </c>
      <c r="I627" s="2" t="s">
        <v>298</v>
      </c>
      <c r="J627" s="2" t="s">
        <v>299</v>
      </c>
      <c r="K627" s="2" t="s">
        <v>228</v>
      </c>
      <c r="L627" s="2" t="s">
        <v>951</v>
      </c>
      <c r="M627" s="38" t="str">
        <f t="shared" si="22"/>
        <v>24</v>
      </c>
      <c r="N627" s="38" t="str">
        <f t="shared" si="23"/>
        <v>10</v>
      </c>
      <c r="O627" s="50" t="s">
        <v>912</v>
      </c>
      <c r="P627" s="50" t="s">
        <v>315</v>
      </c>
      <c r="Q627" s="50">
        <v>495</v>
      </c>
    </row>
    <row r="628" spans="1:17" ht="16" x14ac:dyDescent="0.45">
      <c r="A628" s="2" t="s">
        <v>951</v>
      </c>
      <c r="B628" s="2" t="str">
        <f>IF(L628="-",VLOOKUP(J628,CODE!$B:$D,2,0),L628)</f>
        <v>네트워크</v>
      </c>
      <c r="C628" s="2" t="s">
        <v>266</v>
      </c>
      <c r="D628" s="2" t="s">
        <v>281</v>
      </c>
      <c r="E628" s="2" t="s">
        <v>282</v>
      </c>
      <c r="F628" s="2" t="s">
        <v>268</v>
      </c>
      <c r="G628" s="2" t="s">
        <v>283</v>
      </c>
      <c r="H628" s="2" t="s">
        <v>284</v>
      </c>
      <c r="I628" s="2" t="s">
        <v>298</v>
      </c>
      <c r="J628" s="2" t="s">
        <v>299</v>
      </c>
      <c r="K628" s="2" t="s">
        <v>228</v>
      </c>
      <c r="L628" s="2" t="s">
        <v>951</v>
      </c>
      <c r="M628" s="38" t="str">
        <f t="shared" si="22"/>
        <v>24</v>
      </c>
      <c r="N628" s="38" t="str">
        <f t="shared" si="23"/>
        <v>10</v>
      </c>
      <c r="O628" s="50" t="s">
        <v>316</v>
      </c>
      <c r="P628" s="50" t="s">
        <v>317</v>
      </c>
      <c r="Q628" s="50">
        <v>1238</v>
      </c>
    </row>
    <row r="629" spans="1:17" ht="16" x14ac:dyDescent="0.45">
      <c r="A629" s="2" t="str">
        <f>IFERROR(VLOOKUP(B629,CODE!$B:$D,3,0),"-")</f>
        <v>네트워크</v>
      </c>
      <c r="B629" s="2" t="str">
        <f>IF(L629="-",VLOOKUP(J629,CODE!$B:$D,2,0),L629)</f>
        <v>카카오광고</v>
      </c>
      <c r="C629" s="2" t="s">
        <v>266</v>
      </c>
      <c r="D629" s="2" t="s">
        <v>281</v>
      </c>
      <c r="E629" s="2" t="s">
        <v>282</v>
      </c>
      <c r="F629" s="2" t="s">
        <v>268</v>
      </c>
      <c r="G629" s="2" t="s">
        <v>283</v>
      </c>
      <c r="H629" s="2" t="s">
        <v>284</v>
      </c>
      <c r="I629" s="2" t="s">
        <v>231</v>
      </c>
      <c r="J629" s="2" t="s">
        <v>76</v>
      </c>
      <c r="K629" s="2" t="s">
        <v>232</v>
      </c>
      <c r="L629" s="2" t="s">
        <v>83</v>
      </c>
      <c r="M629" s="38" t="str">
        <f t="shared" si="22"/>
        <v>24</v>
      </c>
      <c r="N629" s="38" t="str">
        <f t="shared" si="23"/>
        <v>07</v>
      </c>
      <c r="O629" s="50" t="s">
        <v>877</v>
      </c>
      <c r="P629" s="50" t="s">
        <v>889</v>
      </c>
      <c r="Q629" s="50">
        <v>26064</v>
      </c>
    </row>
    <row r="630" spans="1:17" ht="16" x14ac:dyDescent="0.45">
      <c r="A630" s="2" t="str">
        <f>IFERROR(VLOOKUP(B630,CODE!$B:$D,3,0),"-")</f>
        <v>디지털 영상</v>
      </c>
      <c r="B630" s="2" t="str">
        <f>IF(L630="-",VLOOKUP(J630,CODE!$B:$D,2,0),L630)</f>
        <v>YouTube</v>
      </c>
      <c r="C630" s="2" t="s">
        <v>913</v>
      </c>
      <c r="D630" s="2" t="s">
        <v>281</v>
      </c>
      <c r="E630" s="2" t="s">
        <v>282</v>
      </c>
      <c r="F630" s="2" t="s">
        <v>268</v>
      </c>
      <c r="G630" s="2" t="s">
        <v>283</v>
      </c>
      <c r="H630" s="2" t="s">
        <v>914</v>
      </c>
      <c r="I630" s="2" t="s">
        <v>915</v>
      </c>
      <c r="J630" s="2" t="s">
        <v>37</v>
      </c>
      <c r="K630" s="2" t="s">
        <v>916</v>
      </c>
      <c r="L630" s="2" t="s">
        <v>916</v>
      </c>
      <c r="M630" s="38" t="str">
        <f t="shared" si="22"/>
        <v>24</v>
      </c>
      <c r="N630" s="38" t="str">
        <f t="shared" si="23"/>
        <v>12</v>
      </c>
      <c r="O630" s="53" t="s">
        <v>931</v>
      </c>
      <c r="P630" s="53" t="s">
        <v>931</v>
      </c>
      <c r="Q630" s="50">
        <v>8765</v>
      </c>
    </row>
    <row r="631" spans="1:17" ht="16" x14ac:dyDescent="0.45">
      <c r="A631" s="2" t="str">
        <f>IFERROR(VLOOKUP(B631,CODE!$B:$D,3,0),"-")</f>
        <v>디지털 영상</v>
      </c>
      <c r="B631" s="2" t="str">
        <f>IF(L631="-",VLOOKUP(J631,CODE!$B:$D,2,0),L631)</f>
        <v>다음</v>
      </c>
      <c r="C631" s="2" t="s">
        <v>913</v>
      </c>
      <c r="D631" s="2" t="s">
        <v>955</v>
      </c>
      <c r="E631" s="2" t="s">
        <v>917</v>
      </c>
      <c r="F631" s="2" t="s">
        <v>268</v>
      </c>
      <c r="G631" s="2" t="s">
        <v>269</v>
      </c>
      <c r="H631" s="2" t="s">
        <v>918</v>
      </c>
      <c r="I631" s="2" t="s">
        <v>915</v>
      </c>
      <c r="J631" s="2" t="s">
        <v>37</v>
      </c>
      <c r="K631" s="2" t="s">
        <v>919</v>
      </c>
      <c r="L631" s="2" t="s">
        <v>919</v>
      </c>
      <c r="M631" s="38" t="str">
        <f t="shared" si="22"/>
        <v>24</v>
      </c>
      <c r="N631" s="38" t="str">
        <f t="shared" si="23"/>
        <v>11</v>
      </c>
      <c r="O631" s="53" t="s">
        <v>932</v>
      </c>
      <c r="P631" s="53" t="s">
        <v>932</v>
      </c>
      <c r="Q631" s="50">
        <v>1884</v>
      </c>
    </row>
    <row r="632" spans="1:17" ht="16" x14ac:dyDescent="0.45">
      <c r="A632" s="2" t="s">
        <v>952</v>
      </c>
      <c r="B632" s="2" t="str">
        <f>IF(L632="-",VLOOKUP(J632,CODE!$B:$D,2,0),L632)</f>
        <v>GOMTV</v>
      </c>
      <c r="C632" s="2" t="s">
        <v>913</v>
      </c>
      <c r="D632" s="2" t="s">
        <v>955</v>
      </c>
      <c r="E632" s="2" t="s">
        <v>917</v>
      </c>
      <c r="F632" s="2" t="s">
        <v>268</v>
      </c>
      <c r="G632" s="2" t="s">
        <v>269</v>
      </c>
      <c r="H632" s="2" t="s">
        <v>918</v>
      </c>
      <c r="I632" s="2" t="s">
        <v>915</v>
      </c>
      <c r="J632" s="2" t="s">
        <v>37</v>
      </c>
      <c r="K632" s="2" t="s">
        <v>920</v>
      </c>
      <c r="L632" s="2" t="s">
        <v>920</v>
      </c>
      <c r="M632" s="38" t="str">
        <f t="shared" si="22"/>
        <v>24</v>
      </c>
      <c r="N632" s="38" t="str">
        <f t="shared" si="23"/>
        <v>11</v>
      </c>
      <c r="O632" s="53" t="s">
        <v>932</v>
      </c>
      <c r="P632" s="53" t="s">
        <v>932</v>
      </c>
      <c r="Q632" s="53">
        <v>158</v>
      </c>
    </row>
    <row r="633" spans="1:17" ht="16" x14ac:dyDescent="0.45">
      <c r="A633" s="2" t="str">
        <f>IFERROR(VLOOKUP(B633,CODE!$B:$D,3,0),"-")</f>
        <v>디지털 영상</v>
      </c>
      <c r="B633" s="2" t="str">
        <f>IF(L633="-",VLOOKUP(J633,CODE!$B:$D,2,0),L633)</f>
        <v>YouTube</v>
      </c>
      <c r="C633" s="2" t="s">
        <v>913</v>
      </c>
      <c r="D633" s="2" t="s">
        <v>955</v>
      </c>
      <c r="E633" s="2" t="s">
        <v>917</v>
      </c>
      <c r="F633" s="2" t="s">
        <v>268</v>
      </c>
      <c r="G633" s="2" t="s">
        <v>269</v>
      </c>
      <c r="H633" s="2" t="s">
        <v>918</v>
      </c>
      <c r="I633" s="2" t="s">
        <v>915</v>
      </c>
      <c r="J633" s="2" t="s">
        <v>37</v>
      </c>
      <c r="K633" s="2" t="s">
        <v>916</v>
      </c>
      <c r="L633" s="2" t="s">
        <v>916</v>
      </c>
      <c r="M633" s="38" t="str">
        <f t="shared" si="22"/>
        <v>24</v>
      </c>
      <c r="N633" s="38" t="str">
        <f t="shared" si="23"/>
        <v>11</v>
      </c>
      <c r="O633" s="53" t="s">
        <v>932</v>
      </c>
      <c r="P633" s="53" t="s">
        <v>932</v>
      </c>
      <c r="Q633" s="50">
        <v>47352</v>
      </c>
    </row>
    <row r="634" spans="1:17" ht="16" x14ac:dyDescent="0.45">
      <c r="A634" s="2" t="str">
        <f>IFERROR(VLOOKUP(B634,CODE!$B:$D,3,0),"-")</f>
        <v>디지털 영상</v>
      </c>
      <c r="B634" s="2" t="str">
        <f>IF(L634="-",VLOOKUP(J634,CODE!$B:$D,2,0),L634)</f>
        <v>Tving</v>
      </c>
      <c r="C634" s="2" t="s">
        <v>913</v>
      </c>
      <c r="D634" s="2" t="s">
        <v>955</v>
      </c>
      <c r="E634" s="2" t="s">
        <v>917</v>
      </c>
      <c r="F634" s="2" t="s">
        <v>268</v>
      </c>
      <c r="G634" s="2" t="s">
        <v>269</v>
      </c>
      <c r="H634" s="2" t="s">
        <v>918</v>
      </c>
      <c r="I634" s="2" t="s">
        <v>915</v>
      </c>
      <c r="J634" s="2" t="s">
        <v>37</v>
      </c>
      <c r="K634" s="2" t="s">
        <v>921</v>
      </c>
      <c r="L634" s="2" t="s">
        <v>921</v>
      </c>
      <c r="M634" s="38" t="str">
        <f t="shared" si="22"/>
        <v>24</v>
      </c>
      <c r="N634" s="38" t="str">
        <f t="shared" si="23"/>
        <v>11</v>
      </c>
      <c r="O634" s="53" t="s">
        <v>932</v>
      </c>
      <c r="P634" s="53" t="s">
        <v>932</v>
      </c>
      <c r="Q634" s="50">
        <v>1737</v>
      </c>
    </row>
    <row r="635" spans="1:17" ht="16" x14ac:dyDescent="0.45">
      <c r="A635" s="2" t="str">
        <f>IFERROR(VLOOKUP(B635,CODE!$B:$D,3,0),"-")</f>
        <v>디지털 영상</v>
      </c>
      <c r="B635" s="2" t="str">
        <f>IF(L635="-",VLOOKUP(J635,CODE!$B:$D,2,0),L635)</f>
        <v>네이버</v>
      </c>
      <c r="C635" s="2" t="s">
        <v>913</v>
      </c>
      <c r="D635" s="2" t="s">
        <v>955</v>
      </c>
      <c r="E635" s="2" t="s">
        <v>917</v>
      </c>
      <c r="F635" s="2" t="s">
        <v>268</v>
      </c>
      <c r="G635" s="2" t="s">
        <v>269</v>
      </c>
      <c r="H635" s="2" t="s">
        <v>918</v>
      </c>
      <c r="I635" s="2" t="s">
        <v>915</v>
      </c>
      <c r="J635" s="2" t="s">
        <v>37</v>
      </c>
      <c r="K635" s="2" t="s">
        <v>922</v>
      </c>
      <c r="L635" s="2" t="s">
        <v>922</v>
      </c>
      <c r="M635" s="38" t="str">
        <f t="shared" ref="M635:M698" si="24">LEFT(O635,2)</f>
        <v>24</v>
      </c>
      <c r="N635" s="38" t="str">
        <f t="shared" ref="N635:N698" si="25">MID(O635,4,2)</f>
        <v>11</v>
      </c>
      <c r="O635" s="53" t="s">
        <v>932</v>
      </c>
      <c r="P635" s="53" t="s">
        <v>932</v>
      </c>
      <c r="Q635" s="53">
        <v>979</v>
      </c>
    </row>
    <row r="636" spans="1:17" ht="16" x14ac:dyDescent="0.45">
      <c r="A636" s="2" t="str">
        <f>IFERROR(VLOOKUP(B636,CODE!$B:$D,3,0),"-")</f>
        <v>디지털 영상</v>
      </c>
      <c r="B636" s="2" t="str">
        <f>IF(L636="-",VLOOKUP(J636,CODE!$B:$D,2,0),L636)</f>
        <v>YouTube</v>
      </c>
      <c r="C636" s="2" t="s">
        <v>913</v>
      </c>
      <c r="D636" s="2" t="s">
        <v>955</v>
      </c>
      <c r="E636" s="2" t="s">
        <v>917</v>
      </c>
      <c r="F636" s="2" t="s">
        <v>268</v>
      </c>
      <c r="G636" s="2" t="s">
        <v>269</v>
      </c>
      <c r="H636" s="2" t="s">
        <v>918</v>
      </c>
      <c r="I636" s="2" t="s">
        <v>915</v>
      </c>
      <c r="J636" s="2" t="s">
        <v>37</v>
      </c>
      <c r="K636" s="2" t="s">
        <v>916</v>
      </c>
      <c r="L636" s="2" t="s">
        <v>916</v>
      </c>
      <c r="M636" s="38" t="str">
        <f t="shared" si="24"/>
        <v>24</v>
      </c>
      <c r="N636" s="38" t="str">
        <f t="shared" si="25"/>
        <v>10</v>
      </c>
      <c r="O636" s="53" t="s">
        <v>933</v>
      </c>
      <c r="P636" s="53" t="s">
        <v>933</v>
      </c>
      <c r="Q636" s="50">
        <v>102913</v>
      </c>
    </row>
    <row r="637" spans="1:17" ht="16" x14ac:dyDescent="0.45">
      <c r="A637" s="2" t="str">
        <f>IFERROR(VLOOKUP(B637,CODE!$B:$D,3,0),"-")</f>
        <v>디지털 영상</v>
      </c>
      <c r="B637" s="2" t="str">
        <f>IF(L637="-",VLOOKUP(J637,CODE!$B:$D,2,0),L637)</f>
        <v>Tving</v>
      </c>
      <c r="C637" s="2" t="s">
        <v>913</v>
      </c>
      <c r="D637" s="2" t="s">
        <v>955</v>
      </c>
      <c r="E637" s="2" t="s">
        <v>917</v>
      </c>
      <c r="F637" s="2" t="s">
        <v>268</v>
      </c>
      <c r="G637" s="2" t="s">
        <v>269</v>
      </c>
      <c r="H637" s="2" t="s">
        <v>918</v>
      </c>
      <c r="I637" s="2" t="s">
        <v>915</v>
      </c>
      <c r="J637" s="2" t="s">
        <v>37</v>
      </c>
      <c r="K637" s="2" t="s">
        <v>921</v>
      </c>
      <c r="L637" s="2" t="s">
        <v>921</v>
      </c>
      <c r="M637" s="38" t="str">
        <f t="shared" si="24"/>
        <v>24</v>
      </c>
      <c r="N637" s="38" t="str">
        <f t="shared" si="25"/>
        <v>10</v>
      </c>
      <c r="O637" s="53" t="s">
        <v>933</v>
      </c>
      <c r="P637" s="53" t="s">
        <v>933</v>
      </c>
      <c r="Q637" s="50">
        <v>1535</v>
      </c>
    </row>
    <row r="638" spans="1:17" ht="16" x14ac:dyDescent="0.45">
      <c r="A638" s="2" t="str">
        <f>IFERROR(VLOOKUP(B638,CODE!$B:$D,3,0),"-")</f>
        <v>디지털 영상</v>
      </c>
      <c r="B638" s="2" t="str">
        <f>IF(L638="-",VLOOKUP(J638,CODE!$B:$D,2,0),L638)</f>
        <v>네이버</v>
      </c>
      <c r="C638" s="2" t="s">
        <v>913</v>
      </c>
      <c r="D638" s="2" t="s">
        <v>955</v>
      </c>
      <c r="E638" s="2" t="s">
        <v>917</v>
      </c>
      <c r="F638" s="2" t="s">
        <v>268</v>
      </c>
      <c r="G638" s="2" t="s">
        <v>269</v>
      </c>
      <c r="H638" s="2" t="s">
        <v>918</v>
      </c>
      <c r="I638" s="2" t="s">
        <v>915</v>
      </c>
      <c r="J638" s="2" t="s">
        <v>37</v>
      </c>
      <c r="K638" s="2" t="s">
        <v>922</v>
      </c>
      <c r="L638" s="2" t="s">
        <v>922</v>
      </c>
      <c r="M638" s="38" t="str">
        <f t="shared" si="24"/>
        <v>24</v>
      </c>
      <c r="N638" s="38" t="str">
        <f t="shared" si="25"/>
        <v>10</v>
      </c>
      <c r="O638" s="53" t="s">
        <v>933</v>
      </c>
      <c r="P638" s="53" t="s">
        <v>933</v>
      </c>
      <c r="Q638" s="53">
        <v>7</v>
      </c>
    </row>
    <row r="639" spans="1:17" ht="16" x14ac:dyDescent="0.45">
      <c r="A639" s="2" t="s">
        <v>952</v>
      </c>
      <c r="B639" s="2" t="str">
        <f>IF(L639="-",VLOOKUP(J639,CODE!$B:$D,2,0),L639)</f>
        <v>GOMTV</v>
      </c>
      <c r="C639" s="2" t="s">
        <v>913</v>
      </c>
      <c r="D639" s="2" t="s">
        <v>955</v>
      </c>
      <c r="E639" s="2" t="s">
        <v>917</v>
      </c>
      <c r="F639" s="2" t="s">
        <v>268</v>
      </c>
      <c r="G639" s="2" t="s">
        <v>269</v>
      </c>
      <c r="H639" s="2" t="s">
        <v>918</v>
      </c>
      <c r="I639" s="2" t="s">
        <v>915</v>
      </c>
      <c r="J639" s="2" t="s">
        <v>37</v>
      </c>
      <c r="K639" s="2" t="s">
        <v>920</v>
      </c>
      <c r="L639" s="2" t="s">
        <v>920</v>
      </c>
      <c r="M639" s="38" t="str">
        <f t="shared" si="24"/>
        <v>24</v>
      </c>
      <c r="N639" s="38" t="str">
        <f t="shared" si="25"/>
        <v>10</v>
      </c>
      <c r="O639" s="53" t="s">
        <v>933</v>
      </c>
      <c r="P639" s="53" t="s">
        <v>933</v>
      </c>
      <c r="Q639" s="53">
        <v>820</v>
      </c>
    </row>
    <row r="640" spans="1:17" ht="16" x14ac:dyDescent="0.45">
      <c r="A640" s="2" t="str">
        <f>IFERROR(VLOOKUP(B640,CODE!$B:$D,3,0),"-")</f>
        <v>디지털 영상</v>
      </c>
      <c r="B640" s="2" t="str">
        <f>IF(L640="-",VLOOKUP(J640,CODE!$B:$D,2,0),L640)</f>
        <v>YouTube</v>
      </c>
      <c r="C640" s="2" t="s">
        <v>913</v>
      </c>
      <c r="D640" s="2" t="s">
        <v>267</v>
      </c>
      <c r="E640" s="2" t="s">
        <v>923</v>
      </c>
      <c r="F640" s="2" t="s">
        <v>268</v>
      </c>
      <c r="G640" s="2" t="s">
        <v>269</v>
      </c>
      <c r="H640" s="2" t="s">
        <v>918</v>
      </c>
      <c r="I640" s="2" t="s">
        <v>915</v>
      </c>
      <c r="J640" s="2" t="s">
        <v>37</v>
      </c>
      <c r="K640" s="2" t="s">
        <v>916</v>
      </c>
      <c r="L640" s="2" t="s">
        <v>916</v>
      </c>
      <c r="M640" s="38" t="str">
        <f t="shared" si="24"/>
        <v>24</v>
      </c>
      <c r="N640" s="38" t="str">
        <f t="shared" si="25"/>
        <v>10</v>
      </c>
      <c r="O640" s="53" t="s">
        <v>933</v>
      </c>
      <c r="P640" s="53" t="s">
        <v>933</v>
      </c>
      <c r="Q640" s="50">
        <v>2725</v>
      </c>
    </row>
    <row r="641" spans="1:17" ht="16" x14ac:dyDescent="0.45">
      <c r="A641" s="2" t="str">
        <f>IFERROR(VLOOKUP(B641,CODE!$B:$D,3,0),"-")</f>
        <v>디지털 영상</v>
      </c>
      <c r="B641" s="2" t="str">
        <f>IF(L641="-",VLOOKUP(J641,CODE!$B:$D,2,0),L641)</f>
        <v>YouTube</v>
      </c>
      <c r="C641" s="2" t="s">
        <v>913</v>
      </c>
      <c r="D641" s="2" t="s">
        <v>281</v>
      </c>
      <c r="E641" s="2" t="s">
        <v>282</v>
      </c>
      <c r="F641" s="2" t="s">
        <v>268</v>
      </c>
      <c r="G641" s="2" t="s">
        <v>283</v>
      </c>
      <c r="H641" s="2" t="s">
        <v>914</v>
      </c>
      <c r="I641" s="2" t="s">
        <v>915</v>
      </c>
      <c r="J641" s="2" t="s">
        <v>37</v>
      </c>
      <c r="K641" s="2" t="s">
        <v>916</v>
      </c>
      <c r="L641" s="2" t="s">
        <v>916</v>
      </c>
      <c r="M641" s="38" t="str">
        <f t="shared" si="24"/>
        <v>24</v>
      </c>
      <c r="N641" s="38" t="str">
        <f t="shared" si="25"/>
        <v>09</v>
      </c>
      <c r="O641" s="53" t="s">
        <v>934</v>
      </c>
      <c r="P641" s="53" t="s">
        <v>934</v>
      </c>
      <c r="Q641" s="50">
        <v>12018</v>
      </c>
    </row>
    <row r="642" spans="1:17" ht="16" x14ac:dyDescent="0.45">
      <c r="A642" s="2" t="str">
        <f>IFERROR(VLOOKUP(B642,CODE!$B:$D,3,0),"-")</f>
        <v>디지털 영상</v>
      </c>
      <c r="B642" s="2" t="str">
        <f>IF(L642="-",VLOOKUP(J642,CODE!$B:$D,2,0),L642)</f>
        <v>네이버</v>
      </c>
      <c r="C642" s="2" t="s">
        <v>913</v>
      </c>
      <c r="D642" s="2" t="s">
        <v>955</v>
      </c>
      <c r="E642" s="2" t="s">
        <v>917</v>
      </c>
      <c r="F642" s="2" t="s">
        <v>268</v>
      </c>
      <c r="G642" s="2" t="s">
        <v>269</v>
      </c>
      <c r="H642" s="2" t="s">
        <v>918</v>
      </c>
      <c r="I642" s="2" t="s">
        <v>915</v>
      </c>
      <c r="J642" s="2" t="s">
        <v>37</v>
      </c>
      <c r="K642" s="2" t="s">
        <v>922</v>
      </c>
      <c r="L642" s="2" t="s">
        <v>922</v>
      </c>
      <c r="M642" s="38" t="str">
        <f t="shared" si="24"/>
        <v>24</v>
      </c>
      <c r="N642" s="38" t="str">
        <f t="shared" si="25"/>
        <v>09</v>
      </c>
      <c r="O642" s="53" t="s">
        <v>934</v>
      </c>
      <c r="P642" s="53" t="s">
        <v>934</v>
      </c>
      <c r="Q642" s="50">
        <v>5180</v>
      </c>
    </row>
    <row r="643" spans="1:17" ht="16" x14ac:dyDescent="0.45">
      <c r="A643" s="2" t="str">
        <f>IFERROR(VLOOKUP(B643,CODE!$B:$D,3,0),"-")</f>
        <v>디지털 영상</v>
      </c>
      <c r="B643" s="2" t="str">
        <f>IF(L643="-",VLOOKUP(J643,CODE!$B:$D,2,0),L643)</f>
        <v>YouTube</v>
      </c>
      <c r="C643" s="2" t="s">
        <v>913</v>
      </c>
      <c r="D643" s="2" t="s">
        <v>267</v>
      </c>
      <c r="E643" s="2" t="s">
        <v>923</v>
      </c>
      <c r="F643" s="2" t="s">
        <v>268</v>
      </c>
      <c r="G643" s="2" t="s">
        <v>269</v>
      </c>
      <c r="H643" s="2" t="s">
        <v>918</v>
      </c>
      <c r="I643" s="2" t="s">
        <v>915</v>
      </c>
      <c r="J643" s="2" t="s">
        <v>37</v>
      </c>
      <c r="K643" s="2" t="s">
        <v>916</v>
      </c>
      <c r="L643" s="2" t="s">
        <v>916</v>
      </c>
      <c r="M643" s="38" t="str">
        <f t="shared" si="24"/>
        <v>24</v>
      </c>
      <c r="N643" s="38" t="str">
        <f t="shared" si="25"/>
        <v>09</v>
      </c>
      <c r="O643" s="53" t="s">
        <v>934</v>
      </c>
      <c r="P643" s="53" t="s">
        <v>934</v>
      </c>
      <c r="Q643" s="50">
        <v>17914</v>
      </c>
    </row>
    <row r="644" spans="1:17" ht="16" x14ac:dyDescent="0.45">
      <c r="A644" s="2" t="s">
        <v>952</v>
      </c>
      <c r="B644" s="2" t="str">
        <f>IF(L644="-",VLOOKUP(J644,CODE!$B:$D,2,0),L644)</f>
        <v>Afreecatv</v>
      </c>
      <c r="C644" s="2" t="s">
        <v>913</v>
      </c>
      <c r="D644" s="2" t="s">
        <v>955</v>
      </c>
      <c r="E644" s="2" t="s">
        <v>917</v>
      </c>
      <c r="F644" s="2" t="s">
        <v>268</v>
      </c>
      <c r="G644" s="2" t="s">
        <v>269</v>
      </c>
      <c r="H644" s="2" t="s">
        <v>918</v>
      </c>
      <c r="I644" s="2" t="s">
        <v>915</v>
      </c>
      <c r="J644" s="2" t="s">
        <v>37</v>
      </c>
      <c r="K644" s="2" t="s">
        <v>924</v>
      </c>
      <c r="L644" s="2" t="s">
        <v>924</v>
      </c>
      <c r="M644" s="38" t="str">
        <f t="shared" si="24"/>
        <v>24</v>
      </c>
      <c r="N644" s="38" t="str">
        <f t="shared" si="25"/>
        <v>09</v>
      </c>
      <c r="O644" s="53" t="s">
        <v>934</v>
      </c>
      <c r="P644" s="53" t="s">
        <v>934</v>
      </c>
      <c r="Q644" s="53">
        <v>61</v>
      </c>
    </row>
    <row r="645" spans="1:17" ht="16" x14ac:dyDescent="0.45">
      <c r="A645" s="2" t="s">
        <v>952</v>
      </c>
      <c r="B645" s="2" t="str">
        <f>IF(L645="-",VLOOKUP(J645,CODE!$B:$D,2,0),L645)</f>
        <v>GOMTV</v>
      </c>
      <c r="C645" s="2" t="s">
        <v>913</v>
      </c>
      <c r="D645" s="2" t="s">
        <v>955</v>
      </c>
      <c r="E645" s="2" t="s">
        <v>917</v>
      </c>
      <c r="F645" s="2" t="s">
        <v>268</v>
      </c>
      <c r="G645" s="2" t="s">
        <v>269</v>
      </c>
      <c r="H645" s="2" t="s">
        <v>918</v>
      </c>
      <c r="I645" s="2" t="s">
        <v>915</v>
      </c>
      <c r="J645" s="2" t="s">
        <v>37</v>
      </c>
      <c r="K645" s="2" t="s">
        <v>920</v>
      </c>
      <c r="L645" s="2" t="s">
        <v>920</v>
      </c>
      <c r="M645" s="38" t="str">
        <f t="shared" si="24"/>
        <v>24</v>
      </c>
      <c r="N645" s="38" t="str">
        <f t="shared" si="25"/>
        <v>09</v>
      </c>
      <c r="O645" s="53" t="s">
        <v>934</v>
      </c>
      <c r="P645" s="53" t="s">
        <v>934</v>
      </c>
      <c r="Q645" s="53">
        <v>163</v>
      </c>
    </row>
    <row r="646" spans="1:17" ht="16" x14ac:dyDescent="0.45">
      <c r="A646" s="2" t="str">
        <f>IFERROR(VLOOKUP(B646,CODE!$B:$D,3,0),"-")</f>
        <v>디지털 영상</v>
      </c>
      <c r="B646" s="2" t="str">
        <f>IF(L646="-",VLOOKUP(J646,CODE!$B:$D,2,0),L646)</f>
        <v>Tving</v>
      </c>
      <c r="C646" s="2" t="s">
        <v>913</v>
      </c>
      <c r="D646" s="2" t="s">
        <v>955</v>
      </c>
      <c r="E646" s="2" t="s">
        <v>917</v>
      </c>
      <c r="F646" s="2" t="s">
        <v>268</v>
      </c>
      <c r="G646" s="2" t="s">
        <v>269</v>
      </c>
      <c r="H646" s="2" t="s">
        <v>918</v>
      </c>
      <c r="I646" s="2" t="s">
        <v>915</v>
      </c>
      <c r="J646" s="2" t="s">
        <v>37</v>
      </c>
      <c r="K646" s="2" t="s">
        <v>921</v>
      </c>
      <c r="L646" s="2" t="s">
        <v>921</v>
      </c>
      <c r="M646" s="38" t="str">
        <f t="shared" si="24"/>
        <v>24</v>
      </c>
      <c r="N646" s="38" t="str">
        <f t="shared" si="25"/>
        <v>09</v>
      </c>
      <c r="O646" s="53" t="s">
        <v>934</v>
      </c>
      <c r="P646" s="53" t="s">
        <v>934</v>
      </c>
      <c r="Q646" s="50">
        <v>3153</v>
      </c>
    </row>
    <row r="647" spans="1:17" ht="16" x14ac:dyDescent="0.45">
      <c r="A647" s="2" t="str">
        <f>IFERROR(VLOOKUP(B647,CODE!$B:$D,3,0),"-")</f>
        <v>디지털 영상</v>
      </c>
      <c r="B647" s="2" t="str">
        <f>IF(L647="-",VLOOKUP(J647,CODE!$B:$D,2,0),L647)</f>
        <v>YouTube</v>
      </c>
      <c r="C647" s="2" t="s">
        <v>913</v>
      </c>
      <c r="D647" s="2" t="s">
        <v>955</v>
      </c>
      <c r="E647" s="2" t="s">
        <v>917</v>
      </c>
      <c r="F647" s="2" t="s">
        <v>268</v>
      </c>
      <c r="G647" s="2" t="s">
        <v>269</v>
      </c>
      <c r="H647" s="2" t="s">
        <v>918</v>
      </c>
      <c r="I647" s="2" t="s">
        <v>915</v>
      </c>
      <c r="J647" s="2" t="s">
        <v>37</v>
      </c>
      <c r="K647" s="2" t="s">
        <v>916</v>
      </c>
      <c r="L647" s="2" t="s">
        <v>916</v>
      </c>
      <c r="M647" s="38" t="str">
        <f t="shared" si="24"/>
        <v>24</v>
      </c>
      <c r="N647" s="38" t="str">
        <f t="shared" si="25"/>
        <v>09</v>
      </c>
      <c r="O647" s="53" t="s">
        <v>934</v>
      </c>
      <c r="P647" s="53" t="s">
        <v>934</v>
      </c>
      <c r="Q647" s="50">
        <v>100058</v>
      </c>
    </row>
    <row r="648" spans="1:17" ht="16" x14ac:dyDescent="0.45">
      <c r="A648" s="2" t="s">
        <v>952</v>
      </c>
      <c r="B648" s="2" t="str">
        <f>IF(L648="-",VLOOKUP(J648,CODE!$B:$D,2,0),L648)</f>
        <v>Afreecatv</v>
      </c>
      <c r="C648" s="2" t="s">
        <v>913</v>
      </c>
      <c r="D648" s="2" t="s">
        <v>281</v>
      </c>
      <c r="E648" s="2" t="s">
        <v>282</v>
      </c>
      <c r="F648" s="2" t="s">
        <v>268</v>
      </c>
      <c r="G648" s="2" t="s">
        <v>283</v>
      </c>
      <c r="H648" s="2" t="s">
        <v>914</v>
      </c>
      <c r="I648" s="2" t="s">
        <v>915</v>
      </c>
      <c r="J648" s="2" t="s">
        <v>37</v>
      </c>
      <c r="K648" s="2" t="s">
        <v>924</v>
      </c>
      <c r="L648" s="2" t="s">
        <v>924</v>
      </c>
      <c r="M648" s="38" t="str">
        <f t="shared" si="24"/>
        <v>24</v>
      </c>
      <c r="N648" s="38" t="str">
        <f t="shared" si="25"/>
        <v>08</v>
      </c>
      <c r="O648" s="53" t="s">
        <v>935</v>
      </c>
      <c r="P648" s="53" t="s">
        <v>935</v>
      </c>
      <c r="Q648" s="53">
        <v>343</v>
      </c>
    </row>
    <row r="649" spans="1:17" ht="16" x14ac:dyDescent="0.45">
      <c r="A649" s="2" t="str">
        <f>IFERROR(VLOOKUP(B649,CODE!$B:$D,3,0),"-")</f>
        <v>디지털 영상</v>
      </c>
      <c r="B649" s="2" t="str">
        <f>IF(L649="-",VLOOKUP(J649,CODE!$B:$D,2,0),L649)</f>
        <v>YouTube</v>
      </c>
      <c r="C649" s="2" t="s">
        <v>913</v>
      </c>
      <c r="D649" s="2" t="s">
        <v>955</v>
      </c>
      <c r="E649" s="2" t="s">
        <v>917</v>
      </c>
      <c r="F649" s="2" t="s">
        <v>268</v>
      </c>
      <c r="G649" s="2" t="s">
        <v>269</v>
      </c>
      <c r="H649" s="2" t="s">
        <v>918</v>
      </c>
      <c r="I649" s="2" t="s">
        <v>915</v>
      </c>
      <c r="J649" s="2" t="s">
        <v>37</v>
      </c>
      <c r="K649" s="2" t="s">
        <v>916</v>
      </c>
      <c r="L649" s="2" t="s">
        <v>916</v>
      </c>
      <c r="M649" s="38" t="str">
        <f t="shared" si="24"/>
        <v>24</v>
      </c>
      <c r="N649" s="38" t="str">
        <f t="shared" si="25"/>
        <v>08</v>
      </c>
      <c r="O649" s="53" t="s">
        <v>935</v>
      </c>
      <c r="P649" s="53" t="s">
        <v>935</v>
      </c>
      <c r="Q649" s="50">
        <v>95034</v>
      </c>
    </row>
    <row r="650" spans="1:17" ht="16" x14ac:dyDescent="0.45">
      <c r="A650" s="2" t="str">
        <f>IFERROR(VLOOKUP(B650,CODE!$B:$D,3,0),"-")</f>
        <v>디지털 영상</v>
      </c>
      <c r="B650" s="2" t="str">
        <f>IF(L650="-",VLOOKUP(J650,CODE!$B:$D,2,0),L650)</f>
        <v>YouTube</v>
      </c>
      <c r="C650" s="2" t="s">
        <v>913</v>
      </c>
      <c r="D650" s="2" t="s">
        <v>281</v>
      </c>
      <c r="E650" s="2" t="s">
        <v>282</v>
      </c>
      <c r="F650" s="2" t="s">
        <v>268</v>
      </c>
      <c r="G650" s="2" t="s">
        <v>283</v>
      </c>
      <c r="H650" s="2" t="s">
        <v>914</v>
      </c>
      <c r="I650" s="2" t="s">
        <v>915</v>
      </c>
      <c r="J650" s="2" t="s">
        <v>37</v>
      </c>
      <c r="K650" s="2" t="s">
        <v>916</v>
      </c>
      <c r="L650" s="2" t="s">
        <v>916</v>
      </c>
      <c r="M650" s="38" t="str">
        <f t="shared" si="24"/>
        <v>24</v>
      </c>
      <c r="N650" s="38" t="str">
        <f t="shared" si="25"/>
        <v>08</v>
      </c>
      <c r="O650" s="53" t="s">
        <v>935</v>
      </c>
      <c r="P650" s="53" t="s">
        <v>935</v>
      </c>
      <c r="Q650" s="53">
        <v>722</v>
      </c>
    </row>
    <row r="651" spans="1:17" ht="16" x14ac:dyDescent="0.45">
      <c r="A651" s="2" t="str">
        <f>IFERROR(VLOOKUP(B651,CODE!$B:$D,3,0),"-")</f>
        <v>디지털 영상</v>
      </c>
      <c r="B651" s="2" t="str">
        <f>IF(L651="-",VLOOKUP(J651,CODE!$B:$D,2,0),L651)</f>
        <v>YouTube</v>
      </c>
      <c r="C651" s="2" t="s">
        <v>913</v>
      </c>
      <c r="D651" s="2" t="s">
        <v>267</v>
      </c>
      <c r="E651" s="2" t="s">
        <v>923</v>
      </c>
      <c r="F651" s="2" t="s">
        <v>268</v>
      </c>
      <c r="G651" s="2" t="s">
        <v>269</v>
      </c>
      <c r="H651" s="2" t="s">
        <v>918</v>
      </c>
      <c r="I651" s="2" t="s">
        <v>915</v>
      </c>
      <c r="J651" s="2" t="s">
        <v>37</v>
      </c>
      <c r="K651" s="2" t="s">
        <v>916</v>
      </c>
      <c r="L651" s="2" t="s">
        <v>916</v>
      </c>
      <c r="M651" s="38" t="str">
        <f t="shared" si="24"/>
        <v>24</v>
      </c>
      <c r="N651" s="38" t="str">
        <f t="shared" si="25"/>
        <v>08</v>
      </c>
      <c r="O651" s="53" t="s">
        <v>935</v>
      </c>
      <c r="P651" s="53" t="s">
        <v>935</v>
      </c>
      <c r="Q651" s="53">
        <v>505</v>
      </c>
    </row>
    <row r="652" spans="1:17" ht="16" x14ac:dyDescent="0.45">
      <c r="A652" s="2" t="str">
        <f>IFERROR(VLOOKUP(B652,CODE!$B:$D,3,0),"-")</f>
        <v>디지털 영상</v>
      </c>
      <c r="B652" s="2" t="str">
        <f>IF(L652="-",VLOOKUP(J652,CODE!$B:$D,2,0),L652)</f>
        <v>네이버</v>
      </c>
      <c r="C652" s="2" t="s">
        <v>913</v>
      </c>
      <c r="D652" s="2" t="s">
        <v>955</v>
      </c>
      <c r="E652" s="2" t="s">
        <v>917</v>
      </c>
      <c r="F652" s="2" t="s">
        <v>268</v>
      </c>
      <c r="G652" s="2" t="s">
        <v>269</v>
      </c>
      <c r="H652" s="2" t="s">
        <v>918</v>
      </c>
      <c r="I652" s="2" t="s">
        <v>915</v>
      </c>
      <c r="J652" s="2" t="s">
        <v>37</v>
      </c>
      <c r="K652" s="2" t="s">
        <v>922</v>
      </c>
      <c r="L652" s="2" t="s">
        <v>922</v>
      </c>
      <c r="M652" s="38" t="str">
        <f t="shared" si="24"/>
        <v>24</v>
      </c>
      <c r="N652" s="38" t="str">
        <f t="shared" si="25"/>
        <v>08</v>
      </c>
      <c r="O652" s="53" t="s">
        <v>935</v>
      </c>
      <c r="P652" s="53" t="s">
        <v>935</v>
      </c>
      <c r="Q652" s="53">
        <v>277</v>
      </c>
    </row>
    <row r="653" spans="1:17" ht="16" x14ac:dyDescent="0.45">
      <c r="A653" s="2" t="str">
        <f>IFERROR(VLOOKUP(B653,CODE!$B:$D,3,0),"-")</f>
        <v>디지털 영상</v>
      </c>
      <c r="B653" s="2" t="str">
        <f>IF(L653="-",VLOOKUP(J653,CODE!$B:$D,2,0),L653)</f>
        <v>Tving</v>
      </c>
      <c r="C653" s="2" t="s">
        <v>913</v>
      </c>
      <c r="D653" s="2" t="s">
        <v>955</v>
      </c>
      <c r="E653" s="2" t="s">
        <v>917</v>
      </c>
      <c r="F653" s="2" t="s">
        <v>268</v>
      </c>
      <c r="G653" s="2" t="s">
        <v>269</v>
      </c>
      <c r="H653" s="2" t="s">
        <v>918</v>
      </c>
      <c r="I653" s="2" t="s">
        <v>915</v>
      </c>
      <c r="J653" s="2" t="s">
        <v>37</v>
      </c>
      <c r="K653" s="2" t="s">
        <v>921</v>
      </c>
      <c r="L653" s="2" t="s">
        <v>921</v>
      </c>
      <c r="M653" s="38" t="str">
        <f t="shared" si="24"/>
        <v>24</v>
      </c>
      <c r="N653" s="38" t="str">
        <f t="shared" si="25"/>
        <v>08</v>
      </c>
      <c r="O653" s="53" t="s">
        <v>935</v>
      </c>
      <c r="P653" s="53" t="s">
        <v>935</v>
      </c>
      <c r="Q653" s="50">
        <v>2173</v>
      </c>
    </row>
    <row r="654" spans="1:17" ht="16" x14ac:dyDescent="0.45">
      <c r="A654" s="2" t="str">
        <f>IFERROR(VLOOKUP(B654,CODE!$B:$D,3,0),"-")</f>
        <v>디지털 영상</v>
      </c>
      <c r="B654" s="2" t="str">
        <f>IF(L654="-",VLOOKUP(J654,CODE!$B:$D,2,0),L654)</f>
        <v>YouTube</v>
      </c>
      <c r="C654" s="2" t="s">
        <v>913</v>
      </c>
      <c r="D654" s="2" t="s">
        <v>281</v>
      </c>
      <c r="E654" s="2" t="s">
        <v>282</v>
      </c>
      <c r="F654" s="2" t="s">
        <v>268</v>
      </c>
      <c r="G654" s="2" t="s">
        <v>283</v>
      </c>
      <c r="H654" s="2" t="s">
        <v>914</v>
      </c>
      <c r="I654" s="2" t="s">
        <v>915</v>
      </c>
      <c r="J654" s="2" t="s">
        <v>37</v>
      </c>
      <c r="K654" s="2" t="s">
        <v>916</v>
      </c>
      <c r="L654" s="2" t="s">
        <v>916</v>
      </c>
      <c r="M654" s="38" t="str">
        <f t="shared" si="24"/>
        <v>24</v>
      </c>
      <c r="N654" s="38" t="str">
        <f t="shared" si="25"/>
        <v>07</v>
      </c>
      <c r="O654" s="53" t="s">
        <v>936</v>
      </c>
      <c r="P654" s="53" t="s">
        <v>936</v>
      </c>
      <c r="Q654" s="50">
        <v>15416</v>
      </c>
    </row>
    <row r="655" spans="1:17" ht="16" x14ac:dyDescent="0.45">
      <c r="A655" s="2" t="str">
        <f>IFERROR(VLOOKUP(B655,CODE!$B:$D,3,0),"-")</f>
        <v>디지털 영상</v>
      </c>
      <c r="B655" s="2" t="str">
        <f>IF(L655="-",VLOOKUP(J655,CODE!$B:$D,2,0),L655)</f>
        <v>Tving</v>
      </c>
      <c r="C655" s="2" t="s">
        <v>913</v>
      </c>
      <c r="D655" s="2" t="s">
        <v>267</v>
      </c>
      <c r="E655" s="2" t="s">
        <v>923</v>
      </c>
      <c r="F655" s="2" t="s">
        <v>268</v>
      </c>
      <c r="G655" s="2" t="s">
        <v>269</v>
      </c>
      <c r="H655" s="2" t="s">
        <v>918</v>
      </c>
      <c r="I655" s="2" t="s">
        <v>915</v>
      </c>
      <c r="J655" s="2" t="s">
        <v>37</v>
      </c>
      <c r="K655" s="2" t="s">
        <v>921</v>
      </c>
      <c r="L655" s="2" t="s">
        <v>921</v>
      </c>
      <c r="M655" s="38" t="str">
        <f t="shared" si="24"/>
        <v>24</v>
      </c>
      <c r="N655" s="38" t="str">
        <f t="shared" si="25"/>
        <v>07</v>
      </c>
      <c r="O655" s="53" t="s">
        <v>936</v>
      </c>
      <c r="P655" s="53" t="s">
        <v>936</v>
      </c>
      <c r="Q655" s="53">
        <v>9</v>
      </c>
    </row>
    <row r="656" spans="1:17" ht="16" x14ac:dyDescent="0.45">
      <c r="A656" s="2" t="str">
        <f>IFERROR(VLOOKUP(B656,CODE!$B:$D,3,0),"-")</f>
        <v>디지털 영상</v>
      </c>
      <c r="B656" s="2" t="str">
        <f>IF(L656="-",VLOOKUP(J656,CODE!$B:$D,2,0),L656)</f>
        <v>네이버</v>
      </c>
      <c r="C656" s="2" t="s">
        <v>913</v>
      </c>
      <c r="D656" s="2" t="s">
        <v>955</v>
      </c>
      <c r="E656" s="2" t="s">
        <v>917</v>
      </c>
      <c r="F656" s="2" t="s">
        <v>268</v>
      </c>
      <c r="G656" s="2" t="s">
        <v>269</v>
      </c>
      <c r="H656" s="2" t="s">
        <v>918</v>
      </c>
      <c r="I656" s="2" t="s">
        <v>915</v>
      </c>
      <c r="J656" s="2" t="s">
        <v>37</v>
      </c>
      <c r="K656" s="2" t="s">
        <v>922</v>
      </c>
      <c r="L656" s="2" t="s">
        <v>922</v>
      </c>
      <c r="M656" s="38" t="str">
        <f t="shared" si="24"/>
        <v>24</v>
      </c>
      <c r="N656" s="38" t="str">
        <f t="shared" si="25"/>
        <v>07</v>
      </c>
      <c r="O656" s="53" t="s">
        <v>936</v>
      </c>
      <c r="P656" s="53" t="s">
        <v>936</v>
      </c>
      <c r="Q656" s="50">
        <v>2278</v>
      </c>
    </row>
    <row r="657" spans="1:17" ht="16" x14ac:dyDescent="0.45">
      <c r="A657" s="2" t="str">
        <f>IFERROR(VLOOKUP(B657,CODE!$B:$D,3,0),"-")</f>
        <v>디지털 영상</v>
      </c>
      <c r="B657" s="2" t="str">
        <f>IF(L657="-",VLOOKUP(J657,CODE!$B:$D,2,0),L657)</f>
        <v>Tving</v>
      </c>
      <c r="C657" s="2" t="s">
        <v>913</v>
      </c>
      <c r="D657" s="2" t="s">
        <v>955</v>
      </c>
      <c r="E657" s="2" t="s">
        <v>917</v>
      </c>
      <c r="F657" s="2" t="s">
        <v>268</v>
      </c>
      <c r="G657" s="2" t="s">
        <v>269</v>
      </c>
      <c r="H657" s="2" t="s">
        <v>918</v>
      </c>
      <c r="I657" s="2" t="s">
        <v>915</v>
      </c>
      <c r="J657" s="2" t="s">
        <v>37</v>
      </c>
      <c r="K657" s="2" t="s">
        <v>921</v>
      </c>
      <c r="L657" s="2" t="s">
        <v>921</v>
      </c>
      <c r="M657" s="38" t="str">
        <f t="shared" si="24"/>
        <v>24</v>
      </c>
      <c r="N657" s="38" t="str">
        <f t="shared" si="25"/>
        <v>07</v>
      </c>
      <c r="O657" s="53" t="s">
        <v>936</v>
      </c>
      <c r="P657" s="53" t="s">
        <v>936</v>
      </c>
      <c r="Q657" s="50">
        <v>2909</v>
      </c>
    </row>
    <row r="658" spans="1:17" ht="16" x14ac:dyDescent="0.45">
      <c r="A658" s="2" t="str">
        <f>IFERROR(VLOOKUP(B658,CODE!$B:$D,3,0),"-")</f>
        <v>디지털 영상</v>
      </c>
      <c r="B658" s="2" t="str">
        <f>IF(L658="-",VLOOKUP(J658,CODE!$B:$D,2,0),L658)</f>
        <v>네이버</v>
      </c>
      <c r="C658" s="2" t="s">
        <v>913</v>
      </c>
      <c r="D658" s="2" t="s">
        <v>267</v>
      </c>
      <c r="E658" s="2" t="s">
        <v>923</v>
      </c>
      <c r="F658" s="2" t="s">
        <v>268</v>
      </c>
      <c r="G658" s="2" t="s">
        <v>269</v>
      </c>
      <c r="H658" s="2" t="s">
        <v>918</v>
      </c>
      <c r="I658" s="2" t="s">
        <v>915</v>
      </c>
      <c r="J658" s="2" t="s">
        <v>37</v>
      </c>
      <c r="K658" s="2" t="s">
        <v>922</v>
      </c>
      <c r="L658" s="2" t="s">
        <v>922</v>
      </c>
      <c r="M658" s="38" t="str">
        <f t="shared" si="24"/>
        <v>24</v>
      </c>
      <c r="N658" s="38" t="str">
        <f t="shared" si="25"/>
        <v>07</v>
      </c>
      <c r="O658" s="53" t="s">
        <v>936</v>
      </c>
      <c r="P658" s="53" t="s">
        <v>936</v>
      </c>
      <c r="Q658" s="53">
        <v>420</v>
      </c>
    </row>
    <row r="659" spans="1:17" ht="16" x14ac:dyDescent="0.45">
      <c r="A659" s="2" t="str">
        <f>IFERROR(VLOOKUP(B659,CODE!$B:$D,3,0),"-")</f>
        <v>디지털 영상</v>
      </c>
      <c r="B659" s="2" t="str">
        <f>IF(L659="-",VLOOKUP(J659,CODE!$B:$D,2,0),L659)</f>
        <v>YouTube</v>
      </c>
      <c r="C659" s="2" t="s">
        <v>913</v>
      </c>
      <c r="D659" s="2" t="s">
        <v>955</v>
      </c>
      <c r="E659" s="2" t="s">
        <v>917</v>
      </c>
      <c r="F659" s="2" t="s">
        <v>268</v>
      </c>
      <c r="G659" s="2" t="s">
        <v>269</v>
      </c>
      <c r="H659" s="2" t="s">
        <v>918</v>
      </c>
      <c r="I659" s="2" t="s">
        <v>915</v>
      </c>
      <c r="J659" s="2" t="s">
        <v>37</v>
      </c>
      <c r="K659" s="2" t="s">
        <v>916</v>
      </c>
      <c r="L659" s="2" t="s">
        <v>916</v>
      </c>
      <c r="M659" s="38" t="str">
        <f t="shared" si="24"/>
        <v>24</v>
      </c>
      <c r="N659" s="38" t="str">
        <f t="shared" si="25"/>
        <v>07</v>
      </c>
      <c r="O659" s="53" t="s">
        <v>936</v>
      </c>
      <c r="P659" s="53" t="s">
        <v>936</v>
      </c>
      <c r="Q659" s="50">
        <v>76405</v>
      </c>
    </row>
    <row r="660" spans="1:17" ht="16" x14ac:dyDescent="0.45">
      <c r="A660" s="2" t="str">
        <f>IFERROR(VLOOKUP(B660,CODE!$B:$D,3,0),"-")</f>
        <v>디지털 영상</v>
      </c>
      <c r="B660" s="2" t="str">
        <f>IF(L660="-",VLOOKUP(J660,CODE!$B:$D,2,0),L660)</f>
        <v>YouTube</v>
      </c>
      <c r="C660" s="2" t="s">
        <v>913</v>
      </c>
      <c r="D660" s="2" t="s">
        <v>267</v>
      </c>
      <c r="E660" s="2" t="s">
        <v>923</v>
      </c>
      <c r="F660" s="2" t="s">
        <v>268</v>
      </c>
      <c r="G660" s="2" t="s">
        <v>269</v>
      </c>
      <c r="H660" s="2" t="s">
        <v>918</v>
      </c>
      <c r="I660" s="2" t="s">
        <v>915</v>
      </c>
      <c r="J660" s="2" t="s">
        <v>37</v>
      </c>
      <c r="K660" s="2" t="s">
        <v>916</v>
      </c>
      <c r="L660" s="2" t="s">
        <v>916</v>
      </c>
      <c r="M660" s="38" t="str">
        <f t="shared" si="24"/>
        <v>24</v>
      </c>
      <c r="N660" s="38" t="str">
        <f t="shared" si="25"/>
        <v>07</v>
      </c>
      <c r="O660" s="53" t="s">
        <v>936</v>
      </c>
      <c r="P660" s="53" t="s">
        <v>936</v>
      </c>
      <c r="Q660" s="50">
        <v>21010</v>
      </c>
    </row>
    <row r="661" spans="1:17" ht="16" x14ac:dyDescent="0.45">
      <c r="A661" s="2" t="str">
        <f>IFERROR(VLOOKUP(B661,CODE!$B:$D,3,0),"-")</f>
        <v>디지털 영상</v>
      </c>
      <c r="B661" s="2" t="str">
        <f>IF(L661="-",VLOOKUP(J661,CODE!$B:$D,2,0),L661)</f>
        <v>Tving</v>
      </c>
      <c r="C661" s="2" t="s">
        <v>913</v>
      </c>
      <c r="D661" s="2" t="s">
        <v>955</v>
      </c>
      <c r="E661" s="2" t="s">
        <v>917</v>
      </c>
      <c r="F661" s="2" t="s">
        <v>268</v>
      </c>
      <c r="G661" s="2" t="s">
        <v>269</v>
      </c>
      <c r="H661" s="2" t="s">
        <v>918</v>
      </c>
      <c r="I661" s="2" t="s">
        <v>915</v>
      </c>
      <c r="J661" s="2" t="s">
        <v>37</v>
      </c>
      <c r="K661" s="2" t="s">
        <v>921</v>
      </c>
      <c r="L661" s="2" t="s">
        <v>921</v>
      </c>
      <c r="M661" s="38" t="str">
        <f t="shared" si="24"/>
        <v>24</v>
      </c>
      <c r="N661" s="38" t="str">
        <f t="shared" si="25"/>
        <v>06</v>
      </c>
      <c r="O661" s="53" t="s">
        <v>937</v>
      </c>
      <c r="P661" s="53" t="s">
        <v>937</v>
      </c>
      <c r="Q661" s="50">
        <v>1994</v>
      </c>
    </row>
    <row r="662" spans="1:17" ht="16" x14ac:dyDescent="0.45">
      <c r="A662" s="2" t="str">
        <f>IFERROR(VLOOKUP(B662,CODE!$B:$D,3,0),"-")</f>
        <v>디지털 영상</v>
      </c>
      <c r="B662" s="2" t="str">
        <f>IF(L662="-",VLOOKUP(J662,CODE!$B:$D,2,0),L662)</f>
        <v>Tving</v>
      </c>
      <c r="C662" s="2" t="s">
        <v>913</v>
      </c>
      <c r="D662" s="2" t="s">
        <v>267</v>
      </c>
      <c r="E662" s="2" t="s">
        <v>923</v>
      </c>
      <c r="F662" s="2" t="s">
        <v>268</v>
      </c>
      <c r="G662" s="2" t="s">
        <v>269</v>
      </c>
      <c r="H662" s="2" t="s">
        <v>918</v>
      </c>
      <c r="I662" s="2" t="s">
        <v>915</v>
      </c>
      <c r="J662" s="2" t="s">
        <v>37</v>
      </c>
      <c r="K662" s="2" t="s">
        <v>921</v>
      </c>
      <c r="L662" s="2" t="s">
        <v>921</v>
      </c>
      <c r="M662" s="38" t="str">
        <f t="shared" si="24"/>
        <v>24</v>
      </c>
      <c r="N662" s="38" t="str">
        <f t="shared" si="25"/>
        <v>06</v>
      </c>
      <c r="O662" s="53" t="s">
        <v>937</v>
      </c>
      <c r="P662" s="53" t="s">
        <v>937</v>
      </c>
      <c r="Q662" s="50">
        <v>10942</v>
      </c>
    </row>
    <row r="663" spans="1:17" ht="16" x14ac:dyDescent="0.45">
      <c r="A663" s="2" t="str">
        <f>IFERROR(VLOOKUP(B663,CODE!$B:$D,3,0),"-")</f>
        <v>디지털 영상</v>
      </c>
      <c r="B663" s="2" t="str">
        <f>IF(L663="-",VLOOKUP(J663,CODE!$B:$D,2,0),L663)</f>
        <v>YouTube</v>
      </c>
      <c r="C663" s="2" t="s">
        <v>913</v>
      </c>
      <c r="D663" s="2" t="s">
        <v>281</v>
      </c>
      <c r="E663" s="2" t="s">
        <v>282</v>
      </c>
      <c r="F663" s="2" t="s">
        <v>268</v>
      </c>
      <c r="G663" s="2" t="s">
        <v>283</v>
      </c>
      <c r="H663" s="2" t="s">
        <v>914</v>
      </c>
      <c r="I663" s="2" t="s">
        <v>915</v>
      </c>
      <c r="J663" s="2" t="s">
        <v>37</v>
      </c>
      <c r="K663" s="2" t="s">
        <v>916</v>
      </c>
      <c r="L663" s="2" t="s">
        <v>916</v>
      </c>
      <c r="M663" s="38" t="str">
        <f t="shared" si="24"/>
        <v>24</v>
      </c>
      <c r="N663" s="38" t="str">
        <f t="shared" si="25"/>
        <v>06</v>
      </c>
      <c r="O663" s="53" t="s">
        <v>937</v>
      </c>
      <c r="P663" s="53" t="s">
        <v>937</v>
      </c>
      <c r="Q663" s="50">
        <v>25211</v>
      </c>
    </row>
    <row r="664" spans="1:17" ht="16" x14ac:dyDescent="0.45">
      <c r="A664" s="2" t="str">
        <f>IFERROR(VLOOKUP(B664,CODE!$B:$D,3,0),"-")</f>
        <v>디지털 영상</v>
      </c>
      <c r="B664" s="2" t="str">
        <f>IF(L664="-",VLOOKUP(J664,CODE!$B:$D,2,0),L664)</f>
        <v>YouTube</v>
      </c>
      <c r="C664" s="2" t="s">
        <v>913</v>
      </c>
      <c r="D664" s="2" t="s">
        <v>955</v>
      </c>
      <c r="E664" s="2" t="s">
        <v>917</v>
      </c>
      <c r="F664" s="2" t="s">
        <v>268</v>
      </c>
      <c r="G664" s="2" t="s">
        <v>269</v>
      </c>
      <c r="H664" s="2" t="s">
        <v>918</v>
      </c>
      <c r="I664" s="2" t="s">
        <v>915</v>
      </c>
      <c r="J664" s="2" t="s">
        <v>37</v>
      </c>
      <c r="K664" s="2" t="s">
        <v>916</v>
      </c>
      <c r="L664" s="2" t="s">
        <v>916</v>
      </c>
      <c r="M664" s="38" t="str">
        <f t="shared" si="24"/>
        <v>24</v>
      </c>
      <c r="N664" s="38" t="str">
        <f t="shared" si="25"/>
        <v>06</v>
      </c>
      <c r="O664" s="53" t="s">
        <v>937</v>
      </c>
      <c r="P664" s="53" t="s">
        <v>937</v>
      </c>
      <c r="Q664" s="50">
        <v>94964</v>
      </c>
    </row>
    <row r="665" spans="1:17" ht="16" x14ac:dyDescent="0.45">
      <c r="A665" s="2" t="str">
        <f>IFERROR(VLOOKUP(B665,CODE!$B:$D,3,0),"-")</f>
        <v>디지털 영상</v>
      </c>
      <c r="B665" s="2" t="str">
        <f>IF(L665="-",VLOOKUP(J665,CODE!$B:$D,2,0),L665)</f>
        <v>YouTube</v>
      </c>
      <c r="C665" s="2" t="s">
        <v>913</v>
      </c>
      <c r="D665" s="2" t="s">
        <v>267</v>
      </c>
      <c r="E665" s="2" t="s">
        <v>923</v>
      </c>
      <c r="F665" s="2" t="s">
        <v>268</v>
      </c>
      <c r="G665" s="2" t="s">
        <v>269</v>
      </c>
      <c r="H665" s="2" t="s">
        <v>918</v>
      </c>
      <c r="I665" s="2" t="s">
        <v>915</v>
      </c>
      <c r="J665" s="2" t="s">
        <v>37</v>
      </c>
      <c r="K665" s="2" t="s">
        <v>916</v>
      </c>
      <c r="L665" s="2" t="s">
        <v>916</v>
      </c>
      <c r="M665" s="38" t="str">
        <f t="shared" si="24"/>
        <v>24</v>
      </c>
      <c r="N665" s="38" t="str">
        <f t="shared" si="25"/>
        <v>06</v>
      </c>
      <c r="O665" s="53" t="s">
        <v>937</v>
      </c>
      <c r="P665" s="53" t="s">
        <v>937</v>
      </c>
      <c r="Q665" s="50">
        <v>122880</v>
      </c>
    </row>
    <row r="666" spans="1:17" ht="16" x14ac:dyDescent="0.45">
      <c r="A666" s="2" t="str">
        <f>IFERROR(VLOOKUP(B666,CODE!$B:$D,3,0),"-")</f>
        <v>디지털 영상</v>
      </c>
      <c r="B666" s="2" t="str">
        <f>IF(L666="-",VLOOKUP(J666,CODE!$B:$D,2,0),L666)</f>
        <v>네이버</v>
      </c>
      <c r="C666" s="2" t="s">
        <v>913</v>
      </c>
      <c r="D666" s="2" t="s">
        <v>955</v>
      </c>
      <c r="E666" s="2" t="s">
        <v>917</v>
      </c>
      <c r="F666" s="2" t="s">
        <v>268</v>
      </c>
      <c r="G666" s="2" t="s">
        <v>269</v>
      </c>
      <c r="H666" s="2" t="s">
        <v>918</v>
      </c>
      <c r="I666" s="2" t="s">
        <v>915</v>
      </c>
      <c r="J666" s="2" t="s">
        <v>37</v>
      </c>
      <c r="K666" s="2" t="s">
        <v>922</v>
      </c>
      <c r="L666" s="2" t="s">
        <v>922</v>
      </c>
      <c r="M666" s="38" t="str">
        <f t="shared" si="24"/>
        <v>24</v>
      </c>
      <c r="N666" s="38" t="str">
        <f t="shared" si="25"/>
        <v>06</v>
      </c>
      <c r="O666" s="53" t="s">
        <v>937</v>
      </c>
      <c r="P666" s="53" t="s">
        <v>937</v>
      </c>
      <c r="Q666" s="50">
        <v>39206</v>
      </c>
    </row>
    <row r="667" spans="1:17" ht="16" x14ac:dyDescent="0.45">
      <c r="A667" s="2" t="str">
        <f>IFERROR(VLOOKUP(B667,CODE!$B:$D,3,0),"-")</f>
        <v>디지털 영상</v>
      </c>
      <c r="B667" s="2" t="str">
        <f>IF(L667="-",VLOOKUP(J667,CODE!$B:$D,2,0),L667)</f>
        <v>YouTube</v>
      </c>
      <c r="C667" s="2" t="s">
        <v>913</v>
      </c>
      <c r="D667" s="2" t="s">
        <v>281</v>
      </c>
      <c r="E667" s="2" t="s">
        <v>282</v>
      </c>
      <c r="F667" s="2" t="s">
        <v>268</v>
      </c>
      <c r="G667" s="2" t="s">
        <v>283</v>
      </c>
      <c r="H667" s="2" t="s">
        <v>914</v>
      </c>
      <c r="I667" s="2" t="s">
        <v>915</v>
      </c>
      <c r="J667" s="2" t="s">
        <v>37</v>
      </c>
      <c r="K667" s="2" t="s">
        <v>916</v>
      </c>
      <c r="L667" s="2" t="s">
        <v>916</v>
      </c>
      <c r="M667" s="38" t="str">
        <f t="shared" si="24"/>
        <v>24</v>
      </c>
      <c r="N667" s="38" t="str">
        <f t="shared" si="25"/>
        <v>05</v>
      </c>
      <c r="O667" s="53" t="s">
        <v>938</v>
      </c>
      <c r="P667" s="53" t="s">
        <v>938</v>
      </c>
      <c r="Q667" s="50">
        <v>30836</v>
      </c>
    </row>
    <row r="668" spans="1:17" ht="16" x14ac:dyDescent="0.45">
      <c r="A668" s="2" t="s">
        <v>952</v>
      </c>
      <c r="B668" s="2" t="str">
        <f>IF(L668="-",VLOOKUP(J668,CODE!$B:$D,2,0),L668)</f>
        <v>GOMTV</v>
      </c>
      <c r="C668" s="2" t="s">
        <v>913</v>
      </c>
      <c r="D668" s="2" t="s">
        <v>267</v>
      </c>
      <c r="E668" s="2" t="s">
        <v>923</v>
      </c>
      <c r="F668" s="2" t="s">
        <v>268</v>
      </c>
      <c r="G668" s="2" t="s">
        <v>269</v>
      </c>
      <c r="H668" s="2" t="s">
        <v>918</v>
      </c>
      <c r="I668" s="2" t="s">
        <v>915</v>
      </c>
      <c r="J668" s="2" t="s">
        <v>37</v>
      </c>
      <c r="K668" s="2" t="s">
        <v>920</v>
      </c>
      <c r="L668" s="2" t="s">
        <v>920</v>
      </c>
      <c r="M668" s="38" t="str">
        <f t="shared" si="24"/>
        <v>24</v>
      </c>
      <c r="N668" s="38" t="str">
        <f t="shared" si="25"/>
        <v>05</v>
      </c>
      <c r="O668" s="53" t="s">
        <v>938</v>
      </c>
      <c r="P668" s="53" t="s">
        <v>938</v>
      </c>
      <c r="Q668" s="53">
        <v>186</v>
      </c>
    </row>
    <row r="669" spans="1:17" ht="16" x14ac:dyDescent="0.45">
      <c r="A669" s="2" t="str">
        <f>IFERROR(VLOOKUP(B669,CODE!$B:$D,3,0),"-")</f>
        <v>디지털 영상</v>
      </c>
      <c r="B669" s="2" t="str">
        <f>IF(L669="-",VLOOKUP(J669,CODE!$B:$D,2,0),L669)</f>
        <v>다음</v>
      </c>
      <c r="C669" s="2" t="s">
        <v>913</v>
      </c>
      <c r="D669" s="2" t="s">
        <v>267</v>
      </c>
      <c r="E669" s="2" t="s">
        <v>923</v>
      </c>
      <c r="F669" s="2" t="s">
        <v>268</v>
      </c>
      <c r="G669" s="2" t="s">
        <v>269</v>
      </c>
      <c r="H669" s="2" t="s">
        <v>918</v>
      </c>
      <c r="I669" s="2" t="s">
        <v>915</v>
      </c>
      <c r="J669" s="2" t="s">
        <v>37</v>
      </c>
      <c r="K669" s="2" t="s">
        <v>919</v>
      </c>
      <c r="L669" s="2" t="s">
        <v>919</v>
      </c>
      <c r="M669" s="38" t="str">
        <f t="shared" si="24"/>
        <v>24</v>
      </c>
      <c r="N669" s="38" t="str">
        <f t="shared" si="25"/>
        <v>05</v>
      </c>
      <c r="O669" s="53" t="s">
        <v>938</v>
      </c>
      <c r="P669" s="53" t="s">
        <v>938</v>
      </c>
      <c r="Q669" s="50">
        <v>1256</v>
      </c>
    </row>
    <row r="670" spans="1:17" ht="16" x14ac:dyDescent="0.45">
      <c r="A670" s="2" t="str">
        <f>IFERROR(VLOOKUP(B670,CODE!$B:$D,3,0),"-")</f>
        <v>디지털 영상</v>
      </c>
      <c r="B670" s="2" t="str">
        <f>IF(L670="-",VLOOKUP(J670,CODE!$B:$D,2,0),L670)</f>
        <v>YouTube</v>
      </c>
      <c r="C670" s="2" t="s">
        <v>913</v>
      </c>
      <c r="D670" s="2" t="s">
        <v>267</v>
      </c>
      <c r="E670" s="2" t="s">
        <v>923</v>
      </c>
      <c r="F670" s="2" t="s">
        <v>268</v>
      </c>
      <c r="G670" s="2" t="s">
        <v>269</v>
      </c>
      <c r="H670" s="2" t="s">
        <v>918</v>
      </c>
      <c r="I670" s="2" t="s">
        <v>915</v>
      </c>
      <c r="J670" s="2" t="s">
        <v>37</v>
      </c>
      <c r="K670" s="2" t="s">
        <v>916</v>
      </c>
      <c r="L670" s="2" t="s">
        <v>916</v>
      </c>
      <c r="M670" s="38" t="str">
        <f t="shared" si="24"/>
        <v>24</v>
      </c>
      <c r="N670" s="38" t="str">
        <f t="shared" si="25"/>
        <v>05</v>
      </c>
      <c r="O670" s="53" t="s">
        <v>938</v>
      </c>
      <c r="P670" s="53" t="s">
        <v>938</v>
      </c>
      <c r="Q670" s="50">
        <v>76605</v>
      </c>
    </row>
    <row r="671" spans="1:17" ht="16" x14ac:dyDescent="0.45">
      <c r="A671" s="2" t="str">
        <f>IFERROR(VLOOKUP(B671,CODE!$B:$D,3,0),"-")</f>
        <v>디지털 영상</v>
      </c>
      <c r="B671" s="2" t="str">
        <f>IF(L671="-",VLOOKUP(J671,CODE!$B:$D,2,0),L671)</f>
        <v>Tving</v>
      </c>
      <c r="C671" s="2" t="s">
        <v>913</v>
      </c>
      <c r="D671" s="2" t="s">
        <v>267</v>
      </c>
      <c r="E671" s="2" t="s">
        <v>923</v>
      </c>
      <c r="F671" s="2" t="s">
        <v>268</v>
      </c>
      <c r="G671" s="2" t="s">
        <v>269</v>
      </c>
      <c r="H671" s="2" t="s">
        <v>918</v>
      </c>
      <c r="I671" s="2" t="s">
        <v>915</v>
      </c>
      <c r="J671" s="2" t="s">
        <v>37</v>
      </c>
      <c r="K671" s="2" t="s">
        <v>921</v>
      </c>
      <c r="L671" s="2" t="s">
        <v>921</v>
      </c>
      <c r="M671" s="38" t="str">
        <f t="shared" si="24"/>
        <v>24</v>
      </c>
      <c r="N671" s="38" t="str">
        <f t="shared" si="25"/>
        <v>05</v>
      </c>
      <c r="O671" s="53" t="s">
        <v>938</v>
      </c>
      <c r="P671" s="53" t="s">
        <v>938</v>
      </c>
      <c r="Q671" s="50">
        <v>11333</v>
      </c>
    </row>
    <row r="672" spans="1:17" ht="16" x14ac:dyDescent="0.45">
      <c r="A672" s="2" t="str">
        <f>IFERROR(VLOOKUP(B672,CODE!$B:$D,3,0),"-")</f>
        <v>디지털 영상</v>
      </c>
      <c r="B672" s="2" t="str">
        <f>IF(L672="-",VLOOKUP(J672,CODE!$B:$D,2,0),L672)</f>
        <v>네이버</v>
      </c>
      <c r="C672" s="2" t="s">
        <v>913</v>
      </c>
      <c r="D672" s="2" t="s">
        <v>267</v>
      </c>
      <c r="E672" s="2" t="s">
        <v>923</v>
      </c>
      <c r="F672" s="2" t="s">
        <v>268</v>
      </c>
      <c r="G672" s="2" t="s">
        <v>269</v>
      </c>
      <c r="H672" s="2" t="s">
        <v>918</v>
      </c>
      <c r="I672" s="2" t="s">
        <v>915</v>
      </c>
      <c r="J672" s="2" t="s">
        <v>37</v>
      </c>
      <c r="K672" s="2" t="s">
        <v>922</v>
      </c>
      <c r="L672" s="2" t="s">
        <v>922</v>
      </c>
      <c r="M672" s="38" t="str">
        <f t="shared" si="24"/>
        <v>24</v>
      </c>
      <c r="N672" s="38" t="str">
        <f t="shared" si="25"/>
        <v>05</v>
      </c>
      <c r="O672" s="53" t="s">
        <v>938</v>
      </c>
      <c r="P672" s="53" t="s">
        <v>938</v>
      </c>
      <c r="Q672" s="53">
        <v>262</v>
      </c>
    </row>
    <row r="673" spans="1:17" ht="16" x14ac:dyDescent="0.45">
      <c r="A673" s="2" t="str">
        <f>IFERROR(VLOOKUP(B673,CODE!$B:$D,3,0),"-")</f>
        <v>디지털 영상</v>
      </c>
      <c r="B673" s="2" t="str">
        <f>IF(L673="-",VLOOKUP(J673,CODE!$B:$D,2,0),L673)</f>
        <v>YouTube</v>
      </c>
      <c r="C673" s="2" t="s">
        <v>913</v>
      </c>
      <c r="D673" s="2" t="s">
        <v>281</v>
      </c>
      <c r="E673" s="2" t="s">
        <v>282</v>
      </c>
      <c r="F673" s="2" t="s">
        <v>268</v>
      </c>
      <c r="G673" s="2" t="s">
        <v>283</v>
      </c>
      <c r="H673" s="2" t="s">
        <v>914</v>
      </c>
      <c r="I673" s="2" t="s">
        <v>915</v>
      </c>
      <c r="J673" s="2" t="s">
        <v>37</v>
      </c>
      <c r="K673" s="2" t="s">
        <v>916</v>
      </c>
      <c r="L673" s="2" t="s">
        <v>916</v>
      </c>
      <c r="M673" s="38" t="str">
        <f t="shared" si="24"/>
        <v>25</v>
      </c>
      <c r="N673" s="38" t="str">
        <f t="shared" si="25"/>
        <v>12</v>
      </c>
      <c r="O673" s="53" t="s">
        <v>939</v>
      </c>
      <c r="P673" s="53" t="s">
        <v>939</v>
      </c>
      <c r="Q673" s="50">
        <v>1448</v>
      </c>
    </row>
    <row r="674" spans="1:17" ht="16" x14ac:dyDescent="0.45">
      <c r="A674" s="2" t="str">
        <f>IFERROR(VLOOKUP(B674,CODE!$B:$D,3,0),"-")</f>
        <v>디지털 영상</v>
      </c>
      <c r="B674" s="2" t="str">
        <f>IF(L674="-",VLOOKUP(J674,CODE!$B:$D,2,0),L674)</f>
        <v>YouTube</v>
      </c>
      <c r="C674" s="2" t="s">
        <v>913</v>
      </c>
      <c r="D674" s="2" t="s">
        <v>281</v>
      </c>
      <c r="E674" s="2" t="s">
        <v>282</v>
      </c>
      <c r="F674" s="2" t="s">
        <v>268</v>
      </c>
      <c r="G674" s="2" t="s">
        <v>283</v>
      </c>
      <c r="H674" s="2" t="s">
        <v>914</v>
      </c>
      <c r="I674" s="2" t="s">
        <v>915</v>
      </c>
      <c r="J674" s="2" t="s">
        <v>37</v>
      </c>
      <c r="K674" s="2" t="s">
        <v>916</v>
      </c>
      <c r="L674" s="2" t="s">
        <v>916</v>
      </c>
      <c r="M674" s="38" t="str">
        <f t="shared" si="24"/>
        <v>25</v>
      </c>
      <c r="N674" s="38" t="str">
        <f t="shared" si="25"/>
        <v>11</v>
      </c>
      <c r="O674" s="53" t="s">
        <v>940</v>
      </c>
      <c r="P674" s="53" t="s">
        <v>940</v>
      </c>
      <c r="Q674" s="50">
        <v>129272</v>
      </c>
    </row>
    <row r="675" spans="1:17" ht="16" x14ac:dyDescent="0.45">
      <c r="A675" s="2" t="str">
        <f>IFERROR(VLOOKUP(B675,CODE!$B:$D,3,0),"-")</f>
        <v>디지털 영상</v>
      </c>
      <c r="B675" s="2" t="str">
        <f>IF(L675="-",VLOOKUP(J675,CODE!$B:$D,2,0),L675)</f>
        <v>다음</v>
      </c>
      <c r="C675" s="2" t="s">
        <v>913</v>
      </c>
      <c r="D675" s="2" t="s">
        <v>281</v>
      </c>
      <c r="E675" s="2" t="s">
        <v>282</v>
      </c>
      <c r="F675" s="2" t="s">
        <v>268</v>
      </c>
      <c r="G675" s="2" t="s">
        <v>283</v>
      </c>
      <c r="H675" s="2" t="s">
        <v>914</v>
      </c>
      <c r="I675" s="2" t="s">
        <v>915</v>
      </c>
      <c r="J675" s="2" t="s">
        <v>37</v>
      </c>
      <c r="K675" s="2" t="s">
        <v>919</v>
      </c>
      <c r="L675" s="2" t="s">
        <v>919</v>
      </c>
      <c r="M675" s="38" t="str">
        <f t="shared" si="24"/>
        <v>25</v>
      </c>
      <c r="N675" s="38" t="str">
        <f t="shared" si="25"/>
        <v>11</v>
      </c>
      <c r="O675" s="53" t="s">
        <v>940</v>
      </c>
      <c r="P675" s="53" t="s">
        <v>940</v>
      </c>
      <c r="Q675" s="53">
        <v>516</v>
      </c>
    </row>
    <row r="676" spans="1:17" ht="16" x14ac:dyDescent="0.45">
      <c r="A676" s="2" t="str">
        <f>IFERROR(VLOOKUP(B676,CODE!$B:$D,3,0),"-")</f>
        <v>디지털 영상</v>
      </c>
      <c r="B676" s="2" t="str">
        <f>IF(L676="-",VLOOKUP(J676,CODE!$B:$D,2,0),L676)</f>
        <v>네이버</v>
      </c>
      <c r="C676" s="2" t="s">
        <v>913</v>
      </c>
      <c r="D676" s="2" t="s">
        <v>281</v>
      </c>
      <c r="E676" s="2" t="s">
        <v>282</v>
      </c>
      <c r="F676" s="2" t="s">
        <v>268</v>
      </c>
      <c r="G676" s="2" t="s">
        <v>283</v>
      </c>
      <c r="H676" s="2" t="s">
        <v>914</v>
      </c>
      <c r="I676" s="2" t="s">
        <v>915</v>
      </c>
      <c r="J676" s="2" t="s">
        <v>37</v>
      </c>
      <c r="K676" s="2" t="s">
        <v>922</v>
      </c>
      <c r="L676" s="2" t="s">
        <v>922</v>
      </c>
      <c r="M676" s="38" t="str">
        <f t="shared" si="24"/>
        <v>25</v>
      </c>
      <c r="N676" s="38" t="str">
        <f t="shared" si="25"/>
        <v>11</v>
      </c>
      <c r="O676" s="53" t="s">
        <v>940</v>
      </c>
      <c r="P676" s="53" t="s">
        <v>940</v>
      </c>
      <c r="Q676" s="50">
        <v>2371</v>
      </c>
    </row>
    <row r="677" spans="1:17" ht="16" x14ac:dyDescent="0.45">
      <c r="A677" s="2" t="str">
        <f>IFERROR(VLOOKUP(B677,CODE!$B:$D,3,0),"-")</f>
        <v>디지털 영상</v>
      </c>
      <c r="B677" s="2" t="str">
        <f>IF(L677="-",VLOOKUP(J677,CODE!$B:$D,2,0),L677)</f>
        <v>YouTube</v>
      </c>
      <c r="C677" s="2" t="s">
        <v>913</v>
      </c>
      <c r="D677" s="2" t="s">
        <v>281</v>
      </c>
      <c r="E677" s="2" t="s">
        <v>282</v>
      </c>
      <c r="F677" s="2" t="s">
        <v>268</v>
      </c>
      <c r="G677" s="2" t="s">
        <v>283</v>
      </c>
      <c r="H677" s="2" t="s">
        <v>914</v>
      </c>
      <c r="I677" s="2" t="s">
        <v>915</v>
      </c>
      <c r="J677" s="2" t="s">
        <v>37</v>
      </c>
      <c r="K677" s="2" t="s">
        <v>916</v>
      </c>
      <c r="L677" s="2" t="s">
        <v>916</v>
      </c>
      <c r="M677" s="38" t="str">
        <f t="shared" si="24"/>
        <v>25</v>
      </c>
      <c r="N677" s="38" t="str">
        <f t="shared" si="25"/>
        <v>10</v>
      </c>
      <c r="O677" s="53" t="s">
        <v>941</v>
      </c>
      <c r="P677" s="53" t="s">
        <v>941</v>
      </c>
      <c r="Q677" s="50">
        <v>171437</v>
      </c>
    </row>
    <row r="678" spans="1:17" ht="16" x14ac:dyDescent="0.45">
      <c r="A678" s="2" t="str">
        <f>IFERROR(VLOOKUP(B678,CODE!$B:$D,3,0),"-")</f>
        <v>디지털 영상</v>
      </c>
      <c r="B678" s="2" t="str">
        <f>IF(L678="-",VLOOKUP(J678,CODE!$B:$D,2,0),L678)</f>
        <v>네이버</v>
      </c>
      <c r="C678" s="2" t="s">
        <v>913</v>
      </c>
      <c r="D678" s="2" t="s">
        <v>267</v>
      </c>
      <c r="E678" s="2" t="s">
        <v>926</v>
      </c>
      <c r="F678" s="2" t="s">
        <v>268</v>
      </c>
      <c r="G678" s="2" t="s">
        <v>269</v>
      </c>
      <c r="H678" s="2" t="s">
        <v>918</v>
      </c>
      <c r="I678" s="2" t="s">
        <v>915</v>
      </c>
      <c r="J678" s="2" t="s">
        <v>37</v>
      </c>
      <c r="K678" s="2" t="s">
        <v>922</v>
      </c>
      <c r="L678" s="2" t="s">
        <v>922</v>
      </c>
      <c r="M678" s="38" t="str">
        <f t="shared" si="24"/>
        <v>25</v>
      </c>
      <c r="N678" s="38" t="str">
        <f t="shared" si="25"/>
        <v>10</v>
      </c>
      <c r="O678" s="53" t="s">
        <v>941</v>
      </c>
      <c r="P678" s="53" t="s">
        <v>941</v>
      </c>
      <c r="Q678" s="50">
        <v>48991</v>
      </c>
    </row>
    <row r="679" spans="1:17" ht="16" x14ac:dyDescent="0.45">
      <c r="A679" s="2" t="str">
        <f>IFERROR(VLOOKUP(B679,CODE!$B:$D,3,0),"-")</f>
        <v>디지털 영상</v>
      </c>
      <c r="B679" s="2" t="str">
        <f>IF(L679="-",VLOOKUP(J679,CODE!$B:$D,2,0),L679)</f>
        <v>YouTube</v>
      </c>
      <c r="C679" s="2" t="s">
        <v>913</v>
      </c>
      <c r="D679" s="2" t="s">
        <v>267</v>
      </c>
      <c r="E679" s="2" t="s">
        <v>926</v>
      </c>
      <c r="F679" s="2" t="s">
        <v>268</v>
      </c>
      <c r="G679" s="2" t="s">
        <v>269</v>
      </c>
      <c r="H679" s="2" t="s">
        <v>918</v>
      </c>
      <c r="I679" s="2" t="s">
        <v>915</v>
      </c>
      <c r="J679" s="2" t="s">
        <v>37</v>
      </c>
      <c r="K679" s="2" t="s">
        <v>916</v>
      </c>
      <c r="L679" s="2" t="s">
        <v>916</v>
      </c>
      <c r="M679" s="38" t="str">
        <f t="shared" si="24"/>
        <v>25</v>
      </c>
      <c r="N679" s="38" t="str">
        <f t="shared" si="25"/>
        <v>10</v>
      </c>
      <c r="O679" s="53" t="s">
        <v>941</v>
      </c>
      <c r="P679" s="53" t="s">
        <v>941</v>
      </c>
      <c r="Q679" s="50">
        <v>27425</v>
      </c>
    </row>
    <row r="680" spans="1:17" ht="16" x14ac:dyDescent="0.45">
      <c r="A680" s="2" t="str">
        <f>IFERROR(VLOOKUP(B680,CODE!$B:$D,3,0),"-")</f>
        <v>디지털 영상</v>
      </c>
      <c r="B680" s="2" t="str">
        <f>IF(L680="-",VLOOKUP(J680,CODE!$B:$D,2,0),L680)</f>
        <v>다음</v>
      </c>
      <c r="C680" s="2" t="s">
        <v>913</v>
      </c>
      <c r="D680" s="2" t="s">
        <v>281</v>
      </c>
      <c r="E680" s="2" t="s">
        <v>282</v>
      </c>
      <c r="F680" s="2" t="s">
        <v>268</v>
      </c>
      <c r="G680" s="2" t="s">
        <v>283</v>
      </c>
      <c r="H680" s="2" t="s">
        <v>914</v>
      </c>
      <c r="I680" s="2" t="s">
        <v>915</v>
      </c>
      <c r="J680" s="2" t="s">
        <v>37</v>
      </c>
      <c r="K680" s="2" t="s">
        <v>919</v>
      </c>
      <c r="L680" s="2" t="s">
        <v>919</v>
      </c>
      <c r="M680" s="38" t="str">
        <f t="shared" si="24"/>
        <v>25</v>
      </c>
      <c r="N680" s="38" t="str">
        <f t="shared" si="25"/>
        <v>10</v>
      </c>
      <c r="O680" s="53" t="s">
        <v>941</v>
      </c>
      <c r="P680" s="53" t="s">
        <v>941</v>
      </c>
      <c r="Q680" s="50">
        <v>1107</v>
      </c>
    </row>
    <row r="681" spans="1:17" ht="16" x14ac:dyDescent="0.45">
      <c r="A681" s="2" t="str">
        <f>IFERROR(VLOOKUP(B681,CODE!$B:$D,3,0),"-")</f>
        <v>디지털 영상</v>
      </c>
      <c r="B681" s="2" t="str">
        <f>IF(L681="-",VLOOKUP(J681,CODE!$B:$D,2,0),L681)</f>
        <v>다음</v>
      </c>
      <c r="C681" s="2" t="s">
        <v>913</v>
      </c>
      <c r="D681" s="2" t="s">
        <v>267</v>
      </c>
      <c r="E681" s="2" t="s">
        <v>927</v>
      </c>
      <c r="F681" s="2" t="s">
        <v>268</v>
      </c>
      <c r="G681" s="2" t="s">
        <v>269</v>
      </c>
      <c r="H681" s="2" t="s">
        <v>928</v>
      </c>
      <c r="I681" s="2" t="s">
        <v>915</v>
      </c>
      <c r="J681" s="2" t="s">
        <v>37</v>
      </c>
      <c r="K681" s="2" t="s">
        <v>919</v>
      </c>
      <c r="L681" s="2" t="s">
        <v>919</v>
      </c>
      <c r="M681" s="38" t="str">
        <f t="shared" si="24"/>
        <v>25</v>
      </c>
      <c r="N681" s="38" t="str">
        <f t="shared" si="25"/>
        <v>10</v>
      </c>
      <c r="O681" s="53" t="s">
        <v>941</v>
      </c>
      <c r="P681" s="53" t="s">
        <v>941</v>
      </c>
      <c r="Q681" s="53">
        <v>55</v>
      </c>
    </row>
    <row r="682" spans="1:17" ht="16" x14ac:dyDescent="0.45">
      <c r="A682" s="2" t="str">
        <f>IFERROR(VLOOKUP(B682,CODE!$B:$D,3,0),"-")</f>
        <v>디지털 영상</v>
      </c>
      <c r="B682" s="2" t="str">
        <f>IF(L682="-",VLOOKUP(J682,CODE!$B:$D,2,0),L682)</f>
        <v>네이버</v>
      </c>
      <c r="C682" s="2" t="s">
        <v>913</v>
      </c>
      <c r="D682" s="2" t="s">
        <v>267</v>
      </c>
      <c r="E682" s="2" t="s">
        <v>927</v>
      </c>
      <c r="F682" s="2" t="s">
        <v>268</v>
      </c>
      <c r="G682" s="2" t="s">
        <v>269</v>
      </c>
      <c r="H682" s="2" t="s">
        <v>928</v>
      </c>
      <c r="I682" s="2" t="s">
        <v>915</v>
      </c>
      <c r="J682" s="2" t="s">
        <v>37</v>
      </c>
      <c r="K682" s="2" t="s">
        <v>922</v>
      </c>
      <c r="L682" s="2" t="s">
        <v>922</v>
      </c>
      <c r="M682" s="38" t="str">
        <f t="shared" si="24"/>
        <v>25</v>
      </c>
      <c r="N682" s="38" t="str">
        <f t="shared" si="25"/>
        <v>10</v>
      </c>
      <c r="O682" s="53" t="s">
        <v>941</v>
      </c>
      <c r="P682" s="53" t="s">
        <v>941</v>
      </c>
      <c r="Q682" s="50">
        <v>46972</v>
      </c>
    </row>
    <row r="683" spans="1:17" ht="16" x14ac:dyDescent="0.45">
      <c r="A683" s="2" t="str">
        <f>IFERROR(VLOOKUP(B683,CODE!$B:$D,3,0),"-")</f>
        <v>디지털 영상</v>
      </c>
      <c r="B683" s="2" t="str">
        <f>IF(L683="-",VLOOKUP(J683,CODE!$B:$D,2,0),L683)</f>
        <v>YouTube</v>
      </c>
      <c r="C683" s="2" t="s">
        <v>913</v>
      </c>
      <c r="D683" s="2" t="s">
        <v>267</v>
      </c>
      <c r="E683" s="2" t="s">
        <v>927</v>
      </c>
      <c r="F683" s="2" t="s">
        <v>268</v>
      </c>
      <c r="G683" s="2" t="s">
        <v>269</v>
      </c>
      <c r="H683" s="2" t="s">
        <v>928</v>
      </c>
      <c r="I683" s="2" t="s">
        <v>915</v>
      </c>
      <c r="J683" s="2" t="s">
        <v>37</v>
      </c>
      <c r="K683" s="2" t="s">
        <v>916</v>
      </c>
      <c r="L683" s="2" t="s">
        <v>916</v>
      </c>
      <c r="M683" s="38" t="str">
        <f t="shared" si="24"/>
        <v>25</v>
      </c>
      <c r="N683" s="38" t="str">
        <f t="shared" si="25"/>
        <v>10</v>
      </c>
      <c r="O683" s="53" t="s">
        <v>941</v>
      </c>
      <c r="P683" s="53" t="s">
        <v>941</v>
      </c>
      <c r="Q683" s="50">
        <v>26639</v>
      </c>
    </row>
    <row r="684" spans="1:17" ht="16" x14ac:dyDescent="0.45">
      <c r="A684" s="2" t="str">
        <f>IFERROR(VLOOKUP(B684,CODE!$B:$D,3,0),"-")</f>
        <v>디지털 영상</v>
      </c>
      <c r="B684" s="2" t="str">
        <f>IF(L684="-",VLOOKUP(J684,CODE!$B:$D,2,0),L684)</f>
        <v>네이버</v>
      </c>
      <c r="C684" s="2" t="s">
        <v>913</v>
      </c>
      <c r="D684" s="2" t="s">
        <v>281</v>
      </c>
      <c r="E684" s="2" t="s">
        <v>282</v>
      </c>
      <c r="F684" s="2" t="s">
        <v>268</v>
      </c>
      <c r="G684" s="2" t="s">
        <v>283</v>
      </c>
      <c r="H684" s="2" t="s">
        <v>914</v>
      </c>
      <c r="I684" s="2" t="s">
        <v>915</v>
      </c>
      <c r="J684" s="2" t="s">
        <v>37</v>
      </c>
      <c r="K684" s="2" t="s">
        <v>922</v>
      </c>
      <c r="L684" s="2" t="s">
        <v>922</v>
      </c>
      <c r="M684" s="38" t="str">
        <f t="shared" si="24"/>
        <v>25</v>
      </c>
      <c r="N684" s="38" t="str">
        <f t="shared" si="25"/>
        <v>10</v>
      </c>
      <c r="O684" s="53" t="s">
        <v>941</v>
      </c>
      <c r="P684" s="53" t="s">
        <v>941</v>
      </c>
      <c r="Q684" s="50">
        <v>2262</v>
      </c>
    </row>
    <row r="685" spans="1:17" ht="16" x14ac:dyDescent="0.45">
      <c r="A685" s="2" t="str">
        <f>IFERROR(VLOOKUP(B685,CODE!$B:$D,3,0),"-")</f>
        <v>디지털 영상</v>
      </c>
      <c r="B685" s="2" t="str">
        <f>IF(L685="-",VLOOKUP(J685,CODE!$B:$D,2,0),L685)</f>
        <v>다음</v>
      </c>
      <c r="C685" s="2" t="s">
        <v>913</v>
      </c>
      <c r="D685" s="2" t="s">
        <v>267</v>
      </c>
      <c r="E685" s="2" t="s">
        <v>927</v>
      </c>
      <c r="F685" s="2" t="s">
        <v>268</v>
      </c>
      <c r="G685" s="2" t="s">
        <v>269</v>
      </c>
      <c r="H685" s="2" t="s">
        <v>928</v>
      </c>
      <c r="I685" s="2" t="s">
        <v>915</v>
      </c>
      <c r="J685" s="2" t="s">
        <v>37</v>
      </c>
      <c r="K685" s="2" t="s">
        <v>919</v>
      </c>
      <c r="L685" s="2" t="s">
        <v>919</v>
      </c>
      <c r="M685" s="38" t="str">
        <f t="shared" si="24"/>
        <v>25</v>
      </c>
      <c r="N685" s="38" t="str">
        <f t="shared" si="25"/>
        <v>09</v>
      </c>
      <c r="O685" s="53" t="s">
        <v>942</v>
      </c>
      <c r="P685" s="53" t="s">
        <v>942</v>
      </c>
      <c r="Q685" s="53">
        <v>48</v>
      </c>
    </row>
    <row r="686" spans="1:17" ht="16" x14ac:dyDescent="0.45">
      <c r="A686" s="2" t="str">
        <f>IFERROR(VLOOKUP(B686,CODE!$B:$D,3,0),"-")</f>
        <v>디지털 영상</v>
      </c>
      <c r="B686" s="2" t="str">
        <f>IF(L686="-",VLOOKUP(J686,CODE!$B:$D,2,0),L686)</f>
        <v>YouTube</v>
      </c>
      <c r="C686" s="2" t="s">
        <v>913</v>
      </c>
      <c r="D686" s="2" t="s">
        <v>267</v>
      </c>
      <c r="E686" s="2" t="s">
        <v>927</v>
      </c>
      <c r="F686" s="2" t="s">
        <v>268</v>
      </c>
      <c r="G686" s="2" t="s">
        <v>269</v>
      </c>
      <c r="H686" s="2" t="s">
        <v>928</v>
      </c>
      <c r="I686" s="2" t="s">
        <v>915</v>
      </c>
      <c r="J686" s="2" t="s">
        <v>37</v>
      </c>
      <c r="K686" s="2" t="s">
        <v>916</v>
      </c>
      <c r="L686" s="2" t="s">
        <v>916</v>
      </c>
      <c r="M686" s="38" t="str">
        <f t="shared" si="24"/>
        <v>25</v>
      </c>
      <c r="N686" s="38" t="str">
        <f t="shared" si="25"/>
        <v>09</v>
      </c>
      <c r="O686" s="53" t="s">
        <v>942</v>
      </c>
      <c r="P686" s="53" t="s">
        <v>942</v>
      </c>
      <c r="Q686" s="50">
        <v>90604</v>
      </c>
    </row>
    <row r="687" spans="1:17" ht="16" x14ac:dyDescent="0.45">
      <c r="A687" s="2" t="str">
        <f>IFERROR(VLOOKUP(B687,CODE!$B:$D,3,0),"-")</f>
        <v>디지털 영상</v>
      </c>
      <c r="B687" s="2" t="str">
        <f>IF(L687="-",VLOOKUP(J687,CODE!$B:$D,2,0),L687)</f>
        <v>다음</v>
      </c>
      <c r="C687" s="2" t="s">
        <v>913</v>
      </c>
      <c r="D687" s="2" t="s">
        <v>267</v>
      </c>
      <c r="E687" s="2" t="s">
        <v>926</v>
      </c>
      <c r="F687" s="2" t="s">
        <v>268</v>
      </c>
      <c r="G687" s="2" t="s">
        <v>269</v>
      </c>
      <c r="H687" s="2" t="s">
        <v>918</v>
      </c>
      <c r="I687" s="2" t="s">
        <v>915</v>
      </c>
      <c r="J687" s="2" t="s">
        <v>37</v>
      </c>
      <c r="K687" s="2" t="s">
        <v>919</v>
      </c>
      <c r="L687" s="2" t="s">
        <v>919</v>
      </c>
      <c r="M687" s="38" t="str">
        <f t="shared" si="24"/>
        <v>25</v>
      </c>
      <c r="N687" s="38" t="str">
        <f t="shared" si="25"/>
        <v>09</v>
      </c>
      <c r="O687" s="53" t="s">
        <v>942</v>
      </c>
      <c r="P687" s="53" t="s">
        <v>942</v>
      </c>
      <c r="Q687" s="50">
        <v>3641</v>
      </c>
    </row>
    <row r="688" spans="1:17" ht="16" x14ac:dyDescent="0.45">
      <c r="A688" s="2" t="str">
        <f>IFERROR(VLOOKUP(B688,CODE!$B:$D,3,0),"-")</f>
        <v>디지털 영상</v>
      </c>
      <c r="B688" s="2" t="str">
        <f>IF(L688="-",VLOOKUP(J688,CODE!$B:$D,2,0),L688)</f>
        <v>YouTube</v>
      </c>
      <c r="C688" s="2" t="s">
        <v>913</v>
      </c>
      <c r="D688" s="2" t="s">
        <v>267</v>
      </c>
      <c r="E688" s="2" t="s">
        <v>926</v>
      </c>
      <c r="F688" s="2" t="s">
        <v>268</v>
      </c>
      <c r="G688" s="2" t="s">
        <v>269</v>
      </c>
      <c r="H688" s="2" t="s">
        <v>918</v>
      </c>
      <c r="I688" s="2" t="s">
        <v>915</v>
      </c>
      <c r="J688" s="2" t="s">
        <v>37</v>
      </c>
      <c r="K688" s="2" t="s">
        <v>916</v>
      </c>
      <c r="L688" s="2" t="s">
        <v>916</v>
      </c>
      <c r="M688" s="38" t="str">
        <f t="shared" si="24"/>
        <v>25</v>
      </c>
      <c r="N688" s="38" t="str">
        <f t="shared" si="25"/>
        <v>09</v>
      </c>
      <c r="O688" s="53" t="s">
        <v>942</v>
      </c>
      <c r="P688" s="53" t="s">
        <v>942</v>
      </c>
      <c r="Q688" s="50">
        <v>96474</v>
      </c>
    </row>
    <row r="689" spans="1:17" ht="16" x14ac:dyDescent="0.45">
      <c r="A689" s="2" t="str">
        <f>IFERROR(VLOOKUP(B689,CODE!$B:$D,3,0),"-")</f>
        <v>디지털 영상</v>
      </c>
      <c r="B689" s="2" t="str">
        <f>IF(L689="-",VLOOKUP(J689,CODE!$B:$D,2,0),L689)</f>
        <v>네이버</v>
      </c>
      <c r="C689" s="2" t="s">
        <v>913</v>
      </c>
      <c r="D689" s="2" t="s">
        <v>267</v>
      </c>
      <c r="E689" s="2" t="s">
        <v>926</v>
      </c>
      <c r="F689" s="2" t="s">
        <v>268</v>
      </c>
      <c r="G689" s="2" t="s">
        <v>269</v>
      </c>
      <c r="H689" s="2" t="s">
        <v>918</v>
      </c>
      <c r="I689" s="2" t="s">
        <v>915</v>
      </c>
      <c r="J689" s="2" t="s">
        <v>37</v>
      </c>
      <c r="K689" s="2" t="s">
        <v>922</v>
      </c>
      <c r="L689" s="2" t="s">
        <v>922</v>
      </c>
      <c r="M689" s="38" t="str">
        <f t="shared" si="24"/>
        <v>25</v>
      </c>
      <c r="N689" s="38" t="str">
        <f t="shared" si="25"/>
        <v>09</v>
      </c>
      <c r="O689" s="53" t="s">
        <v>942</v>
      </c>
      <c r="P689" s="53" t="s">
        <v>942</v>
      </c>
      <c r="Q689" s="50">
        <v>41301</v>
      </c>
    </row>
    <row r="690" spans="1:17" ht="16" x14ac:dyDescent="0.45">
      <c r="A690" s="2" t="str">
        <f>IFERROR(VLOOKUP(B690,CODE!$B:$D,3,0),"-")</f>
        <v>디지털 영상</v>
      </c>
      <c r="B690" s="2" t="str">
        <f>IF(L690="-",VLOOKUP(J690,CODE!$B:$D,2,0),L690)</f>
        <v>Tving</v>
      </c>
      <c r="C690" s="2" t="s">
        <v>913</v>
      </c>
      <c r="D690" s="2" t="s">
        <v>267</v>
      </c>
      <c r="E690" s="2" t="s">
        <v>927</v>
      </c>
      <c r="F690" s="2" t="s">
        <v>268</v>
      </c>
      <c r="G690" s="2" t="s">
        <v>269</v>
      </c>
      <c r="H690" s="2" t="s">
        <v>928</v>
      </c>
      <c r="I690" s="2" t="s">
        <v>915</v>
      </c>
      <c r="J690" s="2" t="s">
        <v>37</v>
      </c>
      <c r="K690" s="2" t="s">
        <v>921</v>
      </c>
      <c r="L690" s="2" t="s">
        <v>921</v>
      </c>
      <c r="M690" s="38" t="str">
        <f t="shared" si="24"/>
        <v>25</v>
      </c>
      <c r="N690" s="38" t="str">
        <f t="shared" si="25"/>
        <v>09</v>
      </c>
      <c r="O690" s="53" t="s">
        <v>942</v>
      </c>
      <c r="P690" s="53" t="s">
        <v>942</v>
      </c>
      <c r="Q690" s="50">
        <v>7082</v>
      </c>
    </row>
    <row r="691" spans="1:17" ht="16" x14ac:dyDescent="0.45">
      <c r="A691" s="2" t="str">
        <f>IFERROR(VLOOKUP(B691,CODE!$B:$D,3,0),"-")</f>
        <v>디지털 영상</v>
      </c>
      <c r="B691" s="2" t="str">
        <f>IF(L691="-",VLOOKUP(J691,CODE!$B:$D,2,0),L691)</f>
        <v>네이버</v>
      </c>
      <c r="C691" s="2" t="s">
        <v>913</v>
      </c>
      <c r="D691" s="2" t="s">
        <v>281</v>
      </c>
      <c r="E691" s="2" t="s">
        <v>282</v>
      </c>
      <c r="F691" s="2" t="s">
        <v>268</v>
      </c>
      <c r="G691" s="2" t="s">
        <v>283</v>
      </c>
      <c r="H691" s="2" t="s">
        <v>914</v>
      </c>
      <c r="I691" s="2" t="s">
        <v>915</v>
      </c>
      <c r="J691" s="2" t="s">
        <v>37</v>
      </c>
      <c r="K691" s="2" t="s">
        <v>922</v>
      </c>
      <c r="L691" s="2" t="s">
        <v>922</v>
      </c>
      <c r="M691" s="38" t="str">
        <f t="shared" si="24"/>
        <v>25</v>
      </c>
      <c r="N691" s="38" t="str">
        <f t="shared" si="25"/>
        <v>09</v>
      </c>
      <c r="O691" s="53" t="s">
        <v>942</v>
      </c>
      <c r="P691" s="53" t="s">
        <v>942</v>
      </c>
      <c r="Q691" s="50">
        <v>9513</v>
      </c>
    </row>
    <row r="692" spans="1:17" ht="16" x14ac:dyDescent="0.45">
      <c r="A692" s="2" t="str">
        <f>IFERROR(VLOOKUP(B692,CODE!$B:$D,3,0),"-")</f>
        <v>디지털 영상</v>
      </c>
      <c r="B692" s="2" t="str">
        <f>IF(L692="-",VLOOKUP(J692,CODE!$B:$D,2,0),L692)</f>
        <v>네이버</v>
      </c>
      <c r="C692" s="2" t="s">
        <v>913</v>
      </c>
      <c r="D692" s="2" t="s">
        <v>267</v>
      </c>
      <c r="E692" s="2" t="s">
        <v>927</v>
      </c>
      <c r="F692" s="2" t="s">
        <v>268</v>
      </c>
      <c r="G692" s="2" t="s">
        <v>269</v>
      </c>
      <c r="H692" s="2" t="s">
        <v>928</v>
      </c>
      <c r="I692" s="2" t="s">
        <v>915</v>
      </c>
      <c r="J692" s="2" t="s">
        <v>37</v>
      </c>
      <c r="K692" s="2" t="s">
        <v>922</v>
      </c>
      <c r="L692" s="2" t="s">
        <v>922</v>
      </c>
      <c r="M692" s="38" t="str">
        <f t="shared" si="24"/>
        <v>25</v>
      </c>
      <c r="N692" s="38" t="str">
        <f t="shared" si="25"/>
        <v>09</v>
      </c>
      <c r="O692" s="53" t="s">
        <v>942</v>
      </c>
      <c r="P692" s="53" t="s">
        <v>942</v>
      </c>
      <c r="Q692" s="50">
        <v>4622</v>
      </c>
    </row>
    <row r="693" spans="1:17" ht="16" x14ac:dyDescent="0.45">
      <c r="A693" s="2" t="str">
        <f>IFERROR(VLOOKUP(B693,CODE!$B:$D,3,0),"-")</f>
        <v>디지털 영상</v>
      </c>
      <c r="B693" s="2" t="str">
        <f>IF(L693="-",VLOOKUP(J693,CODE!$B:$D,2,0),L693)</f>
        <v>YouTube</v>
      </c>
      <c r="C693" s="2" t="s">
        <v>913</v>
      </c>
      <c r="D693" s="2" t="s">
        <v>281</v>
      </c>
      <c r="E693" s="2" t="s">
        <v>282</v>
      </c>
      <c r="F693" s="2" t="s">
        <v>268</v>
      </c>
      <c r="G693" s="2" t="s">
        <v>283</v>
      </c>
      <c r="H693" s="2" t="s">
        <v>914</v>
      </c>
      <c r="I693" s="2" t="s">
        <v>915</v>
      </c>
      <c r="J693" s="2" t="s">
        <v>37</v>
      </c>
      <c r="K693" s="2" t="s">
        <v>916</v>
      </c>
      <c r="L693" s="2" t="s">
        <v>916</v>
      </c>
      <c r="M693" s="38" t="str">
        <f t="shared" si="24"/>
        <v>25</v>
      </c>
      <c r="N693" s="38" t="str">
        <f t="shared" si="25"/>
        <v>09</v>
      </c>
      <c r="O693" s="53" t="s">
        <v>942</v>
      </c>
      <c r="P693" s="53" t="s">
        <v>942</v>
      </c>
      <c r="Q693" s="50">
        <v>87420</v>
      </c>
    </row>
    <row r="694" spans="1:17" ht="16" x14ac:dyDescent="0.45">
      <c r="A694" s="2" t="str">
        <f>IFERROR(VLOOKUP(B694,CODE!$B:$D,3,0),"-")</f>
        <v>디지털 영상</v>
      </c>
      <c r="B694" s="2" t="str">
        <f>IF(L694="-",VLOOKUP(J694,CODE!$B:$D,2,0),L694)</f>
        <v>Tving</v>
      </c>
      <c r="C694" s="2" t="s">
        <v>913</v>
      </c>
      <c r="D694" s="2" t="s">
        <v>267</v>
      </c>
      <c r="E694" s="2" t="s">
        <v>926</v>
      </c>
      <c r="F694" s="2" t="s">
        <v>268</v>
      </c>
      <c r="G694" s="2" t="s">
        <v>269</v>
      </c>
      <c r="H694" s="2" t="s">
        <v>918</v>
      </c>
      <c r="I694" s="2" t="s">
        <v>915</v>
      </c>
      <c r="J694" s="2" t="s">
        <v>37</v>
      </c>
      <c r="K694" s="2" t="s">
        <v>921</v>
      </c>
      <c r="L694" s="2" t="s">
        <v>921</v>
      </c>
      <c r="M694" s="38" t="str">
        <f t="shared" si="24"/>
        <v>25</v>
      </c>
      <c r="N694" s="38" t="str">
        <f t="shared" si="25"/>
        <v>09</v>
      </c>
      <c r="O694" s="53" t="s">
        <v>942</v>
      </c>
      <c r="P694" s="53" t="s">
        <v>942</v>
      </c>
      <c r="Q694" s="50">
        <v>6504</v>
      </c>
    </row>
    <row r="695" spans="1:17" ht="16" x14ac:dyDescent="0.45">
      <c r="A695" s="2" t="str">
        <f>IFERROR(VLOOKUP(B695,CODE!$B:$D,3,0),"-")</f>
        <v>디지털 영상</v>
      </c>
      <c r="B695" s="2" t="str">
        <f>IF(L695="-",VLOOKUP(J695,CODE!$B:$D,2,0),L695)</f>
        <v>다음</v>
      </c>
      <c r="C695" s="2" t="s">
        <v>913</v>
      </c>
      <c r="D695" s="2" t="s">
        <v>281</v>
      </c>
      <c r="E695" s="2" t="s">
        <v>282</v>
      </c>
      <c r="F695" s="2" t="s">
        <v>268</v>
      </c>
      <c r="G695" s="2" t="s">
        <v>283</v>
      </c>
      <c r="H695" s="2" t="s">
        <v>914</v>
      </c>
      <c r="I695" s="2" t="s">
        <v>915</v>
      </c>
      <c r="J695" s="2" t="s">
        <v>37</v>
      </c>
      <c r="K695" s="2" t="s">
        <v>919</v>
      </c>
      <c r="L695" s="2" t="s">
        <v>919</v>
      </c>
      <c r="M695" s="38" t="str">
        <f t="shared" si="24"/>
        <v>25</v>
      </c>
      <c r="N695" s="38" t="str">
        <f t="shared" si="25"/>
        <v>09</v>
      </c>
      <c r="O695" s="53" t="s">
        <v>942</v>
      </c>
      <c r="P695" s="53" t="s">
        <v>942</v>
      </c>
      <c r="Q695" s="53">
        <v>343</v>
      </c>
    </row>
    <row r="696" spans="1:17" ht="16" x14ac:dyDescent="0.45">
      <c r="A696" s="2" t="str">
        <f>IFERROR(VLOOKUP(B696,CODE!$B:$D,3,0),"-")</f>
        <v>디지털 영상</v>
      </c>
      <c r="B696" s="2" t="str">
        <f>IF(L696="-",VLOOKUP(J696,CODE!$B:$D,2,0),L696)</f>
        <v>YouTube</v>
      </c>
      <c r="C696" s="2" t="s">
        <v>913</v>
      </c>
      <c r="D696" s="2" t="s">
        <v>281</v>
      </c>
      <c r="E696" s="2" t="s">
        <v>282</v>
      </c>
      <c r="F696" s="2" t="s">
        <v>268</v>
      </c>
      <c r="G696" s="2" t="s">
        <v>283</v>
      </c>
      <c r="H696" s="2" t="s">
        <v>914</v>
      </c>
      <c r="I696" s="2" t="s">
        <v>915</v>
      </c>
      <c r="J696" s="2" t="s">
        <v>37</v>
      </c>
      <c r="K696" s="2" t="s">
        <v>916</v>
      </c>
      <c r="L696" s="2" t="s">
        <v>916</v>
      </c>
      <c r="M696" s="38" t="str">
        <f t="shared" si="24"/>
        <v>25</v>
      </c>
      <c r="N696" s="38" t="str">
        <f t="shared" si="25"/>
        <v>08</v>
      </c>
      <c r="O696" s="53" t="s">
        <v>943</v>
      </c>
      <c r="P696" s="53" t="s">
        <v>943</v>
      </c>
      <c r="Q696" s="50">
        <v>14455</v>
      </c>
    </row>
    <row r="697" spans="1:17" ht="16" x14ac:dyDescent="0.45">
      <c r="A697" s="2" t="str">
        <f>IFERROR(VLOOKUP(B697,CODE!$B:$D,3,0),"-")</f>
        <v>디지털 영상</v>
      </c>
      <c r="B697" s="2" t="str">
        <f>IF(L697="-",VLOOKUP(J697,CODE!$B:$D,2,0),L697)</f>
        <v>YouTube</v>
      </c>
      <c r="C697" s="2" t="s">
        <v>913</v>
      </c>
      <c r="D697" s="2" t="s">
        <v>267</v>
      </c>
      <c r="E697" s="2" t="s">
        <v>923</v>
      </c>
      <c r="F697" s="2" t="s">
        <v>268</v>
      </c>
      <c r="G697" s="2" t="s">
        <v>269</v>
      </c>
      <c r="H697" s="2" t="s">
        <v>918</v>
      </c>
      <c r="I697" s="2" t="s">
        <v>915</v>
      </c>
      <c r="J697" s="2" t="s">
        <v>37</v>
      </c>
      <c r="K697" s="2" t="s">
        <v>916</v>
      </c>
      <c r="L697" s="2" t="s">
        <v>916</v>
      </c>
      <c r="M697" s="38" t="str">
        <f t="shared" si="24"/>
        <v>25</v>
      </c>
      <c r="N697" s="38" t="str">
        <f t="shared" si="25"/>
        <v>08</v>
      </c>
      <c r="O697" s="53" t="s">
        <v>943</v>
      </c>
      <c r="P697" s="53" t="s">
        <v>943</v>
      </c>
      <c r="Q697" s="50">
        <v>4415</v>
      </c>
    </row>
    <row r="698" spans="1:17" ht="16" x14ac:dyDescent="0.45">
      <c r="A698" s="2" t="str">
        <f>IFERROR(VLOOKUP(B698,CODE!$B:$D,3,0),"-")</f>
        <v>디지털 영상</v>
      </c>
      <c r="B698" s="2" t="str">
        <f>IF(L698="-",VLOOKUP(J698,CODE!$B:$D,2,0),L698)</f>
        <v>YouTube</v>
      </c>
      <c r="C698" s="2" t="s">
        <v>913</v>
      </c>
      <c r="D698" s="2" t="s">
        <v>267</v>
      </c>
      <c r="E698" s="2" t="s">
        <v>923</v>
      </c>
      <c r="F698" s="2" t="s">
        <v>268</v>
      </c>
      <c r="G698" s="2" t="s">
        <v>269</v>
      </c>
      <c r="H698" s="2" t="s">
        <v>918</v>
      </c>
      <c r="I698" s="2" t="s">
        <v>915</v>
      </c>
      <c r="J698" s="2" t="s">
        <v>37</v>
      </c>
      <c r="K698" s="2" t="s">
        <v>916</v>
      </c>
      <c r="L698" s="2" t="s">
        <v>916</v>
      </c>
      <c r="M698" s="38" t="str">
        <f t="shared" si="24"/>
        <v>25</v>
      </c>
      <c r="N698" s="38" t="str">
        <f t="shared" si="25"/>
        <v>07</v>
      </c>
      <c r="O698" s="53" t="s">
        <v>944</v>
      </c>
      <c r="P698" s="53" t="s">
        <v>944</v>
      </c>
      <c r="Q698" s="50">
        <v>15293</v>
      </c>
    </row>
    <row r="699" spans="1:17" ht="16" x14ac:dyDescent="0.45">
      <c r="A699" s="2" t="str">
        <f>IFERROR(VLOOKUP(B699,CODE!$B:$D,3,0),"-")</f>
        <v>디지털 영상</v>
      </c>
      <c r="B699" s="2" t="str">
        <f>IF(L699="-",VLOOKUP(J699,CODE!$B:$D,2,0),L699)</f>
        <v>YouTube</v>
      </c>
      <c r="C699" s="2" t="s">
        <v>913</v>
      </c>
      <c r="D699" s="2" t="s">
        <v>267</v>
      </c>
      <c r="E699" s="2" t="s">
        <v>929</v>
      </c>
      <c r="F699" s="2" t="s">
        <v>268</v>
      </c>
      <c r="G699" s="2" t="s">
        <v>269</v>
      </c>
      <c r="H699" s="2" t="s">
        <v>918</v>
      </c>
      <c r="I699" s="2" t="s">
        <v>915</v>
      </c>
      <c r="J699" s="2" t="s">
        <v>37</v>
      </c>
      <c r="K699" s="2" t="s">
        <v>916</v>
      </c>
      <c r="L699" s="2" t="s">
        <v>916</v>
      </c>
      <c r="M699" s="38" t="str">
        <f t="shared" ref="M699:M714" si="26">LEFT(O699,2)</f>
        <v>25</v>
      </c>
      <c r="N699" s="38" t="str">
        <f t="shared" ref="N699:N714" si="27">MID(O699,4,2)</f>
        <v>07</v>
      </c>
      <c r="O699" s="53" t="s">
        <v>944</v>
      </c>
      <c r="P699" s="53" t="s">
        <v>944</v>
      </c>
      <c r="Q699" s="50">
        <v>1735</v>
      </c>
    </row>
    <row r="700" spans="1:17" ht="16" x14ac:dyDescent="0.45">
      <c r="A700" s="2" t="str">
        <f>IFERROR(VLOOKUP(B700,CODE!$B:$D,3,0),"-")</f>
        <v>디지털 영상</v>
      </c>
      <c r="B700" s="2" t="str">
        <f>IF(L700="-",VLOOKUP(J700,CODE!$B:$D,2,0),L700)</f>
        <v>YouTube</v>
      </c>
      <c r="C700" s="2" t="s">
        <v>913</v>
      </c>
      <c r="D700" s="2" t="s">
        <v>267</v>
      </c>
      <c r="E700" s="2" t="s">
        <v>929</v>
      </c>
      <c r="F700" s="2" t="s">
        <v>268</v>
      </c>
      <c r="G700" s="2" t="s">
        <v>269</v>
      </c>
      <c r="H700" s="2" t="s">
        <v>918</v>
      </c>
      <c r="I700" s="2" t="s">
        <v>915</v>
      </c>
      <c r="J700" s="2" t="s">
        <v>37</v>
      </c>
      <c r="K700" s="2" t="s">
        <v>916</v>
      </c>
      <c r="L700" s="2" t="s">
        <v>916</v>
      </c>
      <c r="M700" s="38" t="str">
        <f t="shared" si="26"/>
        <v>25</v>
      </c>
      <c r="N700" s="38" t="str">
        <f t="shared" si="27"/>
        <v>06</v>
      </c>
      <c r="O700" s="53" t="s">
        <v>945</v>
      </c>
      <c r="P700" s="53" t="s">
        <v>945</v>
      </c>
      <c r="Q700" s="50">
        <v>3096</v>
      </c>
    </row>
    <row r="701" spans="1:17" ht="16" x14ac:dyDescent="0.45">
      <c r="A701" s="2" t="str">
        <f>IFERROR(VLOOKUP(B701,CODE!$B:$D,3,0),"-")</f>
        <v>디지털 영상</v>
      </c>
      <c r="B701" s="2" t="str">
        <f>IF(L701="-",VLOOKUP(J701,CODE!$B:$D,2,0),L701)</f>
        <v>YouTube</v>
      </c>
      <c r="C701" s="2" t="s">
        <v>913</v>
      </c>
      <c r="D701" s="2" t="s">
        <v>281</v>
      </c>
      <c r="E701" s="2" t="s">
        <v>282</v>
      </c>
      <c r="F701" s="2" t="s">
        <v>268</v>
      </c>
      <c r="G701" s="2" t="s">
        <v>283</v>
      </c>
      <c r="H701" s="2" t="s">
        <v>914</v>
      </c>
      <c r="I701" s="2" t="s">
        <v>915</v>
      </c>
      <c r="J701" s="2" t="s">
        <v>37</v>
      </c>
      <c r="K701" s="2" t="s">
        <v>916</v>
      </c>
      <c r="L701" s="2" t="s">
        <v>916</v>
      </c>
      <c r="M701" s="38" t="str">
        <f t="shared" si="26"/>
        <v>25</v>
      </c>
      <c r="N701" s="38" t="str">
        <f t="shared" si="27"/>
        <v>06</v>
      </c>
      <c r="O701" s="53" t="s">
        <v>945</v>
      </c>
      <c r="P701" s="53" t="s">
        <v>945</v>
      </c>
      <c r="Q701" s="53">
        <v>753</v>
      </c>
    </row>
    <row r="702" spans="1:17" ht="16" x14ac:dyDescent="0.45">
      <c r="A702" s="2" t="str">
        <f>IFERROR(VLOOKUP(B702,CODE!$B:$D,3,0),"-")</f>
        <v>디지털 영상</v>
      </c>
      <c r="B702" s="2" t="str">
        <f>IF(L702="-",VLOOKUP(J702,CODE!$B:$D,2,0),L702)</f>
        <v>네이버</v>
      </c>
      <c r="C702" s="2" t="s">
        <v>913</v>
      </c>
      <c r="D702" s="2" t="s">
        <v>281</v>
      </c>
      <c r="E702" s="2" t="s">
        <v>282</v>
      </c>
      <c r="F702" s="2" t="s">
        <v>268</v>
      </c>
      <c r="G702" s="2" t="s">
        <v>283</v>
      </c>
      <c r="H702" s="2" t="s">
        <v>914</v>
      </c>
      <c r="I702" s="2" t="s">
        <v>915</v>
      </c>
      <c r="J702" s="2" t="s">
        <v>37</v>
      </c>
      <c r="K702" s="2" t="s">
        <v>922</v>
      </c>
      <c r="L702" s="2" t="s">
        <v>922</v>
      </c>
      <c r="M702" s="38" t="str">
        <f t="shared" si="26"/>
        <v>25</v>
      </c>
      <c r="N702" s="38" t="str">
        <f t="shared" si="27"/>
        <v>05</v>
      </c>
      <c r="O702" s="53" t="s">
        <v>946</v>
      </c>
      <c r="P702" s="53" t="s">
        <v>946</v>
      </c>
      <c r="Q702" s="50">
        <v>2763</v>
      </c>
    </row>
    <row r="703" spans="1:17" ht="16" x14ac:dyDescent="0.45">
      <c r="A703" s="2" t="str">
        <f>IFERROR(VLOOKUP(B703,CODE!$B:$D,3,0),"-")</f>
        <v>디지털 영상</v>
      </c>
      <c r="B703" s="2" t="str">
        <f>IF(L703="-",VLOOKUP(J703,CODE!$B:$D,2,0),L703)</f>
        <v>YouTube</v>
      </c>
      <c r="C703" s="2" t="s">
        <v>913</v>
      </c>
      <c r="D703" s="2" t="s">
        <v>281</v>
      </c>
      <c r="E703" s="2" t="s">
        <v>282</v>
      </c>
      <c r="F703" s="2" t="s">
        <v>268</v>
      </c>
      <c r="G703" s="2" t="s">
        <v>283</v>
      </c>
      <c r="H703" s="2" t="s">
        <v>914</v>
      </c>
      <c r="I703" s="2" t="s">
        <v>915</v>
      </c>
      <c r="J703" s="2" t="s">
        <v>37</v>
      </c>
      <c r="K703" s="2" t="s">
        <v>916</v>
      </c>
      <c r="L703" s="2" t="s">
        <v>916</v>
      </c>
      <c r="M703" s="38" t="str">
        <f t="shared" si="26"/>
        <v>25</v>
      </c>
      <c r="N703" s="38" t="str">
        <f t="shared" si="27"/>
        <v>05</v>
      </c>
      <c r="O703" s="53" t="s">
        <v>946</v>
      </c>
      <c r="P703" s="53" t="s">
        <v>946</v>
      </c>
      <c r="Q703" s="50">
        <v>8286</v>
      </c>
    </row>
    <row r="704" spans="1:17" ht="16" x14ac:dyDescent="0.45">
      <c r="A704" s="2" t="str">
        <f>IFERROR(VLOOKUP(B704,CODE!$B:$D,3,0),"-")</f>
        <v>디지털 영상</v>
      </c>
      <c r="B704" s="2" t="str">
        <f>IF(L704="-",VLOOKUP(J704,CODE!$B:$D,2,0),L704)</f>
        <v>네이버</v>
      </c>
      <c r="C704" s="2" t="s">
        <v>913</v>
      </c>
      <c r="D704" s="2" t="s">
        <v>955</v>
      </c>
      <c r="E704" s="2" t="s">
        <v>930</v>
      </c>
      <c r="F704" s="2" t="s">
        <v>268</v>
      </c>
      <c r="G704" s="2" t="s">
        <v>269</v>
      </c>
      <c r="H704" s="2" t="s">
        <v>918</v>
      </c>
      <c r="I704" s="2" t="s">
        <v>915</v>
      </c>
      <c r="J704" s="2" t="s">
        <v>37</v>
      </c>
      <c r="K704" s="2" t="s">
        <v>922</v>
      </c>
      <c r="L704" s="2" t="s">
        <v>922</v>
      </c>
      <c r="M704" s="38" t="str">
        <f t="shared" si="26"/>
        <v>25</v>
      </c>
      <c r="N704" s="38" t="str">
        <f t="shared" si="27"/>
        <v>05</v>
      </c>
      <c r="O704" s="53" t="s">
        <v>946</v>
      </c>
      <c r="P704" s="53" t="s">
        <v>946</v>
      </c>
      <c r="Q704" s="50">
        <v>3309</v>
      </c>
    </row>
    <row r="705" spans="1:17" ht="16" x14ac:dyDescent="0.45">
      <c r="A705" s="2" t="str">
        <f>IFERROR(VLOOKUP(B705,CODE!$B:$D,3,0),"-")</f>
        <v>디지털 영상</v>
      </c>
      <c r="B705" s="2" t="str">
        <f>IF(L705="-",VLOOKUP(J705,CODE!$B:$D,2,0),L705)</f>
        <v>YouTube</v>
      </c>
      <c r="C705" s="2" t="s">
        <v>913</v>
      </c>
      <c r="D705" s="2" t="s">
        <v>955</v>
      </c>
      <c r="E705" s="2" t="s">
        <v>930</v>
      </c>
      <c r="F705" s="2" t="s">
        <v>268</v>
      </c>
      <c r="G705" s="2" t="s">
        <v>269</v>
      </c>
      <c r="H705" s="2" t="s">
        <v>918</v>
      </c>
      <c r="I705" s="2" t="s">
        <v>915</v>
      </c>
      <c r="J705" s="2" t="s">
        <v>37</v>
      </c>
      <c r="K705" s="2" t="s">
        <v>916</v>
      </c>
      <c r="L705" s="2" t="s">
        <v>916</v>
      </c>
      <c r="M705" s="38" t="str">
        <f t="shared" si="26"/>
        <v>25</v>
      </c>
      <c r="N705" s="38" t="str">
        <f t="shared" si="27"/>
        <v>05</v>
      </c>
      <c r="O705" s="53" t="s">
        <v>946</v>
      </c>
      <c r="P705" s="53" t="s">
        <v>946</v>
      </c>
      <c r="Q705" s="50">
        <v>5267</v>
      </c>
    </row>
    <row r="706" spans="1:17" ht="16" x14ac:dyDescent="0.45">
      <c r="A706" s="2" t="str">
        <f>IFERROR(VLOOKUP(B706,CODE!$B:$D,3,0),"-")</f>
        <v>디지털 영상</v>
      </c>
      <c r="B706" s="2" t="str">
        <f>IF(L706="-",VLOOKUP(J706,CODE!$B:$D,2,0),L706)</f>
        <v>YouTube</v>
      </c>
      <c r="C706" s="2" t="s">
        <v>913</v>
      </c>
      <c r="D706" s="2" t="s">
        <v>281</v>
      </c>
      <c r="E706" s="2" t="s">
        <v>282</v>
      </c>
      <c r="F706" s="2" t="s">
        <v>268</v>
      </c>
      <c r="G706" s="2" t="s">
        <v>283</v>
      </c>
      <c r="H706" s="2" t="s">
        <v>914</v>
      </c>
      <c r="I706" s="2" t="s">
        <v>915</v>
      </c>
      <c r="J706" s="2" t="s">
        <v>37</v>
      </c>
      <c r="K706" s="2" t="s">
        <v>916</v>
      </c>
      <c r="L706" s="2" t="s">
        <v>916</v>
      </c>
      <c r="M706" s="38" t="str">
        <f t="shared" si="26"/>
        <v>25</v>
      </c>
      <c r="N706" s="38" t="str">
        <f t="shared" si="27"/>
        <v>04</v>
      </c>
      <c r="O706" s="53" t="s">
        <v>947</v>
      </c>
      <c r="P706" s="53" t="s">
        <v>947</v>
      </c>
      <c r="Q706" s="53">
        <v>78</v>
      </c>
    </row>
    <row r="707" spans="1:17" ht="16" x14ac:dyDescent="0.45">
      <c r="A707" s="2" t="str">
        <f>IFERROR(VLOOKUP(B707,CODE!$B:$D,3,0),"-")</f>
        <v>디지털 영상</v>
      </c>
      <c r="B707" s="2" t="str">
        <f>IF(L707="-",VLOOKUP(J707,CODE!$B:$D,2,0),L707)</f>
        <v>네이버</v>
      </c>
      <c r="C707" s="2" t="s">
        <v>913</v>
      </c>
      <c r="D707" s="2" t="s">
        <v>281</v>
      </c>
      <c r="E707" s="2" t="s">
        <v>282</v>
      </c>
      <c r="F707" s="2" t="s">
        <v>268</v>
      </c>
      <c r="G707" s="2" t="s">
        <v>283</v>
      </c>
      <c r="H707" s="2" t="s">
        <v>914</v>
      </c>
      <c r="I707" s="2" t="s">
        <v>915</v>
      </c>
      <c r="J707" s="2" t="s">
        <v>37</v>
      </c>
      <c r="K707" s="2" t="s">
        <v>922</v>
      </c>
      <c r="L707" s="2" t="s">
        <v>922</v>
      </c>
      <c r="M707" s="38" t="str">
        <f t="shared" si="26"/>
        <v>25</v>
      </c>
      <c r="N707" s="38" t="str">
        <f t="shared" si="27"/>
        <v>03</v>
      </c>
      <c r="O707" s="53" t="s">
        <v>948</v>
      </c>
      <c r="P707" s="53" t="s">
        <v>948</v>
      </c>
      <c r="Q707" s="50">
        <v>6768</v>
      </c>
    </row>
    <row r="708" spans="1:17" ht="16" x14ac:dyDescent="0.45">
      <c r="A708" s="2" t="str">
        <f>IFERROR(VLOOKUP(B708,CODE!$B:$D,3,0),"-")</f>
        <v>디지털 영상</v>
      </c>
      <c r="B708" s="2" t="str">
        <f>IF(L708="-",VLOOKUP(J708,CODE!$B:$D,2,0),L708)</f>
        <v>YouTube</v>
      </c>
      <c r="C708" s="2" t="s">
        <v>913</v>
      </c>
      <c r="D708" s="2" t="s">
        <v>281</v>
      </c>
      <c r="E708" s="2" t="s">
        <v>282</v>
      </c>
      <c r="F708" s="2" t="s">
        <v>268</v>
      </c>
      <c r="G708" s="2" t="s">
        <v>283</v>
      </c>
      <c r="H708" s="2" t="s">
        <v>914</v>
      </c>
      <c r="I708" s="2" t="s">
        <v>915</v>
      </c>
      <c r="J708" s="2" t="s">
        <v>37</v>
      </c>
      <c r="K708" s="2" t="s">
        <v>916</v>
      </c>
      <c r="L708" s="2" t="s">
        <v>916</v>
      </c>
      <c r="M708" s="38" t="str">
        <f t="shared" si="26"/>
        <v>25</v>
      </c>
      <c r="N708" s="38" t="str">
        <f t="shared" si="27"/>
        <v>03</v>
      </c>
      <c r="O708" s="53" t="s">
        <v>948</v>
      </c>
      <c r="P708" s="53" t="s">
        <v>948</v>
      </c>
      <c r="Q708" s="50">
        <v>15437</v>
      </c>
    </row>
    <row r="709" spans="1:17" ht="16" x14ac:dyDescent="0.45">
      <c r="A709" s="2" t="str">
        <f>IFERROR(VLOOKUP(B709,CODE!$B:$D,3,0),"-")</f>
        <v>디지털 영상</v>
      </c>
      <c r="B709" s="2" t="str">
        <f>IF(L709="-",VLOOKUP(J709,CODE!$B:$D,2,0),L709)</f>
        <v>YouTube</v>
      </c>
      <c r="C709" s="2" t="s">
        <v>913</v>
      </c>
      <c r="D709" s="2" t="s">
        <v>281</v>
      </c>
      <c r="E709" s="2" t="s">
        <v>282</v>
      </c>
      <c r="F709" s="2" t="s">
        <v>268</v>
      </c>
      <c r="G709" s="2" t="s">
        <v>283</v>
      </c>
      <c r="H709" s="2" t="s">
        <v>914</v>
      </c>
      <c r="I709" s="2" t="s">
        <v>915</v>
      </c>
      <c r="J709" s="2" t="s">
        <v>37</v>
      </c>
      <c r="K709" s="2" t="s">
        <v>916</v>
      </c>
      <c r="L709" s="2" t="s">
        <v>916</v>
      </c>
      <c r="M709" s="38" t="str">
        <f t="shared" si="26"/>
        <v>25</v>
      </c>
      <c r="N709" s="38" t="str">
        <f t="shared" si="27"/>
        <v>02</v>
      </c>
      <c r="O709" s="53" t="s">
        <v>949</v>
      </c>
      <c r="P709" s="53" t="s">
        <v>949</v>
      </c>
      <c r="Q709" s="50">
        <v>100072</v>
      </c>
    </row>
    <row r="710" spans="1:17" ht="16" x14ac:dyDescent="0.45">
      <c r="A710" s="2" t="str">
        <f>IFERROR(VLOOKUP(B710,CODE!$B:$D,3,0),"-")</f>
        <v>디지털 영상</v>
      </c>
      <c r="B710" s="2" t="str">
        <f>IF(L710="-",VLOOKUP(J710,CODE!$B:$D,2,0),L710)</f>
        <v>YouTube</v>
      </c>
      <c r="C710" s="2" t="s">
        <v>913</v>
      </c>
      <c r="D710" s="2" t="s">
        <v>955</v>
      </c>
      <c r="E710" s="2" t="s">
        <v>930</v>
      </c>
      <c r="F710" s="2" t="s">
        <v>268</v>
      </c>
      <c r="G710" s="2" t="s">
        <v>269</v>
      </c>
      <c r="H710" s="2" t="s">
        <v>918</v>
      </c>
      <c r="I710" s="2" t="s">
        <v>915</v>
      </c>
      <c r="J710" s="2" t="s">
        <v>37</v>
      </c>
      <c r="K710" s="2" t="s">
        <v>916</v>
      </c>
      <c r="L710" s="2" t="s">
        <v>916</v>
      </c>
      <c r="M710" s="38" t="str">
        <f t="shared" si="26"/>
        <v>25</v>
      </c>
      <c r="N710" s="38" t="str">
        <f t="shared" si="27"/>
        <v>02</v>
      </c>
      <c r="O710" s="53" t="s">
        <v>949</v>
      </c>
      <c r="P710" s="53" t="s">
        <v>949</v>
      </c>
      <c r="Q710" s="50">
        <v>6465</v>
      </c>
    </row>
    <row r="711" spans="1:17" ht="16" x14ac:dyDescent="0.45">
      <c r="A711" s="2" t="str">
        <f>IFERROR(VLOOKUP(B711,CODE!$B:$D,3,0),"-")</f>
        <v>디지털 영상</v>
      </c>
      <c r="B711" s="2" t="str">
        <f>IF(L711="-",VLOOKUP(J711,CODE!$B:$D,2,0),L711)</f>
        <v>네이버</v>
      </c>
      <c r="C711" s="2" t="s">
        <v>913</v>
      </c>
      <c r="D711" s="2" t="s">
        <v>281</v>
      </c>
      <c r="E711" s="2" t="s">
        <v>282</v>
      </c>
      <c r="F711" s="2" t="s">
        <v>268</v>
      </c>
      <c r="G711" s="2" t="s">
        <v>283</v>
      </c>
      <c r="H711" s="2" t="s">
        <v>914</v>
      </c>
      <c r="I711" s="2" t="s">
        <v>915</v>
      </c>
      <c r="J711" s="2" t="s">
        <v>37</v>
      </c>
      <c r="K711" s="2" t="s">
        <v>922</v>
      </c>
      <c r="L711" s="2" t="s">
        <v>922</v>
      </c>
      <c r="M711" s="38" t="str">
        <f t="shared" si="26"/>
        <v>25</v>
      </c>
      <c r="N711" s="38" t="str">
        <f t="shared" si="27"/>
        <v>02</v>
      </c>
      <c r="O711" s="53" t="s">
        <v>949</v>
      </c>
      <c r="P711" s="53" t="s">
        <v>949</v>
      </c>
      <c r="Q711" s="53">
        <v>745</v>
      </c>
    </row>
    <row r="712" spans="1:17" ht="16" x14ac:dyDescent="0.45">
      <c r="A712" s="2" t="str">
        <f>IFERROR(VLOOKUP(B712,CODE!$B:$D,3,0),"-")</f>
        <v>디지털 영상</v>
      </c>
      <c r="B712" s="2" t="str">
        <f>IF(L712="-",VLOOKUP(J712,CODE!$B:$D,2,0),L712)</f>
        <v>YouTube</v>
      </c>
      <c r="C712" s="2" t="s">
        <v>913</v>
      </c>
      <c r="D712" s="2" t="s">
        <v>281</v>
      </c>
      <c r="E712" s="2" t="s">
        <v>282</v>
      </c>
      <c r="F712" s="2" t="s">
        <v>268</v>
      </c>
      <c r="G712" s="2" t="s">
        <v>283</v>
      </c>
      <c r="H712" s="2" t="s">
        <v>914</v>
      </c>
      <c r="I712" s="2" t="s">
        <v>915</v>
      </c>
      <c r="J712" s="2" t="s">
        <v>37</v>
      </c>
      <c r="K712" s="2" t="s">
        <v>916</v>
      </c>
      <c r="L712" s="2" t="s">
        <v>916</v>
      </c>
      <c r="M712" s="38" t="str">
        <f t="shared" si="26"/>
        <v>25</v>
      </c>
      <c r="N712" s="38" t="str">
        <f t="shared" si="27"/>
        <v>01</v>
      </c>
      <c r="O712" s="53" t="s">
        <v>950</v>
      </c>
      <c r="P712" s="53" t="s">
        <v>950</v>
      </c>
      <c r="Q712" s="50">
        <v>194474</v>
      </c>
    </row>
    <row r="713" spans="1:17" ht="16" x14ac:dyDescent="0.45">
      <c r="A713" s="2" t="str">
        <f>IFERROR(VLOOKUP(B713,CODE!$B:$D,3,0),"-")</f>
        <v>디지털 영상</v>
      </c>
      <c r="B713" s="2" t="str">
        <f>IF(L713="-",VLOOKUP(J713,CODE!$B:$D,2,0),L713)</f>
        <v>네이버</v>
      </c>
      <c r="C713" s="2" t="s">
        <v>913</v>
      </c>
      <c r="D713" s="2" t="s">
        <v>281</v>
      </c>
      <c r="E713" s="2" t="s">
        <v>282</v>
      </c>
      <c r="F713" s="2" t="s">
        <v>268</v>
      </c>
      <c r="G713" s="2" t="s">
        <v>283</v>
      </c>
      <c r="H713" s="2" t="s">
        <v>914</v>
      </c>
      <c r="I713" s="2" t="s">
        <v>915</v>
      </c>
      <c r="J713" s="2" t="s">
        <v>37</v>
      </c>
      <c r="K713" s="2" t="s">
        <v>922</v>
      </c>
      <c r="L713" s="2" t="s">
        <v>922</v>
      </c>
      <c r="M713" s="38" t="str">
        <f t="shared" si="26"/>
        <v>25</v>
      </c>
      <c r="N713" s="38" t="str">
        <f t="shared" si="27"/>
        <v>01</v>
      </c>
      <c r="O713" s="53" t="s">
        <v>950</v>
      </c>
      <c r="P713" s="53" t="s">
        <v>950</v>
      </c>
      <c r="Q713" s="50">
        <v>38587</v>
      </c>
    </row>
    <row r="714" spans="1:17" ht="16" x14ac:dyDescent="0.45">
      <c r="A714" s="2" t="str">
        <f>IFERROR(VLOOKUP(B714,CODE!$B:$D,3,0),"-")</f>
        <v>디지털 영상</v>
      </c>
      <c r="B714" s="2" t="str">
        <f>IF(L714="-",VLOOKUP(J714,CODE!$B:$D,2,0),L714)</f>
        <v>YouTube</v>
      </c>
      <c r="C714" s="2" t="s">
        <v>913</v>
      </c>
      <c r="D714" s="2" t="s">
        <v>955</v>
      </c>
      <c r="E714" s="2" t="s">
        <v>930</v>
      </c>
      <c r="F714" s="2" t="s">
        <v>268</v>
      </c>
      <c r="G714" s="2" t="s">
        <v>269</v>
      </c>
      <c r="H714" s="2" t="s">
        <v>918</v>
      </c>
      <c r="I714" s="2" t="s">
        <v>915</v>
      </c>
      <c r="J714" s="2" t="s">
        <v>37</v>
      </c>
      <c r="K714" s="2" t="s">
        <v>916</v>
      </c>
      <c r="L714" s="2" t="s">
        <v>916</v>
      </c>
      <c r="M714" s="38" t="str">
        <f t="shared" si="26"/>
        <v>25</v>
      </c>
      <c r="N714" s="38" t="str">
        <f t="shared" si="27"/>
        <v>01</v>
      </c>
      <c r="O714" s="53" t="s">
        <v>950</v>
      </c>
      <c r="P714" s="53" t="s">
        <v>950</v>
      </c>
      <c r="Q714" s="50">
        <v>8149</v>
      </c>
    </row>
  </sheetData>
  <autoFilter ref="A1:Q714" xr:uid="{B6E4A3F3-1199-4DD5-9844-D365ECFB07ED}"/>
  <phoneticPr fontId="2" type="noConversion"/>
  <pageMargins left="0.7" right="0.7" top="0.75" bottom="0.75" header="0.3" footer="0.3"/>
  <pageSetup paperSize="9" orientation="portrait" verticalDpi="0" r:id="rId1"/>
  <ignoredErrors>
    <ignoredError sqref="O630:P71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424F0-749C-4327-A439-FD75BE8C6239}">
  <dimension ref="B1:K4683"/>
  <sheetViews>
    <sheetView topLeftCell="A2" workbookViewId="0">
      <selection activeCell="G87" sqref="G3:G87"/>
    </sheetView>
  </sheetViews>
  <sheetFormatPr defaultRowHeight="17" x14ac:dyDescent="0.45"/>
  <cols>
    <col min="1" max="1" width="2.58203125" customWidth="1"/>
    <col min="4" max="4" width="14.58203125" bestFit="1" customWidth="1"/>
    <col min="7" max="7" width="15.08203125" bestFit="1" customWidth="1"/>
  </cols>
  <sheetData>
    <row r="1" spans="2:11" ht="10" customHeight="1" x14ac:dyDescent="0.45"/>
    <row r="2" spans="2:11" x14ac:dyDescent="0.45">
      <c r="B2" s="34" t="s">
        <v>47</v>
      </c>
      <c r="C2" s="34" t="s">
        <v>48</v>
      </c>
      <c r="D2" s="34" t="s">
        <v>49</v>
      </c>
      <c r="E2" s="35" t="s">
        <v>53</v>
      </c>
      <c r="F2" s="35" t="s">
        <v>54</v>
      </c>
      <c r="G2" s="35" t="s">
        <v>50</v>
      </c>
    </row>
    <row r="3" spans="2:11" x14ac:dyDescent="0.45">
      <c r="B3" s="32" t="s">
        <v>925</v>
      </c>
      <c r="C3" s="32">
        <v>12</v>
      </c>
      <c r="D3" s="36">
        <v>8765000</v>
      </c>
      <c r="E3" s="32" t="str">
        <f>MID(B3,3,2)&amp;"."&amp;IF(C3&lt;10,"0"&amp;C3,C3)</f>
        <v>24.12</v>
      </c>
      <c r="F3" s="32" t="str">
        <f>MID(B3,3,2)&amp;"."&amp;IF(C3&lt;10,"0"&amp;C3,C3)</f>
        <v>24.12</v>
      </c>
      <c r="G3" s="37" t="str">
        <f>TEXT(D3,"#,###,")</f>
        <v>8,765</v>
      </c>
      <c r="I3" s="42">
        <v>24.12</v>
      </c>
      <c r="J3" s="42">
        <v>24.12</v>
      </c>
      <c r="K3" s="51">
        <v>8765</v>
      </c>
    </row>
    <row r="4" spans="2:11" x14ac:dyDescent="0.45">
      <c r="B4" s="32" t="s">
        <v>925</v>
      </c>
      <c r="C4" s="32">
        <v>11</v>
      </c>
      <c r="D4" s="36">
        <v>1884000</v>
      </c>
      <c r="E4" s="32" t="str">
        <f t="shared" ref="E4:E67" si="0">MID(B4,3,2)&amp;"."&amp;IF(C4&lt;10,"0"&amp;C4,C4)</f>
        <v>24.11</v>
      </c>
      <c r="F4" s="32" t="str">
        <f t="shared" ref="F4:F67" si="1">MID(B4,3,2)&amp;"."&amp;IF(C4&lt;10,"0"&amp;C4,C4)</f>
        <v>24.11</v>
      </c>
      <c r="G4" s="37" t="str">
        <f t="shared" ref="G4:G67" si="2">TEXT(D4,"#,###,")</f>
        <v>1,884</v>
      </c>
      <c r="I4" s="42">
        <v>24.11</v>
      </c>
      <c r="J4" s="42">
        <v>24.11</v>
      </c>
      <c r="K4" s="51">
        <v>1884</v>
      </c>
    </row>
    <row r="5" spans="2:11" x14ac:dyDescent="0.45">
      <c r="B5" s="32" t="s">
        <v>925</v>
      </c>
      <c r="C5" s="32">
        <v>11</v>
      </c>
      <c r="D5" s="36">
        <v>158000</v>
      </c>
      <c r="E5" s="32" t="str">
        <f t="shared" si="0"/>
        <v>24.11</v>
      </c>
      <c r="F5" s="32" t="str">
        <f t="shared" si="1"/>
        <v>24.11</v>
      </c>
      <c r="G5" s="37" t="str">
        <f t="shared" si="2"/>
        <v>158</v>
      </c>
      <c r="I5" s="42">
        <v>24.11</v>
      </c>
      <c r="J5" s="42">
        <v>24.11</v>
      </c>
      <c r="K5" s="42">
        <v>158</v>
      </c>
    </row>
    <row r="6" spans="2:11" x14ac:dyDescent="0.45">
      <c r="B6" s="32" t="s">
        <v>925</v>
      </c>
      <c r="C6" s="32">
        <v>11</v>
      </c>
      <c r="D6" s="36">
        <v>47352000</v>
      </c>
      <c r="E6" s="32" t="str">
        <f t="shared" si="0"/>
        <v>24.11</v>
      </c>
      <c r="F6" s="32" t="str">
        <f t="shared" si="1"/>
        <v>24.11</v>
      </c>
      <c r="G6" s="37" t="str">
        <f t="shared" si="2"/>
        <v>47,352</v>
      </c>
      <c r="I6" s="42">
        <v>24.11</v>
      </c>
      <c r="J6" s="42">
        <v>24.11</v>
      </c>
      <c r="K6" s="51">
        <v>47352</v>
      </c>
    </row>
    <row r="7" spans="2:11" x14ac:dyDescent="0.45">
      <c r="B7" s="32" t="s">
        <v>925</v>
      </c>
      <c r="C7" s="32">
        <v>11</v>
      </c>
      <c r="D7" s="36">
        <v>1737000</v>
      </c>
      <c r="E7" s="32" t="str">
        <f t="shared" si="0"/>
        <v>24.11</v>
      </c>
      <c r="F7" s="32" t="str">
        <f t="shared" si="1"/>
        <v>24.11</v>
      </c>
      <c r="G7" s="37" t="str">
        <f t="shared" si="2"/>
        <v>1,737</v>
      </c>
      <c r="I7" s="42">
        <v>24.11</v>
      </c>
      <c r="J7" s="42">
        <v>24.11</v>
      </c>
      <c r="K7" s="51">
        <v>1737</v>
      </c>
    </row>
    <row r="8" spans="2:11" x14ac:dyDescent="0.45">
      <c r="B8" s="32" t="s">
        <v>925</v>
      </c>
      <c r="C8" s="32">
        <v>11</v>
      </c>
      <c r="D8" s="36">
        <v>979000</v>
      </c>
      <c r="E8" s="32" t="str">
        <f t="shared" si="0"/>
        <v>24.11</v>
      </c>
      <c r="F8" s="32" t="str">
        <f t="shared" si="1"/>
        <v>24.11</v>
      </c>
      <c r="G8" s="37" t="str">
        <f t="shared" si="2"/>
        <v>979</v>
      </c>
      <c r="I8" s="42">
        <v>24.11</v>
      </c>
      <c r="J8" s="42">
        <v>24.11</v>
      </c>
      <c r="K8" s="42">
        <v>979</v>
      </c>
    </row>
    <row r="9" spans="2:11" x14ac:dyDescent="0.45">
      <c r="B9" s="32" t="s">
        <v>925</v>
      </c>
      <c r="C9" s="32">
        <v>10</v>
      </c>
      <c r="D9" s="36">
        <v>102913000</v>
      </c>
      <c r="E9" s="32" t="str">
        <f t="shared" si="0"/>
        <v>24.10</v>
      </c>
      <c r="F9" s="32" t="str">
        <f t="shared" si="1"/>
        <v>24.10</v>
      </c>
      <c r="G9" s="37" t="str">
        <f t="shared" si="2"/>
        <v>102,913</v>
      </c>
      <c r="I9" s="42">
        <v>24.1</v>
      </c>
      <c r="J9" s="42">
        <v>24.1</v>
      </c>
      <c r="K9" s="51">
        <v>102913</v>
      </c>
    </row>
    <row r="10" spans="2:11" x14ac:dyDescent="0.45">
      <c r="B10" s="32" t="s">
        <v>925</v>
      </c>
      <c r="C10" s="32">
        <v>10</v>
      </c>
      <c r="D10" s="36">
        <v>1535000</v>
      </c>
      <c r="E10" s="32" t="str">
        <f t="shared" si="0"/>
        <v>24.10</v>
      </c>
      <c r="F10" s="32" t="str">
        <f t="shared" si="1"/>
        <v>24.10</v>
      </c>
      <c r="G10" s="37" t="str">
        <f t="shared" si="2"/>
        <v>1,535</v>
      </c>
      <c r="I10" s="42">
        <v>24.1</v>
      </c>
      <c r="J10" s="42">
        <v>24.1</v>
      </c>
      <c r="K10" s="51">
        <v>1535</v>
      </c>
    </row>
    <row r="11" spans="2:11" x14ac:dyDescent="0.45">
      <c r="B11" s="32" t="s">
        <v>925</v>
      </c>
      <c r="C11" s="32">
        <v>10</v>
      </c>
      <c r="D11" s="36">
        <v>7000</v>
      </c>
      <c r="E11" s="32" t="str">
        <f t="shared" si="0"/>
        <v>24.10</v>
      </c>
      <c r="F11" s="32" t="str">
        <f t="shared" si="1"/>
        <v>24.10</v>
      </c>
      <c r="G11" s="37" t="str">
        <f t="shared" si="2"/>
        <v>7</v>
      </c>
      <c r="I11" s="42">
        <v>24.1</v>
      </c>
      <c r="J11" s="42">
        <v>24.1</v>
      </c>
      <c r="K11" s="42">
        <v>7</v>
      </c>
    </row>
    <row r="12" spans="2:11" x14ac:dyDescent="0.45">
      <c r="B12" s="32" t="s">
        <v>925</v>
      </c>
      <c r="C12" s="32">
        <v>10</v>
      </c>
      <c r="D12" s="36">
        <v>820000</v>
      </c>
      <c r="E12" s="32" t="str">
        <f t="shared" si="0"/>
        <v>24.10</v>
      </c>
      <c r="F12" s="32" t="str">
        <f t="shared" si="1"/>
        <v>24.10</v>
      </c>
      <c r="G12" s="37" t="str">
        <f t="shared" si="2"/>
        <v>820</v>
      </c>
      <c r="I12" s="42">
        <v>24.1</v>
      </c>
      <c r="J12" s="42">
        <v>24.1</v>
      </c>
      <c r="K12" s="42">
        <v>820</v>
      </c>
    </row>
    <row r="13" spans="2:11" x14ac:dyDescent="0.45">
      <c r="B13" s="32" t="s">
        <v>925</v>
      </c>
      <c r="C13" s="32">
        <v>10</v>
      </c>
      <c r="D13" s="36">
        <v>2725000</v>
      </c>
      <c r="E13" s="32" t="str">
        <f t="shared" si="0"/>
        <v>24.10</v>
      </c>
      <c r="F13" s="32" t="str">
        <f t="shared" si="1"/>
        <v>24.10</v>
      </c>
      <c r="G13" s="37" t="str">
        <f t="shared" si="2"/>
        <v>2,725</v>
      </c>
      <c r="I13" s="42">
        <v>24.1</v>
      </c>
      <c r="J13" s="42">
        <v>24.1</v>
      </c>
      <c r="K13" s="51">
        <v>2725</v>
      </c>
    </row>
    <row r="14" spans="2:11" x14ac:dyDescent="0.45">
      <c r="B14" s="32" t="s">
        <v>925</v>
      </c>
      <c r="C14" s="32">
        <v>9</v>
      </c>
      <c r="D14" s="36">
        <v>12018000</v>
      </c>
      <c r="E14" s="32" t="str">
        <f t="shared" si="0"/>
        <v>24.09</v>
      </c>
      <c r="F14" s="32" t="str">
        <f t="shared" si="1"/>
        <v>24.09</v>
      </c>
      <c r="G14" s="37" t="str">
        <f t="shared" si="2"/>
        <v>12,018</v>
      </c>
      <c r="I14" s="42">
        <v>24.09</v>
      </c>
      <c r="J14" s="42">
        <v>24.09</v>
      </c>
      <c r="K14" s="51">
        <v>12018</v>
      </c>
    </row>
    <row r="15" spans="2:11" x14ac:dyDescent="0.45">
      <c r="B15" s="32" t="s">
        <v>925</v>
      </c>
      <c r="C15" s="32">
        <v>9</v>
      </c>
      <c r="D15" s="36">
        <v>5180000</v>
      </c>
      <c r="E15" s="32" t="str">
        <f t="shared" si="0"/>
        <v>24.09</v>
      </c>
      <c r="F15" s="32" t="str">
        <f t="shared" si="1"/>
        <v>24.09</v>
      </c>
      <c r="G15" s="37" t="str">
        <f t="shared" si="2"/>
        <v>5,180</v>
      </c>
      <c r="I15" s="42">
        <v>24.09</v>
      </c>
      <c r="J15" s="42">
        <v>24.09</v>
      </c>
      <c r="K15" s="51">
        <v>5180</v>
      </c>
    </row>
    <row r="16" spans="2:11" x14ac:dyDescent="0.45">
      <c r="B16" s="32" t="s">
        <v>925</v>
      </c>
      <c r="C16" s="32">
        <v>9</v>
      </c>
      <c r="D16" s="36">
        <v>17914000</v>
      </c>
      <c r="E16" s="32" t="str">
        <f t="shared" si="0"/>
        <v>24.09</v>
      </c>
      <c r="F16" s="32" t="str">
        <f t="shared" si="1"/>
        <v>24.09</v>
      </c>
      <c r="G16" s="37" t="str">
        <f t="shared" si="2"/>
        <v>17,914</v>
      </c>
      <c r="I16" s="42">
        <v>24.09</v>
      </c>
      <c r="J16" s="42">
        <v>24.09</v>
      </c>
      <c r="K16" s="51">
        <v>17914</v>
      </c>
    </row>
    <row r="17" spans="2:11" x14ac:dyDescent="0.45">
      <c r="B17" s="32" t="s">
        <v>925</v>
      </c>
      <c r="C17" s="32">
        <v>9</v>
      </c>
      <c r="D17" s="36">
        <v>61000</v>
      </c>
      <c r="E17" s="32" t="str">
        <f t="shared" si="0"/>
        <v>24.09</v>
      </c>
      <c r="F17" s="32" t="str">
        <f t="shared" si="1"/>
        <v>24.09</v>
      </c>
      <c r="G17" s="37" t="str">
        <f t="shared" si="2"/>
        <v>61</v>
      </c>
      <c r="I17" s="42">
        <v>24.09</v>
      </c>
      <c r="J17" s="42">
        <v>24.09</v>
      </c>
      <c r="K17" s="42">
        <v>61</v>
      </c>
    </row>
    <row r="18" spans="2:11" x14ac:dyDescent="0.45">
      <c r="B18" s="32" t="s">
        <v>925</v>
      </c>
      <c r="C18" s="32">
        <v>9</v>
      </c>
      <c r="D18" s="36">
        <v>163000</v>
      </c>
      <c r="E18" s="32" t="str">
        <f t="shared" si="0"/>
        <v>24.09</v>
      </c>
      <c r="F18" s="32" t="str">
        <f t="shared" si="1"/>
        <v>24.09</v>
      </c>
      <c r="G18" s="37" t="str">
        <f t="shared" si="2"/>
        <v>163</v>
      </c>
      <c r="I18" s="42">
        <v>24.09</v>
      </c>
      <c r="J18" s="42">
        <v>24.09</v>
      </c>
      <c r="K18" s="42">
        <v>163</v>
      </c>
    </row>
    <row r="19" spans="2:11" x14ac:dyDescent="0.45">
      <c r="B19" s="32" t="s">
        <v>925</v>
      </c>
      <c r="C19" s="32">
        <v>9</v>
      </c>
      <c r="D19" s="36">
        <v>3153000</v>
      </c>
      <c r="E19" s="32" t="str">
        <f t="shared" si="0"/>
        <v>24.09</v>
      </c>
      <c r="F19" s="32" t="str">
        <f t="shared" si="1"/>
        <v>24.09</v>
      </c>
      <c r="G19" s="37" t="str">
        <f t="shared" si="2"/>
        <v>3,153</v>
      </c>
      <c r="I19" s="42">
        <v>24.09</v>
      </c>
      <c r="J19" s="42">
        <v>24.09</v>
      </c>
      <c r="K19" s="51">
        <v>3153</v>
      </c>
    </row>
    <row r="20" spans="2:11" x14ac:dyDescent="0.45">
      <c r="B20" s="32" t="s">
        <v>925</v>
      </c>
      <c r="C20" s="32">
        <v>9</v>
      </c>
      <c r="D20" s="36">
        <v>100058000</v>
      </c>
      <c r="E20" s="32" t="str">
        <f t="shared" si="0"/>
        <v>24.09</v>
      </c>
      <c r="F20" s="32" t="str">
        <f t="shared" si="1"/>
        <v>24.09</v>
      </c>
      <c r="G20" s="37" t="str">
        <f t="shared" si="2"/>
        <v>100,058</v>
      </c>
      <c r="I20" s="42">
        <v>24.09</v>
      </c>
      <c r="J20" s="42">
        <v>24.09</v>
      </c>
      <c r="K20" s="51">
        <v>100058</v>
      </c>
    </row>
    <row r="21" spans="2:11" x14ac:dyDescent="0.45">
      <c r="B21" s="32" t="s">
        <v>925</v>
      </c>
      <c r="C21" s="32">
        <v>8</v>
      </c>
      <c r="D21" s="36">
        <v>343000</v>
      </c>
      <c r="E21" s="32" t="str">
        <f t="shared" si="0"/>
        <v>24.08</v>
      </c>
      <c r="F21" s="32" t="str">
        <f t="shared" si="1"/>
        <v>24.08</v>
      </c>
      <c r="G21" s="37" t="str">
        <f t="shared" si="2"/>
        <v>343</v>
      </c>
      <c r="I21" s="42">
        <v>24.08</v>
      </c>
      <c r="J21" s="42">
        <v>24.08</v>
      </c>
      <c r="K21" s="42">
        <v>343</v>
      </c>
    </row>
    <row r="22" spans="2:11" x14ac:dyDescent="0.45">
      <c r="B22" s="32" t="s">
        <v>925</v>
      </c>
      <c r="C22" s="32">
        <v>8</v>
      </c>
      <c r="D22" s="36">
        <v>95034000</v>
      </c>
      <c r="E22" s="32" t="str">
        <f t="shared" si="0"/>
        <v>24.08</v>
      </c>
      <c r="F22" s="32" t="str">
        <f t="shared" si="1"/>
        <v>24.08</v>
      </c>
      <c r="G22" s="37" t="str">
        <f t="shared" si="2"/>
        <v>95,034</v>
      </c>
      <c r="I22" s="42">
        <v>24.08</v>
      </c>
      <c r="J22" s="42">
        <v>24.08</v>
      </c>
      <c r="K22" s="51">
        <v>95034</v>
      </c>
    </row>
    <row r="23" spans="2:11" x14ac:dyDescent="0.45">
      <c r="B23" s="32" t="s">
        <v>925</v>
      </c>
      <c r="C23" s="32">
        <v>8</v>
      </c>
      <c r="D23" s="36">
        <v>722000</v>
      </c>
      <c r="E23" s="32" t="str">
        <f t="shared" si="0"/>
        <v>24.08</v>
      </c>
      <c r="F23" s="32" t="str">
        <f t="shared" si="1"/>
        <v>24.08</v>
      </c>
      <c r="G23" s="37" t="str">
        <f t="shared" si="2"/>
        <v>722</v>
      </c>
      <c r="I23" s="42">
        <v>24.08</v>
      </c>
      <c r="J23" s="42">
        <v>24.08</v>
      </c>
      <c r="K23" s="42">
        <v>722</v>
      </c>
    </row>
    <row r="24" spans="2:11" x14ac:dyDescent="0.45">
      <c r="B24" s="32" t="s">
        <v>925</v>
      </c>
      <c r="C24" s="32">
        <v>8</v>
      </c>
      <c r="D24" s="36">
        <v>505000</v>
      </c>
      <c r="E24" s="32" t="str">
        <f t="shared" si="0"/>
        <v>24.08</v>
      </c>
      <c r="F24" s="32" t="str">
        <f t="shared" si="1"/>
        <v>24.08</v>
      </c>
      <c r="G24" s="37" t="str">
        <f t="shared" si="2"/>
        <v>505</v>
      </c>
      <c r="I24" s="42">
        <v>24.08</v>
      </c>
      <c r="J24" s="42">
        <v>24.08</v>
      </c>
      <c r="K24" s="42">
        <v>505</v>
      </c>
    </row>
    <row r="25" spans="2:11" x14ac:dyDescent="0.45">
      <c r="B25" s="32" t="s">
        <v>925</v>
      </c>
      <c r="C25" s="32">
        <v>8</v>
      </c>
      <c r="D25" s="36">
        <v>277000</v>
      </c>
      <c r="E25" s="32" t="str">
        <f t="shared" si="0"/>
        <v>24.08</v>
      </c>
      <c r="F25" s="32" t="str">
        <f t="shared" si="1"/>
        <v>24.08</v>
      </c>
      <c r="G25" s="37" t="str">
        <f t="shared" si="2"/>
        <v>277</v>
      </c>
      <c r="I25" s="42">
        <v>24.08</v>
      </c>
      <c r="J25" s="42">
        <v>24.08</v>
      </c>
      <c r="K25" s="42">
        <v>277</v>
      </c>
    </row>
    <row r="26" spans="2:11" x14ac:dyDescent="0.45">
      <c r="B26" s="32" t="s">
        <v>925</v>
      </c>
      <c r="C26" s="32">
        <v>8</v>
      </c>
      <c r="D26" s="36">
        <v>2173000</v>
      </c>
      <c r="E26" s="32" t="str">
        <f t="shared" si="0"/>
        <v>24.08</v>
      </c>
      <c r="F26" s="32" t="str">
        <f t="shared" si="1"/>
        <v>24.08</v>
      </c>
      <c r="G26" s="37" t="str">
        <f t="shared" si="2"/>
        <v>2,173</v>
      </c>
      <c r="I26" s="42">
        <v>24.08</v>
      </c>
      <c r="J26" s="42">
        <v>24.08</v>
      </c>
      <c r="K26" s="51">
        <v>2173</v>
      </c>
    </row>
    <row r="27" spans="2:11" x14ac:dyDescent="0.45">
      <c r="B27" s="32" t="s">
        <v>925</v>
      </c>
      <c r="C27" s="32">
        <v>7</v>
      </c>
      <c r="D27" s="36">
        <v>15416000</v>
      </c>
      <c r="E27" s="32" t="str">
        <f t="shared" si="0"/>
        <v>24.07</v>
      </c>
      <c r="F27" s="32" t="str">
        <f t="shared" si="1"/>
        <v>24.07</v>
      </c>
      <c r="G27" s="37" t="str">
        <f t="shared" si="2"/>
        <v>15,416</v>
      </c>
      <c r="I27" s="42">
        <v>24.07</v>
      </c>
      <c r="J27" s="42">
        <v>24.07</v>
      </c>
      <c r="K27" s="51">
        <v>15416</v>
      </c>
    </row>
    <row r="28" spans="2:11" x14ac:dyDescent="0.45">
      <c r="B28" s="32" t="s">
        <v>925</v>
      </c>
      <c r="C28" s="32">
        <v>7</v>
      </c>
      <c r="D28" s="36">
        <v>9000</v>
      </c>
      <c r="E28" s="32" t="str">
        <f t="shared" si="0"/>
        <v>24.07</v>
      </c>
      <c r="F28" s="32" t="str">
        <f t="shared" si="1"/>
        <v>24.07</v>
      </c>
      <c r="G28" s="37" t="str">
        <f t="shared" si="2"/>
        <v>9</v>
      </c>
      <c r="I28" s="42">
        <v>24.07</v>
      </c>
      <c r="J28" s="42">
        <v>24.07</v>
      </c>
      <c r="K28" s="42">
        <v>9</v>
      </c>
    </row>
    <row r="29" spans="2:11" x14ac:dyDescent="0.45">
      <c r="B29" s="32" t="s">
        <v>925</v>
      </c>
      <c r="C29" s="32">
        <v>7</v>
      </c>
      <c r="D29" s="36">
        <v>2278000</v>
      </c>
      <c r="E29" s="32" t="str">
        <f t="shared" si="0"/>
        <v>24.07</v>
      </c>
      <c r="F29" s="32" t="str">
        <f t="shared" si="1"/>
        <v>24.07</v>
      </c>
      <c r="G29" s="37" t="str">
        <f t="shared" si="2"/>
        <v>2,278</v>
      </c>
      <c r="I29" s="42">
        <v>24.07</v>
      </c>
      <c r="J29" s="42">
        <v>24.07</v>
      </c>
      <c r="K29" s="51">
        <v>2278</v>
      </c>
    </row>
    <row r="30" spans="2:11" x14ac:dyDescent="0.45">
      <c r="B30" s="32" t="s">
        <v>925</v>
      </c>
      <c r="C30" s="32">
        <v>7</v>
      </c>
      <c r="D30" s="36">
        <v>2909000</v>
      </c>
      <c r="E30" s="32" t="str">
        <f t="shared" si="0"/>
        <v>24.07</v>
      </c>
      <c r="F30" s="32" t="str">
        <f t="shared" si="1"/>
        <v>24.07</v>
      </c>
      <c r="G30" s="37" t="str">
        <f t="shared" si="2"/>
        <v>2,909</v>
      </c>
      <c r="I30" s="42">
        <v>24.07</v>
      </c>
      <c r="J30" s="42">
        <v>24.07</v>
      </c>
      <c r="K30" s="51">
        <v>2909</v>
      </c>
    </row>
    <row r="31" spans="2:11" x14ac:dyDescent="0.45">
      <c r="B31" s="32" t="s">
        <v>925</v>
      </c>
      <c r="C31" s="32">
        <v>7</v>
      </c>
      <c r="D31" s="36">
        <v>420000</v>
      </c>
      <c r="E31" s="32" t="str">
        <f t="shared" si="0"/>
        <v>24.07</v>
      </c>
      <c r="F31" s="32" t="str">
        <f t="shared" si="1"/>
        <v>24.07</v>
      </c>
      <c r="G31" s="37" t="str">
        <f t="shared" si="2"/>
        <v>420</v>
      </c>
      <c r="I31" s="42">
        <v>24.07</v>
      </c>
      <c r="J31" s="42">
        <v>24.07</v>
      </c>
      <c r="K31" s="42">
        <v>420</v>
      </c>
    </row>
    <row r="32" spans="2:11" x14ac:dyDescent="0.45">
      <c r="B32" s="32" t="s">
        <v>925</v>
      </c>
      <c r="C32" s="32">
        <v>7</v>
      </c>
      <c r="D32" s="36">
        <v>76405000</v>
      </c>
      <c r="E32" s="32" t="str">
        <f t="shared" si="0"/>
        <v>24.07</v>
      </c>
      <c r="F32" s="32" t="str">
        <f t="shared" si="1"/>
        <v>24.07</v>
      </c>
      <c r="G32" s="37" t="str">
        <f t="shared" si="2"/>
        <v>76,405</v>
      </c>
      <c r="I32" s="42">
        <v>24.07</v>
      </c>
      <c r="J32" s="42">
        <v>24.07</v>
      </c>
      <c r="K32" s="51">
        <v>76405</v>
      </c>
    </row>
    <row r="33" spans="2:11" x14ac:dyDescent="0.45">
      <c r="B33" s="32" t="s">
        <v>925</v>
      </c>
      <c r="C33" s="32">
        <v>7</v>
      </c>
      <c r="D33" s="36">
        <v>21010000</v>
      </c>
      <c r="E33" s="32" t="str">
        <f t="shared" si="0"/>
        <v>24.07</v>
      </c>
      <c r="F33" s="32" t="str">
        <f t="shared" si="1"/>
        <v>24.07</v>
      </c>
      <c r="G33" s="37" t="str">
        <f t="shared" si="2"/>
        <v>21,010</v>
      </c>
      <c r="I33" s="42">
        <v>24.07</v>
      </c>
      <c r="J33" s="42">
        <v>24.07</v>
      </c>
      <c r="K33" s="51">
        <v>21010</v>
      </c>
    </row>
    <row r="34" spans="2:11" x14ac:dyDescent="0.45">
      <c r="B34" s="32" t="s">
        <v>925</v>
      </c>
      <c r="C34" s="32">
        <v>6</v>
      </c>
      <c r="D34" s="36">
        <v>1994000</v>
      </c>
      <c r="E34" s="32" t="str">
        <f t="shared" si="0"/>
        <v>24.06</v>
      </c>
      <c r="F34" s="32" t="str">
        <f t="shared" si="1"/>
        <v>24.06</v>
      </c>
      <c r="G34" s="37" t="str">
        <f t="shared" si="2"/>
        <v>1,994</v>
      </c>
      <c r="I34" s="42">
        <v>24.06</v>
      </c>
      <c r="J34" s="42">
        <v>24.06</v>
      </c>
      <c r="K34" s="51">
        <v>1994</v>
      </c>
    </row>
    <row r="35" spans="2:11" x14ac:dyDescent="0.45">
      <c r="B35" s="32" t="s">
        <v>925</v>
      </c>
      <c r="C35" s="32">
        <v>6</v>
      </c>
      <c r="D35" s="36">
        <v>10942000</v>
      </c>
      <c r="E35" s="32" t="str">
        <f t="shared" si="0"/>
        <v>24.06</v>
      </c>
      <c r="F35" s="32" t="str">
        <f t="shared" si="1"/>
        <v>24.06</v>
      </c>
      <c r="G35" s="37" t="str">
        <f t="shared" si="2"/>
        <v>10,942</v>
      </c>
      <c r="I35" s="42">
        <v>24.06</v>
      </c>
      <c r="J35" s="42">
        <v>24.06</v>
      </c>
      <c r="K35" s="51">
        <v>10942</v>
      </c>
    </row>
    <row r="36" spans="2:11" x14ac:dyDescent="0.45">
      <c r="B36" s="32" t="s">
        <v>925</v>
      </c>
      <c r="C36" s="32">
        <v>6</v>
      </c>
      <c r="D36" s="36">
        <v>25211000</v>
      </c>
      <c r="E36" s="32" t="str">
        <f t="shared" si="0"/>
        <v>24.06</v>
      </c>
      <c r="F36" s="32" t="str">
        <f t="shared" si="1"/>
        <v>24.06</v>
      </c>
      <c r="G36" s="37" t="str">
        <f t="shared" si="2"/>
        <v>25,211</v>
      </c>
      <c r="I36" s="42">
        <v>24.06</v>
      </c>
      <c r="J36" s="42">
        <v>24.06</v>
      </c>
      <c r="K36" s="51">
        <v>25211</v>
      </c>
    </row>
    <row r="37" spans="2:11" x14ac:dyDescent="0.45">
      <c r="B37" s="32" t="s">
        <v>925</v>
      </c>
      <c r="C37" s="32">
        <v>6</v>
      </c>
      <c r="D37" s="36">
        <v>94964000</v>
      </c>
      <c r="E37" s="32" t="str">
        <f t="shared" si="0"/>
        <v>24.06</v>
      </c>
      <c r="F37" s="32" t="str">
        <f t="shared" si="1"/>
        <v>24.06</v>
      </c>
      <c r="G37" s="37" t="str">
        <f t="shared" si="2"/>
        <v>94,964</v>
      </c>
      <c r="I37" s="42">
        <v>24.06</v>
      </c>
      <c r="J37" s="42">
        <v>24.06</v>
      </c>
      <c r="K37" s="51">
        <v>94964</v>
      </c>
    </row>
    <row r="38" spans="2:11" x14ac:dyDescent="0.45">
      <c r="B38" s="32" t="s">
        <v>925</v>
      </c>
      <c r="C38" s="32">
        <v>6</v>
      </c>
      <c r="D38" s="36">
        <v>122880000</v>
      </c>
      <c r="E38" s="32" t="str">
        <f t="shared" si="0"/>
        <v>24.06</v>
      </c>
      <c r="F38" s="32" t="str">
        <f t="shared" si="1"/>
        <v>24.06</v>
      </c>
      <c r="G38" s="37" t="str">
        <f t="shared" si="2"/>
        <v>122,880</v>
      </c>
      <c r="I38" s="42">
        <v>24.06</v>
      </c>
      <c r="J38" s="42">
        <v>24.06</v>
      </c>
      <c r="K38" s="51">
        <v>122880</v>
      </c>
    </row>
    <row r="39" spans="2:11" x14ac:dyDescent="0.45">
      <c r="B39" s="32" t="s">
        <v>925</v>
      </c>
      <c r="C39" s="32">
        <v>6</v>
      </c>
      <c r="D39" s="36">
        <v>39206000</v>
      </c>
      <c r="E39" s="32" t="str">
        <f t="shared" si="0"/>
        <v>24.06</v>
      </c>
      <c r="F39" s="32" t="str">
        <f t="shared" si="1"/>
        <v>24.06</v>
      </c>
      <c r="G39" s="37" t="str">
        <f t="shared" si="2"/>
        <v>39,206</v>
      </c>
      <c r="I39" s="42">
        <v>24.06</v>
      </c>
      <c r="J39" s="42">
        <v>24.06</v>
      </c>
      <c r="K39" s="51">
        <v>39206</v>
      </c>
    </row>
    <row r="40" spans="2:11" x14ac:dyDescent="0.45">
      <c r="B40" s="32" t="s">
        <v>925</v>
      </c>
      <c r="C40" s="32">
        <v>5</v>
      </c>
      <c r="D40" s="36">
        <v>30836000</v>
      </c>
      <c r="E40" s="32" t="str">
        <f t="shared" si="0"/>
        <v>24.05</v>
      </c>
      <c r="F40" s="32" t="str">
        <f t="shared" si="1"/>
        <v>24.05</v>
      </c>
      <c r="G40" s="37" t="str">
        <f t="shared" si="2"/>
        <v>30,836</v>
      </c>
      <c r="I40" s="42">
        <v>24.05</v>
      </c>
      <c r="J40" s="42">
        <v>24.05</v>
      </c>
      <c r="K40" s="51">
        <v>30836</v>
      </c>
    </row>
    <row r="41" spans="2:11" x14ac:dyDescent="0.45">
      <c r="B41" s="32" t="s">
        <v>925</v>
      </c>
      <c r="C41" s="32">
        <v>5</v>
      </c>
      <c r="D41" s="36">
        <v>186000</v>
      </c>
      <c r="E41" s="32" t="str">
        <f t="shared" si="0"/>
        <v>24.05</v>
      </c>
      <c r="F41" s="32" t="str">
        <f t="shared" si="1"/>
        <v>24.05</v>
      </c>
      <c r="G41" s="37" t="str">
        <f t="shared" si="2"/>
        <v>186</v>
      </c>
      <c r="I41" s="42">
        <v>24.05</v>
      </c>
      <c r="J41" s="42">
        <v>24.05</v>
      </c>
      <c r="K41" s="42">
        <v>186</v>
      </c>
    </row>
    <row r="42" spans="2:11" x14ac:dyDescent="0.45">
      <c r="B42" s="32" t="s">
        <v>925</v>
      </c>
      <c r="C42" s="32">
        <v>5</v>
      </c>
      <c r="D42" s="36">
        <v>1256000</v>
      </c>
      <c r="E42" s="32" t="str">
        <f t="shared" si="0"/>
        <v>24.05</v>
      </c>
      <c r="F42" s="32" t="str">
        <f t="shared" si="1"/>
        <v>24.05</v>
      </c>
      <c r="G42" s="37" t="str">
        <f t="shared" si="2"/>
        <v>1,256</v>
      </c>
      <c r="I42" s="42">
        <v>24.05</v>
      </c>
      <c r="J42" s="42">
        <v>24.05</v>
      </c>
      <c r="K42" s="51">
        <v>1256</v>
      </c>
    </row>
    <row r="43" spans="2:11" x14ac:dyDescent="0.45">
      <c r="B43" s="32" t="s">
        <v>925</v>
      </c>
      <c r="C43" s="32">
        <v>5</v>
      </c>
      <c r="D43" s="36">
        <v>76605000</v>
      </c>
      <c r="E43" s="32" t="str">
        <f t="shared" si="0"/>
        <v>24.05</v>
      </c>
      <c r="F43" s="32" t="str">
        <f t="shared" si="1"/>
        <v>24.05</v>
      </c>
      <c r="G43" s="37" t="str">
        <f t="shared" si="2"/>
        <v>76,605</v>
      </c>
      <c r="I43" s="42">
        <v>24.05</v>
      </c>
      <c r="J43" s="42">
        <v>24.05</v>
      </c>
      <c r="K43" s="51">
        <v>76605</v>
      </c>
    </row>
    <row r="44" spans="2:11" x14ac:dyDescent="0.45">
      <c r="B44" s="32" t="s">
        <v>925</v>
      </c>
      <c r="C44" s="32">
        <v>5</v>
      </c>
      <c r="D44" s="36">
        <v>11333000</v>
      </c>
      <c r="E44" s="32" t="str">
        <f t="shared" si="0"/>
        <v>24.05</v>
      </c>
      <c r="F44" s="32" t="str">
        <f t="shared" si="1"/>
        <v>24.05</v>
      </c>
      <c r="G44" s="37" t="str">
        <f t="shared" si="2"/>
        <v>11,333</v>
      </c>
      <c r="I44" s="42">
        <v>24.05</v>
      </c>
      <c r="J44" s="42">
        <v>24.05</v>
      </c>
      <c r="K44" s="51">
        <v>11333</v>
      </c>
    </row>
    <row r="45" spans="2:11" x14ac:dyDescent="0.45">
      <c r="B45" s="32" t="s">
        <v>925</v>
      </c>
      <c r="C45" s="32">
        <v>5</v>
      </c>
      <c r="D45" s="36">
        <v>262000</v>
      </c>
      <c r="E45" s="32" t="str">
        <f t="shared" si="0"/>
        <v>24.05</v>
      </c>
      <c r="F45" s="32" t="str">
        <f t="shared" si="1"/>
        <v>24.05</v>
      </c>
      <c r="G45" s="37" t="str">
        <f t="shared" si="2"/>
        <v>262</v>
      </c>
      <c r="I45" s="42">
        <v>24.05</v>
      </c>
      <c r="J45" s="42">
        <v>24.05</v>
      </c>
      <c r="K45" s="42">
        <v>262</v>
      </c>
    </row>
    <row r="46" spans="2:11" x14ac:dyDescent="0.45">
      <c r="B46" s="32" t="s">
        <v>41</v>
      </c>
      <c r="C46" s="32">
        <v>12</v>
      </c>
      <c r="D46" s="36">
        <v>1448000</v>
      </c>
      <c r="E46" s="32" t="str">
        <f t="shared" si="0"/>
        <v>25.12</v>
      </c>
      <c r="F46" s="32" t="str">
        <f t="shared" si="1"/>
        <v>25.12</v>
      </c>
      <c r="G46" s="37" t="str">
        <f t="shared" si="2"/>
        <v>1,448</v>
      </c>
      <c r="I46" s="42">
        <v>25.12</v>
      </c>
      <c r="J46" s="42">
        <v>25.12</v>
      </c>
      <c r="K46" s="51">
        <v>1448</v>
      </c>
    </row>
    <row r="47" spans="2:11" x14ac:dyDescent="0.45">
      <c r="B47" s="32" t="s">
        <v>41</v>
      </c>
      <c r="C47" s="32">
        <v>11</v>
      </c>
      <c r="D47" s="36">
        <v>129272000</v>
      </c>
      <c r="E47" s="32" t="str">
        <f t="shared" si="0"/>
        <v>25.11</v>
      </c>
      <c r="F47" s="32" t="str">
        <f t="shared" si="1"/>
        <v>25.11</v>
      </c>
      <c r="G47" s="37" t="str">
        <f t="shared" si="2"/>
        <v>129,272</v>
      </c>
      <c r="I47" s="42">
        <v>25.11</v>
      </c>
      <c r="J47" s="42">
        <v>25.11</v>
      </c>
      <c r="K47" s="51">
        <v>129272</v>
      </c>
    </row>
    <row r="48" spans="2:11" x14ac:dyDescent="0.45">
      <c r="B48" s="32" t="s">
        <v>41</v>
      </c>
      <c r="C48" s="32">
        <v>11</v>
      </c>
      <c r="D48" s="36">
        <v>516000</v>
      </c>
      <c r="E48" s="32" t="str">
        <f t="shared" si="0"/>
        <v>25.11</v>
      </c>
      <c r="F48" s="32" t="str">
        <f t="shared" si="1"/>
        <v>25.11</v>
      </c>
      <c r="G48" s="37" t="str">
        <f t="shared" si="2"/>
        <v>516</v>
      </c>
      <c r="I48" s="42">
        <v>25.11</v>
      </c>
      <c r="J48" s="42">
        <v>25.11</v>
      </c>
      <c r="K48" s="42">
        <v>516</v>
      </c>
    </row>
    <row r="49" spans="2:11" x14ac:dyDescent="0.45">
      <c r="B49" s="32" t="s">
        <v>41</v>
      </c>
      <c r="C49" s="32">
        <v>11</v>
      </c>
      <c r="D49" s="36">
        <v>2371000</v>
      </c>
      <c r="E49" s="32" t="str">
        <f t="shared" si="0"/>
        <v>25.11</v>
      </c>
      <c r="F49" s="32" t="str">
        <f t="shared" si="1"/>
        <v>25.11</v>
      </c>
      <c r="G49" s="37" t="str">
        <f t="shared" si="2"/>
        <v>2,371</v>
      </c>
      <c r="I49" s="42">
        <v>25.11</v>
      </c>
      <c r="J49" s="42">
        <v>25.11</v>
      </c>
      <c r="K49" s="51">
        <v>2371</v>
      </c>
    </row>
    <row r="50" spans="2:11" x14ac:dyDescent="0.45">
      <c r="B50" s="32" t="s">
        <v>41</v>
      </c>
      <c r="C50" s="32">
        <v>10</v>
      </c>
      <c r="D50" s="36">
        <v>171437000</v>
      </c>
      <c r="E50" s="32" t="str">
        <f t="shared" si="0"/>
        <v>25.10</v>
      </c>
      <c r="F50" s="32" t="str">
        <f t="shared" si="1"/>
        <v>25.10</v>
      </c>
      <c r="G50" s="37" t="str">
        <f t="shared" si="2"/>
        <v>171,437</v>
      </c>
      <c r="I50" s="42">
        <v>25.1</v>
      </c>
      <c r="J50" s="42">
        <v>25.1</v>
      </c>
      <c r="K50" s="51">
        <v>171437</v>
      </c>
    </row>
    <row r="51" spans="2:11" x14ac:dyDescent="0.45">
      <c r="B51" s="32" t="s">
        <v>41</v>
      </c>
      <c r="C51" s="32">
        <v>10</v>
      </c>
      <c r="D51" s="36">
        <v>48991000</v>
      </c>
      <c r="E51" s="32" t="str">
        <f t="shared" si="0"/>
        <v>25.10</v>
      </c>
      <c r="F51" s="32" t="str">
        <f t="shared" si="1"/>
        <v>25.10</v>
      </c>
      <c r="G51" s="37" t="str">
        <f t="shared" si="2"/>
        <v>48,991</v>
      </c>
      <c r="I51" s="42">
        <v>25.1</v>
      </c>
      <c r="J51" s="42">
        <v>25.1</v>
      </c>
      <c r="K51" s="51">
        <v>48991</v>
      </c>
    </row>
    <row r="52" spans="2:11" x14ac:dyDescent="0.45">
      <c r="B52" s="32" t="s">
        <v>41</v>
      </c>
      <c r="C52" s="32">
        <v>10</v>
      </c>
      <c r="D52" s="36">
        <v>27425000</v>
      </c>
      <c r="E52" s="32" t="str">
        <f t="shared" si="0"/>
        <v>25.10</v>
      </c>
      <c r="F52" s="32" t="str">
        <f t="shared" si="1"/>
        <v>25.10</v>
      </c>
      <c r="G52" s="37" t="str">
        <f t="shared" si="2"/>
        <v>27,425</v>
      </c>
      <c r="I52" s="42">
        <v>25.1</v>
      </c>
      <c r="J52" s="42">
        <v>25.1</v>
      </c>
      <c r="K52" s="51">
        <v>27425</v>
      </c>
    </row>
    <row r="53" spans="2:11" x14ac:dyDescent="0.45">
      <c r="B53" s="32" t="s">
        <v>41</v>
      </c>
      <c r="C53" s="32">
        <v>10</v>
      </c>
      <c r="D53" s="36">
        <v>1107000</v>
      </c>
      <c r="E53" s="32" t="str">
        <f t="shared" si="0"/>
        <v>25.10</v>
      </c>
      <c r="F53" s="32" t="str">
        <f t="shared" si="1"/>
        <v>25.10</v>
      </c>
      <c r="G53" s="37" t="str">
        <f t="shared" si="2"/>
        <v>1,107</v>
      </c>
      <c r="I53" s="42">
        <v>25.1</v>
      </c>
      <c r="J53" s="42">
        <v>25.1</v>
      </c>
      <c r="K53" s="51">
        <v>1107</v>
      </c>
    </row>
    <row r="54" spans="2:11" x14ac:dyDescent="0.45">
      <c r="B54" s="32" t="s">
        <v>41</v>
      </c>
      <c r="C54" s="32">
        <v>10</v>
      </c>
      <c r="D54" s="36">
        <v>55000</v>
      </c>
      <c r="E54" s="32" t="str">
        <f t="shared" si="0"/>
        <v>25.10</v>
      </c>
      <c r="F54" s="32" t="str">
        <f t="shared" si="1"/>
        <v>25.10</v>
      </c>
      <c r="G54" s="37" t="str">
        <f t="shared" si="2"/>
        <v>55</v>
      </c>
      <c r="I54" s="42">
        <v>25.1</v>
      </c>
      <c r="J54" s="42">
        <v>25.1</v>
      </c>
      <c r="K54" s="42">
        <v>55</v>
      </c>
    </row>
    <row r="55" spans="2:11" x14ac:dyDescent="0.45">
      <c r="B55" s="32" t="s">
        <v>41</v>
      </c>
      <c r="C55" s="32">
        <v>10</v>
      </c>
      <c r="D55" s="36">
        <v>46972000</v>
      </c>
      <c r="E55" s="32" t="str">
        <f t="shared" si="0"/>
        <v>25.10</v>
      </c>
      <c r="F55" s="32" t="str">
        <f t="shared" si="1"/>
        <v>25.10</v>
      </c>
      <c r="G55" s="37" t="str">
        <f t="shared" si="2"/>
        <v>46,972</v>
      </c>
      <c r="I55" s="42">
        <v>25.1</v>
      </c>
      <c r="J55" s="42">
        <v>25.1</v>
      </c>
      <c r="K55" s="51">
        <v>46972</v>
      </c>
    </row>
    <row r="56" spans="2:11" x14ac:dyDescent="0.45">
      <c r="B56" s="32" t="s">
        <v>41</v>
      </c>
      <c r="C56" s="32">
        <v>10</v>
      </c>
      <c r="D56" s="36">
        <v>26639000</v>
      </c>
      <c r="E56" s="32" t="str">
        <f t="shared" si="0"/>
        <v>25.10</v>
      </c>
      <c r="F56" s="32" t="str">
        <f t="shared" si="1"/>
        <v>25.10</v>
      </c>
      <c r="G56" s="37" t="str">
        <f t="shared" si="2"/>
        <v>26,639</v>
      </c>
      <c r="I56" s="42">
        <v>25.1</v>
      </c>
      <c r="J56" s="42">
        <v>25.1</v>
      </c>
      <c r="K56" s="51">
        <v>26639</v>
      </c>
    </row>
    <row r="57" spans="2:11" x14ac:dyDescent="0.45">
      <c r="B57" s="32" t="s">
        <v>41</v>
      </c>
      <c r="C57" s="32">
        <v>10</v>
      </c>
      <c r="D57" s="36">
        <v>2262000</v>
      </c>
      <c r="E57" s="32" t="str">
        <f t="shared" si="0"/>
        <v>25.10</v>
      </c>
      <c r="F57" s="32" t="str">
        <f t="shared" si="1"/>
        <v>25.10</v>
      </c>
      <c r="G57" s="37" t="str">
        <f t="shared" si="2"/>
        <v>2,262</v>
      </c>
      <c r="I57" s="42">
        <v>25.1</v>
      </c>
      <c r="J57" s="42">
        <v>25.1</v>
      </c>
      <c r="K57" s="51">
        <v>2262</v>
      </c>
    </row>
    <row r="58" spans="2:11" x14ac:dyDescent="0.45">
      <c r="B58" s="32" t="s">
        <v>41</v>
      </c>
      <c r="C58" s="32">
        <v>9</v>
      </c>
      <c r="D58" s="36">
        <v>48000</v>
      </c>
      <c r="E58" s="32" t="str">
        <f t="shared" si="0"/>
        <v>25.09</v>
      </c>
      <c r="F58" s="32" t="str">
        <f t="shared" si="1"/>
        <v>25.09</v>
      </c>
      <c r="G58" s="37" t="str">
        <f t="shared" si="2"/>
        <v>48</v>
      </c>
      <c r="I58" s="42">
        <v>25.09</v>
      </c>
      <c r="J58" s="42">
        <v>25.09</v>
      </c>
      <c r="K58" s="42">
        <v>48</v>
      </c>
    </row>
    <row r="59" spans="2:11" x14ac:dyDescent="0.45">
      <c r="B59" s="32" t="s">
        <v>41</v>
      </c>
      <c r="C59" s="32">
        <v>9</v>
      </c>
      <c r="D59" s="36">
        <v>90604000</v>
      </c>
      <c r="E59" s="32" t="str">
        <f t="shared" si="0"/>
        <v>25.09</v>
      </c>
      <c r="F59" s="32" t="str">
        <f t="shared" si="1"/>
        <v>25.09</v>
      </c>
      <c r="G59" s="37" t="str">
        <f t="shared" si="2"/>
        <v>90,604</v>
      </c>
      <c r="I59" s="42">
        <v>25.09</v>
      </c>
      <c r="J59" s="42">
        <v>25.09</v>
      </c>
      <c r="K59" s="51">
        <v>90604</v>
      </c>
    </row>
    <row r="60" spans="2:11" x14ac:dyDescent="0.45">
      <c r="B60" s="32" t="s">
        <v>41</v>
      </c>
      <c r="C60" s="32">
        <v>9</v>
      </c>
      <c r="D60" s="36">
        <v>3641000</v>
      </c>
      <c r="E60" s="32" t="str">
        <f t="shared" si="0"/>
        <v>25.09</v>
      </c>
      <c r="F60" s="32" t="str">
        <f t="shared" si="1"/>
        <v>25.09</v>
      </c>
      <c r="G60" s="37" t="str">
        <f t="shared" si="2"/>
        <v>3,641</v>
      </c>
      <c r="I60" s="42">
        <v>25.09</v>
      </c>
      <c r="J60" s="42">
        <v>25.09</v>
      </c>
      <c r="K60" s="51">
        <v>3641</v>
      </c>
    </row>
    <row r="61" spans="2:11" x14ac:dyDescent="0.45">
      <c r="B61" s="32" t="s">
        <v>41</v>
      </c>
      <c r="C61" s="32">
        <v>9</v>
      </c>
      <c r="D61" s="36">
        <v>96474000</v>
      </c>
      <c r="E61" s="32" t="str">
        <f t="shared" si="0"/>
        <v>25.09</v>
      </c>
      <c r="F61" s="32" t="str">
        <f t="shared" si="1"/>
        <v>25.09</v>
      </c>
      <c r="G61" s="37" t="str">
        <f t="shared" si="2"/>
        <v>96,474</v>
      </c>
      <c r="I61" s="42">
        <v>25.09</v>
      </c>
      <c r="J61" s="42">
        <v>25.09</v>
      </c>
      <c r="K61" s="51">
        <v>96474</v>
      </c>
    </row>
    <row r="62" spans="2:11" x14ac:dyDescent="0.45">
      <c r="B62" s="32" t="s">
        <v>41</v>
      </c>
      <c r="C62" s="32">
        <v>9</v>
      </c>
      <c r="D62" s="36">
        <v>41301000</v>
      </c>
      <c r="E62" s="32" t="str">
        <f t="shared" si="0"/>
        <v>25.09</v>
      </c>
      <c r="F62" s="32" t="str">
        <f t="shared" si="1"/>
        <v>25.09</v>
      </c>
      <c r="G62" s="37" t="str">
        <f t="shared" si="2"/>
        <v>41,301</v>
      </c>
      <c r="I62" s="42">
        <v>25.09</v>
      </c>
      <c r="J62" s="42">
        <v>25.09</v>
      </c>
      <c r="K62" s="51">
        <v>41301</v>
      </c>
    </row>
    <row r="63" spans="2:11" x14ac:dyDescent="0.45">
      <c r="B63" s="32" t="s">
        <v>41</v>
      </c>
      <c r="C63" s="32">
        <v>9</v>
      </c>
      <c r="D63" s="36">
        <v>7082000</v>
      </c>
      <c r="E63" s="32" t="str">
        <f t="shared" si="0"/>
        <v>25.09</v>
      </c>
      <c r="F63" s="32" t="str">
        <f t="shared" si="1"/>
        <v>25.09</v>
      </c>
      <c r="G63" s="37" t="str">
        <f t="shared" si="2"/>
        <v>7,082</v>
      </c>
      <c r="I63" s="42">
        <v>25.09</v>
      </c>
      <c r="J63" s="42">
        <v>25.09</v>
      </c>
      <c r="K63" s="51">
        <v>7082</v>
      </c>
    </row>
    <row r="64" spans="2:11" x14ac:dyDescent="0.45">
      <c r="B64" s="32" t="s">
        <v>41</v>
      </c>
      <c r="C64" s="32">
        <v>9</v>
      </c>
      <c r="D64" s="36">
        <v>9513000</v>
      </c>
      <c r="E64" s="32" t="str">
        <f t="shared" si="0"/>
        <v>25.09</v>
      </c>
      <c r="F64" s="32" t="str">
        <f t="shared" si="1"/>
        <v>25.09</v>
      </c>
      <c r="G64" s="37" t="str">
        <f t="shared" si="2"/>
        <v>9,513</v>
      </c>
      <c r="I64" s="42">
        <v>25.09</v>
      </c>
      <c r="J64" s="42">
        <v>25.09</v>
      </c>
      <c r="K64" s="51">
        <v>9513</v>
      </c>
    </row>
    <row r="65" spans="2:11" x14ac:dyDescent="0.45">
      <c r="B65" s="32" t="s">
        <v>41</v>
      </c>
      <c r="C65" s="32">
        <v>9</v>
      </c>
      <c r="D65" s="36">
        <v>4622000</v>
      </c>
      <c r="E65" s="32" t="str">
        <f t="shared" si="0"/>
        <v>25.09</v>
      </c>
      <c r="F65" s="32" t="str">
        <f t="shared" si="1"/>
        <v>25.09</v>
      </c>
      <c r="G65" s="37" t="str">
        <f t="shared" si="2"/>
        <v>4,622</v>
      </c>
      <c r="I65" s="42">
        <v>25.09</v>
      </c>
      <c r="J65" s="42">
        <v>25.09</v>
      </c>
      <c r="K65" s="51">
        <v>4622</v>
      </c>
    </row>
    <row r="66" spans="2:11" x14ac:dyDescent="0.45">
      <c r="B66" s="32" t="s">
        <v>41</v>
      </c>
      <c r="C66" s="32">
        <v>9</v>
      </c>
      <c r="D66" s="36">
        <v>87420000</v>
      </c>
      <c r="E66" s="32" t="str">
        <f t="shared" si="0"/>
        <v>25.09</v>
      </c>
      <c r="F66" s="32" t="str">
        <f t="shared" si="1"/>
        <v>25.09</v>
      </c>
      <c r="G66" s="37" t="str">
        <f t="shared" si="2"/>
        <v>87,420</v>
      </c>
      <c r="I66" s="42">
        <v>25.09</v>
      </c>
      <c r="J66" s="42">
        <v>25.09</v>
      </c>
      <c r="K66" s="51">
        <v>87420</v>
      </c>
    </row>
    <row r="67" spans="2:11" x14ac:dyDescent="0.45">
      <c r="B67" s="32" t="s">
        <v>41</v>
      </c>
      <c r="C67" s="32">
        <v>9</v>
      </c>
      <c r="D67" s="36">
        <v>6504000</v>
      </c>
      <c r="E67" s="32" t="str">
        <f t="shared" si="0"/>
        <v>25.09</v>
      </c>
      <c r="F67" s="32" t="str">
        <f t="shared" si="1"/>
        <v>25.09</v>
      </c>
      <c r="G67" s="37" t="str">
        <f t="shared" si="2"/>
        <v>6,504</v>
      </c>
      <c r="I67" s="42">
        <v>25.09</v>
      </c>
      <c r="J67" s="42">
        <v>25.09</v>
      </c>
      <c r="K67" s="51">
        <v>6504</v>
      </c>
    </row>
    <row r="68" spans="2:11" x14ac:dyDescent="0.45">
      <c r="B68" s="32" t="s">
        <v>41</v>
      </c>
      <c r="C68" s="32">
        <v>9</v>
      </c>
      <c r="D68" s="36">
        <v>343000</v>
      </c>
      <c r="E68" s="32" t="str">
        <f t="shared" ref="E68:E131" si="3">MID(B68,3,2)&amp;"."&amp;IF(C68&lt;10,"0"&amp;C68,C68)</f>
        <v>25.09</v>
      </c>
      <c r="F68" s="32" t="str">
        <f t="shared" ref="F68:F131" si="4">MID(B68,3,2)&amp;"."&amp;IF(C68&lt;10,"0"&amp;C68,C68)</f>
        <v>25.09</v>
      </c>
      <c r="G68" s="37" t="str">
        <f t="shared" ref="G68:G131" si="5">TEXT(D68,"#,###,")</f>
        <v>343</v>
      </c>
      <c r="I68" s="42">
        <v>25.09</v>
      </c>
      <c r="J68" s="42">
        <v>25.09</v>
      </c>
      <c r="K68" s="42">
        <v>343</v>
      </c>
    </row>
    <row r="69" spans="2:11" x14ac:dyDescent="0.45">
      <c r="B69" s="32" t="s">
        <v>41</v>
      </c>
      <c r="C69" s="32">
        <v>8</v>
      </c>
      <c r="D69" s="36">
        <v>14455000</v>
      </c>
      <c r="E69" s="32" t="str">
        <f t="shared" si="3"/>
        <v>25.08</v>
      </c>
      <c r="F69" s="32" t="str">
        <f t="shared" si="4"/>
        <v>25.08</v>
      </c>
      <c r="G69" s="37" t="str">
        <f t="shared" si="5"/>
        <v>14,455</v>
      </c>
      <c r="I69" s="42">
        <v>25.08</v>
      </c>
      <c r="J69" s="42">
        <v>25.08</v>
      </c>
      <c r="K69" s="51">
        <v>14455</v>
      </c>
    </row>
    <row r="70" spans="2:11" x14ac:dyDescent="0.45">
      <c r="B70" s="32" t="s">
        <v>41</v>
      </c>
      <c r="C70" s="32">
        <v>8</v>
      </c>
      <c r="D70" s="36">
        <v>4415000</v>
      </c>
      <c r="E70" s="32" t="str">
        <f t="shared" si="3"/>
        <v>25.08</v>
      </c>
      <c r="F70" s="32" t="str">
        <f t="shared" si="4"/>
        <v>25.08</v>
      </c>
      <c r="G70" s="37" t="str">
        <f t="shared" si="5"/>
        <v>4,415</v>
      </c>
      <c r="I70" s="42">
        <v>25.08</v>
      </c>
      <c r="J70" s="42">
        <v>25.08</v>
      </c>
      <c r="K70" s="51">
        <v>4415</v>
      </c>
    </row>
    <row r="71" spans="2:11" x14ac:dyDescent="0.45">
      <c r="B71" s="32" t="s">
        <v>41</v>
      </c>
      <c r="C71" s="32">
        <v>7</v>
      </c>
      <c r="D71" s="36">
        <v>15293000</v>
      </c>
      <c r="E71" s="32" t="str">
        <f t="shared" si="3"/>
        <v>25.07</v>
      </c>
      <c r="F71" s="32" t="str">
        <f t="shared" si="4"/>
        <v>25.07</v>
      </c>
      <c r="G71" s="37" t="str">
        <f t="shared" si="5"/>
        <v>15,293</v>
      </c>
      <c r="I71" s="42">
        <v>25.07</v>
      </c>
      <c r="J71" s="42">
        <v>25.07</v>
      </c>
      <c r="K71" s="51">
        <v>15293</v>
      </c>
    </row>
    <row r="72" spans="2:11" x14ac:dyDescent="0.45">
      <c r="B72" s="32" t="s">
        <v>41</v>
      </c>
      <c r="C72" s="32">
        <v>7</v>
      </c>
      <c r="D72" s="36">
        <v>1735000</v>
      </c>
      <c r="E72" s="32" t="str">
        <f t="shared" si="3"/>
        <v>25.07</v>
      </c>
      <c r="F72" s="32" t="str">
        <f t="shared" si="4"/>
        <v>25.07</v>
      </c>
      <c r="G72" s="37" t="str">
        <f t="shared" si="5"/>
        <v>1,735</v>
      </c>
      <c r="I72" s="42">
        <v>25.07</v>
      </c>
      <c r="J72" s="42">
        <v>25.07</v>
      </c>
      <c r="K72" s="51">
        <v>1735</v>
      </c>
    </row>
    <row r="73" spans="2:11" x14ac:dyDescent="0.45">
      <c r="B73" s="32" t="s">
        <v>41</v>
      </c>
      <c r="C73" s="32">
        <v>6</v>
      </c>
      <c r="D73" s="36">
        <v>3096000</v>
      </c>
      <c r="E73" s="32" t="str">
        <f t="shared" si="3"/>
        <v>25.06</v>
      </c>
      <c r="F73" s="32" t="str">
        <f t="shared" si="4"/>
        <v>25.06</v>
      </c>
      <c r="G73" s="37" t="str">
        <f t="shared" si="5"/>
        <v>3,096</v>
      </c>
      <c r="I73" s="42">
        <v>25.06</v>
      </c>
      <c r="J73" s="42">
        <v>25.06</v>
      </c>
      <c r="K73" s="51">
        <v>3096</v>
      </c>
    </row>
    <row r="74" spans="2:11" x14ac:dyDescent="0.45">
      <c r="B74" s="32" t="s">
        <v>41</v>
      </c>
      <c r="C74" s="32">
        <v>6</v>
      </c>
      <c r="D74" s="36">
        <v>753000</v>
      </c>
      <c r="E74" s="32" t="str">
        <f t="shared" si="3"/>
        <v>25.06</v>
      </c>
      <c r="F74" s="32" t="str">
        <f t="shared" si="4"/>
        <v>25.06</v>
      </c>
      <c r="G74" s="37" t="str">
        <f t="shared" si="5"/>
        <v>753</v>
      </c>
      <c r="I74" s="42">
        <v>25.06</v>
      </c>
      <c r="J74" s="42">
        <v>25.06</v>
      </c>
      <c r="K74" s="42">
        <v>753</v>
      </c>
    </row>
    <row r="75" spans="2:11" x14ac:dyDescent="0.45">
      <c r="B75" s="32" t="s">
        <v>41</v>
      </c>
      <c r="C75" s="32">
        <v>5</v>
      </c>
      <c r="D75" s="36">
        <v>2763000</v>
      </c>
      <c r="E75" s="32" t="str">
        <f t="shared" si="3"/>
        <v>25.05</v>
      </c>
      <c r="F75" s="32" t="str">
        <f t="shared" si="4"/>
        <v>25.05</v>
      </c>
      <c r="G75" s="37" t="str">
        <f t="shared" si="5"/>
        <v>2,763</v>
      </c>
      <c r="I75" s="42">
        <v>25.05</v>
      </c>
      <c r="J75" s="42">
        <v>25.05</v>
      </c>
      <c r="K75" s="51">
        <v>2763</v>
      </c>
    </row>
    <row r="76" spans="2:11" x14ac:dyDescent="0.45">
      <c r="B76" s="32" t="s">
        <v>41</v>
      </c>
      <c r="C76" s="32">
        <v>5</v>
      </c>
      <c r="D76" s="36">
        <v>8286000</v>
      </c>
      <c r="E76" s="32" t="str">
        <f t="shared" si="3"/>
        <v>25.05</v>
      </c>
      <c r="F76" s="32" t="str">
        <f t="shared" si="4"/>
        <v>25.05</v>
      </c>
      <c r="G76" s="37" t="str">
        <f t="shared" si="5"/>
        <v>8,286</v>
      </c>
      <c r="I76" s="42">
        <v>25.05</v>
      </c>
      <c r="J76" s="42">
        <v>25.05</v>
      </c>
      <c r="K76" s="51">
        <v>8286</v>
      </c>
    </row>
    <row r="77" spans="2:11" x14ac:dyDescent="0.45">
      <c r="B77" s="32" t="s">
        <v>41</v>
      </c>
      <c r="C77" s="32">
        <v>5</v>
      </c>
      <c r="D77" s="36">
        <v>3309000</v>
      </c>
      <c r="E77" s="32" t="str">
        <f t="shared" si="3"/>
        <v>25.05</v>
      </c>
      <c r="F77" s="32" t="str">
        <f t="shared" si="4"/>
        <v>25.05</v>
      </c>
      <c r="G77" s="37" t="str">
        <f t="shared" si="5"/>
        <v>3,309</v>
      </c>
      <c r="I77" s="42">
        <v>25.05</v>
      </c>
      <c r="J77" s="42">
        <v>25.05</v>
      </c>
      <c r="K77" s="51">
        <v>3309</v>
      </c>
    </row>
    <row r="78" spans="2:11" x14ac:dyDescent="0.45">
      <c r="B78" s="32" t="s">
        <v>41</v>
      </c>
      <c r="C78" s="32">
        <v>5</v>
      </c>
      <c r="D78" s="36">
        <v>5267000</v>
      </c>
      <c r="E78" s="32" t="str">
        <f t="shared" si="3"/>
        <v>25.05</v>
      </c>
      <c r="F78" s="32" t="str">
        <f t="shared" si="4"/>
        <v>25.05</v>
      </c>
      <c r="G78" s="37" t="str">
        <f t="shared" si="5"/>
        <v>5,267</v>
      </c>
      <c r="I78" s="42">
        <v>25.05</v>
      </c>
      <c r="J78" s="42">
        <v>25.05</v>
      </c>
      <c r="K78" s="51">
        <v>5267</v>
      </c>
    </row>
    <row r="79" spans="2:11" x14ac:dyDescent="0.45">
      <c r="B79" s="32" t="s">
        <v>41</v>
      </c>
      <c r="C79" s="32">
        <v>4</v>
      </c>
      <c r="D79" s="36">
        <v>78000</v>
      </c>
      <c r="E79" s="32" t="str">
        <f t="shared" si="3"/>
        <v>25.04</v>
      </c>
      <c r="F79" s="32" t="str">
        <f t="shared" si="4"/>
        <v>25.04</v>
      </c>
      <c r="G79" s="37" t="str">
        <f t="shared" si="5"/>
        <v>78</v>
      </c>
      <c r="I79" s="42">
        <v>25.04</v>
      </c>
      <c r="J79" s="42">
        <v>25.04</v>
      </c>
      <c r="K79" s="42">
        <v>78</v>
      </c>
    </row>
    <row r="80" spans="2:11" x14ac:dyDescent="0.45">
      <c r="B80" s="32" t="s">
        <v>41</v>
      </c>
      <c r="C80" s="32">
        <v>3</v>
      </c>
      <c r="D80" s="36">
        <v>6768000</v>
      </c>
      <c r="E80" s="32" t="str">
        <f t="shared" si="3"/>
        <v>25.03</v>
      </c>
      <c r="F80" s="32" t="str">
        <f t="shared" si="4"/>
        <v>25.03</v>
      </c>
      <c r="G80" s="37" t="str">
        <f t="shared" si="5"/>
        <v>6,768</v>
      </c>
      <c r="I80" s="42">
        <v>25.03</v>
      </c>
      <c r="J80" s="42">
        <v>25.03</v>
      </c>
      <c r="K80" s="51">
        <v>6768</v>
      </c>
    </row>
    <row r="81" spans="2:11" x14ac:dyDescent="0.45">
      <c r="B81" s="32" t="s">
        <v>41</v>
      </c>
      <c r="C81" s="32">
        <v>3</v>
      </c>
      <c r="D81" s="36">
        <v>15437000</v>
      </c>
      <c r="E81" s="32" t="str">
        <f t="shared" si="3"/>
        <v>25.03</v>
      </c>
      <c r="F81" s="32" t="str">
        <f t="shared" si="4"/>
        <v>25.03</v>
      </c>
      <c r="G81" s="37" t="str">
        <f t="shared" si="5"/>
        <v>15,437</v>
      </c>
      <c r="I81" s="42">
        <v>25.03</v>
      </c>
      <c r="J81" s="42">
        <v>25.03</v>
      </c>
      <c r="K81" s="51">
        <v>15437</v>
      </c>
    </row>
    <row r="82" spans="2:11" x14ac:dyDescent="0.45">
      <c r="B82" s="32" t="s">
        <v>41</v>
      </c>
      <c r="C82" s="32">
        <v>2</v>
      </c>
      <c r="D82" s="36">
        <v>100072000</v>
      </c>
      <c r="E82" s="32" t="str">
        <f t="shared" si="3"/>
        <v>25.02</v>
      </c>
      <c r="F82" s="32" t="str">
        <f t="shared" si="4"/>
        <v>25.02</v>
      </c>
      <c r="G82" s="37" t="str">
        <f t="shared" si="5"/>
        <v>100,072</v>
      </c>
      <c r="I82" s="42">
        <v>25.02</v>
      </c>
      <c r="J82" s="42">
        <v>25.02</v>
      </c>
      <c r="K82" s="51">
        <v>100072</v>
      </c>
    </row>
    <row r="83" spans="2:11" x14ac:dyDescent="0.45">
      <c r="B83" s="32" t="s">
        <v>41</v>
      </c>
      <c r="C83" s="32">
        <v>2</v>
      </c>
      <c r="D83" s="36">
        <v>6465000</v>
      </c>
      <c r="E83" s="32" t="str">
        <f t="shared" si="3"/>
        <v>25.02</v>
      </c>
      <c r="F83" s="32" t="str">
        <f t="shared" si="4"/>
        <v>25.02</v>
      </c>
      <c r="G83" s="37" t="str">
        <f t="shared" si="5"/>
        <v>6,465</v>
      </c>
      <c r="I83" s="42">
        <v>25.02</v>
      </c>
      <c r="J83" s="42">
        <v>25.02</v>
      </c>
      <c r="K83" s="51">
        <v>6465</v>
      </c>
    </row>
    <row r="84" spans="2:11" x14ac:dyDescent="0.45">
      <c r="B84" s="32" t="s">
        <v>41</v>
      </c>
      <c r="C84" s="32">
        <v>2</v>
      </c>
      <c r="D84" s="36">
        <v>745000</v>
      </c>
      <c r="E84" s="32" t="str">
        <f t="shared" si="3"/>
        <v>25.02</v>
      </c>
      <c r="F84" s="32" t="str">
        <f t="shared" si="4"/>
        <v>25.02</v>
      </c>
      <c r="G84" s="37" t="str">
        <f t="shared" si="5"/>
        <v>745</v>
      </c>
      <c r="I84" s="42">
        <v>25.02</v>
      </c>
      <c r="J84" s="42">
        <v>25.02</v>
      </c>
      <c r="K84" s="42">
        <v>745</v>
      </c>
    </row>
    <row r="85" spans="2:11" x14ac:dyDescent="0.45">
      <c r="B85" s="32" t="s">
        <v>41</v>
      </c>
      <c r="C85" s="32">
        <v>1</v>
      </c>
      <c r="D85" s="36">
        <v>194474000</v>
      </c>
      <c r="E85" s="32" t="str">
        <f t="shared" si="3"/>
        <v>25.01</v>
      </c>
      <c r="F85" s="32" t="str">
        <f t="shared" si="4"/>
        <v>25.01</v>
      </c>
      <c r="G85" s="37" t="str">
        <f t="shared" si="5"/>
        <v>194,474</v>
      </c>
      <c r="I85" s="42">
        <v>25.01</v>
      </c>
      <c r="J85" s="42">
        <v>25.01</v>
      </c>
      <c r="K85" s="51">
        <v>194474</v>
      </c>
    </row>
    <row r="86" spans="2:11" x14ac:dyDescent="0.45">
      <c r="B86" s="32" t="s">
        <v>41</v>
      </c>
      <c r="C86" s="32">
        <v>1</v>
      </c>
      <c r="D86" s="36">
        <v>38587000</v>
      </c>
      <c r="E86" s="32" t="str">
        <f t="shared" si="3"/>
        <v>25.01</v>
      </c>
      <c r="F86" s="32" t="str">
        <f t="shared" si="4"/>
        <v>25.01</v>
      </c>
      <c r="G86" s="37" t="str">
        <f t="shared" si="5"/>
        <v>38,587</v>
      </c>
      <c r="I86" s="42">
        <v>25.01</v>
      </c>
      <c r="J86" s="42">
        <v>25.01</v>
      </c>
      <c r="K86" s="51">
        <v>38587</v>
      </c>
    </row>
    <row r="87" spans="2:11" x14ac:dyDescent="0.45">
      <c r="B87" s="32" t="s">
        <v>41</v>
      </c>
      <c r="C87" s="32">
        <v>1</v>
      </c>
      <c r="D87" s="36">
        <v>8149000</v>
      </c>
      <c r="E87" s="32" t="str">
        <f t="shared" si="3"/>
        <v>25.01</v>
      </c>
      <c r="F87" s="32" t="str">
        <f t="shared" si="4"/>
        <v>25.01</v>
      </c>
      <c r="G87" s="37" t="str">
        <f t="shared" si="5"/>
        <v>8,149</v>
      </c>
      <c r="I87" s="42">
        <v>25.01</v>
      </c>
      <c r="J87" s="42">
        <v>25.01</v>
      </c>
      <c r="K87" s="51">
        <v>8149</v>
      </c>
    </row>
    <row r="88" spans="2:11" x14ac:dyDescent="0.45">
      <c r="B88" s="32"/>
      <c r="C88" s="32"/>
      <c r="D88" s="36"/>
      <c r="E88" s="32" t="str">
        <f t="shared" si="3"/>
        <v>.0</v>
      </c>
      <c r="F88" s="32" t="str">
        <f t="shared" si="4"/>
        <v>.0</v>
      </c>
      <c r="G88" s="37" t="str">
        <f t="shared" si="5"/>
        <v/>
      </c>
    </row>
    <row r="89" spans="2:11" x14ac:dyDescent="0.45">
      <c r="B89" s="32"/>
      <c r="C89" s="32"/>
      <c r="D89" s="36"/>
      <c r="E89" s="32" t="str">
        <f t="shared" si="3"/>
        <v>.0</v>
      </c>
      <c r="F89" s="32" t="str">
        <f t="shared" si="4"/>
        <v>.0</v>
      </c>
      <c r="G89" s="37" t="str">
        <f t="shared" si="5"/>
        <v/>
      </c>
    </row>
    <row r="90" spans="2:11" x14ac:dyDescent="0.45">
      <c r="B90" s="32"/>
      <c r="C90" s="32"/>
      <c r="D90" s="36"/>
      <c r="E90" s="32" t="str">
        <f t="shared" si="3"/>
        <v>.0</v>
      </c>
      <c r="F90" s="32" t="str">
        <f t="shared" si="4"/>
        <v>.0</v>
      </c>
      <c r="G90" s="37" t="str">
        <f t="shared" si="5"/>
        <v/>
      </c>
    </row>
    <row r="91" spans="2:11" x14ac:dyDescent="0.45">
      <c r="B91" s="32"/>
      <c r="C91" s="32"/>
      <c r="D91" s="36"/>
      <c r="E91" s="32" t="str">
        <f t="shared" si="3"/>
        <v>.0</v>
      </c>
      <c r="F91" s="32" t="str">
        <f t="shared" si="4"/>
        <v>.0</v>
      </c>
      <c r="G91" s="37" t="str">
        <f t="shared" si="5"/>
        <v/>
      </c>
    </row>
    <row r="92" spans="2:11" x14ac:dyDescent="0.45">
      <c r="B92" s="32"/>
      <c r="C92" s="32"/>
      <c r="D92" s="36"/>
      <c r="E92" s="32" t="str">
        <f t="shared" si="3"/>
        <v>.0</v>
      </c>
      <c r="F92" s="32" t="str">
        <f t="shared" si="4"/>
        <v>.0</v>
      </c>
      <c r="G92" s="37" t="str">
        <f t="shared" si="5"/>
        <v/>
      </c>
    </row>
    <row r="93" spans="2:11" x14ac:dyDescent="0.45">
      <c r="B93" s="32"/>
      <c r="C93" s="32"/>
      <c r="D93" s="36"/>
      <c r="E93" s="32" t="str">
        <f t="shared" si="3"/>
        <v>.0</v>
      </c>
      <c r="F93" s="32" t="str">
        <f t="shared" si="4"/>
        <v>.0</v>
      </c>
      <c r="G93" s="37" t="str">
        <f t="shared" si="5"/>
        <v/>
      </c>
    </row>
    <row r="94" spans="2:11" x14ac:dyDescent="0.45">
      <c r="B94" s="32"/>
      <c r="C94" s="32"/>
      <c r="D94" s="36"/>
      <c r="E94" s="32" t="str">
        <f t="shared" si="3"/>
        <v>.0</v>
      </c>
      <c r="F94" s="32" t="str">
        <f t="shared" si="4"/>
        <v>.0</v>
      </c>
      <c r="G94" s="37" t="str">
        <f t="shared" si="5"/>
        <v/>
      </c>
    </row>
    <row r="95" spans="2:11" x14ac:dyDescent="0.45">
      <c r="B95" s="32"/>
      <c r="C95" s="32"/>
      <c r="D95" s="36"/>
      <c r="E95" s="32" t="str">
        <f t="shared" si="3"/>
        <v>.0</v>
      </c>
      <c r="F95" s="32" t="str">
        <f t="shared" si="4"/>
        <v>.0</v>
      </c>
      <c r="G95" s="37" t="str">
        <f t="shared" si="5"/>
        <v/>
      </c>
    </row>
    <row r="96" spans="2:11" x14ac:dyDescent="0.45">
      <c r="B96" s="32"/>
      <c r="C96" s="32"/>
      <c r="D96" s="36"/>
      <c r="E96" s="32" t="str">
        <f t="shared" si="3"/>
        <v>.0</v>
      </c>
      <c r="F96" s="32" t="str">
        <f t="shared" si="4"/>
        <v>.0</v>
      </c>
      <c r="G96" s="37" t="str">
        <f t="shared" si="5"/>
        <v/>
      </c>
    </row>
    <row r="97" spans="2:7" x14ac:dyDescent="0.45">
      <c r="B97" s="32"/>
      <c r="C97" s="32"/>
      <c r="D97" s="36"/>
      <c r="E97" s="32" t="str">
        <f t="shared" si="3"/>
        <v>.0</v>
      </c>
      <c r="F97" s="32" t="str">
        <f t="shared" si="4"/>
        <v>.0</v>
      </c>
      <c r="G97" s="37" t="str">
        <f t="shared" si="5"/>
        <v/>
      </c>
    </row>
    <row r="98" spans="2:7" x14ac:dyDescent="0.45">
      <c r="B98" s="32"/>
      <c r="C98" s="32"/>
      <c r="D98" s="36"/>
      <c r="E98" s="32" t="str">
        <f t="shared" si="3"/>
        <v>.0</v>
      </c>
      <c r="F98" s="32" t="str">
        <f t="shared" si="4"/>
        <v>.0</v>
      </c>
      <c r="G98" s="37" t="str">
        <f t="shared" si="5"/>
        <v/>
      </c>
    </row>
    <row r="99" spans="2:7" x14ac:dyDescent="0.45">
      <c r="B99" s="32"/>
      <c r="C99" s="32"/>
      <c r="D99" s="36"/>
      <c r="E99" s="32" t="str">
        <f t="shared" si="3"/>
        <v>.0</v>
      </c>
      <c r="F99" s="32" t="str">
        <f t="shared" si="4"/>
        <v>.0</v>
      </c>
      <c r="G99" s="37" t="str">
        <f t="shared" si="5"/>
        <v/>
      </c>
    </row>
    <row r="100" spans="2:7" x14ac:dyDescent="0.45">
      <c r="B100" s="32"/>
      <c r="C100" s="32"/>
      <c r="D100" s="36"/>
      <c r="E100" s="32" t="str">
        <f t="shared" si="3"/>
        <v>.0</v>
      </c>
      <c r="F100" s="32" t="str">
        <f t="shared" si="4"/>
        <v>.0</v>
      </c>
      <c r="G100" s="37" t="str">
        <f t="shared" si="5"/>
        <v/>
      </c>
    </row>
    <row r="101" spans="2:7" x14ac:dyDescent="0.45">
      <c r="B101" s="32"/>
      <c r="C101" s="32"/>
      <c r="D101" s="36"/>
      <c r="E101" s="32" t="str">
        <f t="shared" si="3"/>
        <v>.0</v>
      </c>
      <c r="F101" s="32" t="str">
        <f t="shared" si="4"/>
        <v>.0</v>
      </c>
      <c r="G101" s="37" t="str">
        <f t="shared" si="5"/>
        <v/>
      </c>
    </row>
    <row r="102" spans="2:7" x14ac:dyDescent="0.45">
      <c r="B102" s="32"/>
      <c r="C102" s="32"/>
      <c r="D102" s="36"/>
      <c r="E102" s="32" t="str">
        <f t="shared" si="3"/>
        <v>.0</v>
      </c>
      <c r="F102" s="32" t="str">
        <f t="shared" si="4"/>
        <v>.0</v>
      </c>
      <c r="G102" s="37" t="str">
        <f t="shared" si="5"/>
        <v/>
      </c>
    </row>
    <row r="103" spans="2:7" x14ac:dyDescent="0.45">
      <c r="B103" s="32"/>
      <c r="C103" s="32"/>
      <c r="D103" s="36"/>
      <c r="E103" s="32" t="str">
        <f t="shared" si="3"/>
        <v>.0</v>
      </c>
      <c r="F103" s="32" t="str">
        <f t="shared" si="4"/>
        <v>.0</v>
      </c>
      <c r="G103" s="37" t="str">
        <f t="shared" si="5"/>
        <v/>
      </c>
    </row>
    <row r="104" spans="2:7" x14ac:dyDescent="0.45">
      <c r="B104" s="32"/>
      <c r="C104" s="32"/>
      <c r="D104" s="36"/>
      <c r="E104" s="32" t="str">
        <f t="shared" si="3"/>
        <v>.0</v>
      </c>
      <c r="F104" s="32" t="str">
        <f t="shared" si="4"/>
        <v>.0</v>
      </c>
      <c r="G104" s="37" t="str">
        <f t="shared" si="5"/>
        <v/>
      </c>
    </row>
    <row r="105" spans="2:7" x14ac:dyDescent="0.45">
      <c r="B105" s="32"/>
      <c r="C105" s="32"/>
      <c r="D105" s="36"/>
      <c r="E105" s="32" t="str">
        <f t="shared" si="3"/>
        <v>.0</v>
      </c>
      <c r="F105" s="32" t="str">
        <f t="shared" si="4"/>
        <v>.0</v>
      </c>
      <c r="G105" s="37" t="str">
        <f t="shared" si="5"/>
        <v/>
      </c>
    </row>
    <row r="106" spans="2:7" x14ac:dyDescent="0.45">
      <c r="B106" s="32"/>
      <c r="C106" s="32"/>
      <c r="D106" s="36"/>
      <c r="E106" s="32" t="str">
        <f t="shared" si="3"/>
        <v>.0</v>
      </c>
      <c r="F106" s="32" t="str">
        <f t="shared" si="4"/>
        <v>.0</v>
      </c>
      <c r="G106" s="37" t="str">
        <f t="shared" si="5"/>
        <v/>
      </c>
    </row>
    <row r="107" spans="2:7" x14ac:dyDescent="0.45">
      <c r="B107" s="32"/>
      <c r="C107" s="32"/>
      <c r="D107" s="36"/>
      <c r="E107" s="32" t="str">
        <f t="shared" si="3"/>
        <v>.0</v>
      </c>
      <c r="F107" s="32" t="str">
        <f t="shared" si="4"/>
        <v>.0</v>
      </c>
      <c r="G107" s="37" t="str">
        <f t="shared" si="5"/>
        <v/>
      </c>
    </row>
    <row r="108" spans="2:7" x14ac:dyDescent="0.45">
      <c r="B108" s="32"/>
      <c r="C108" s="32"/>
      <c r="D108" s="36"/>
      <c r="E108" s="32" t="str">
        <f t="shared" si="3"/>
        <v>.0</v>
      </c>
      <c r="F108" s="32" t="str">
        <f t="shared" si="4"/>
        <v>.0</v>
      </c>
      <c r="G108" s="37" t="str">
        <f t="shared" si="5"/>
        <v/>
      </c>
    </row>
    <row r="109" spans="2:7" x14ac:dyDescent="0.45">
      <c r="B109" s="32"/>
      <c r="C109" s="32"/>
      <c r="D109" s="36"/>
      <c r="E109" s="32" t="str">
        <f t="shared" si="3"/>
        <v>.0</v>
      </c>
      <c r="F109" s="32" t="str">
        <f t="shared" si="4"/>
        <v>.0</v>
      </c>
      <c r="G109" s="37" t="str">
        <f t="shared" si="5"/>
        <v/>
      </c>
    </row>
    <row r="110" spans="2:7" x14ac:dyDescent="0.45">
      <c r="B110" s="32"/>
      <c r="C110" s="32"/>
      <c r="D110" s="36"/>
      <c r="E110" s="32" t="str">
        <f t="shared" si="3"/>
        <v>.0</v>
      </c>
      <c r="F110" s="32" t="str">
        <f t="shared" si="4"/>
        <v>.0</v>
      </c>
      <c r="G110" s="37" t="str">
        <f t="shared" si="5"/>
        <v/>
      </c>
    </row>
    <row r="111" spans="2:7" x14ac:dyDescent="0.45">
      <c r="B111" s="32"/>
      <c r="C111" s="32"/>
      <c r="D111" s="36"/>
      <c r="E111" s="32" t="str">
        <f t="shared" si="3"/>
        <v>.0</v>
      </c>
      <c r="F111" s="32" t="str">
        <f t="shared" si="4"/>
        <v>.0</v>
      </c>
      <c r="G111" s="37" t="str">
        <f t="shared" si="5"/>
        <v/>
      </c>
    </row>
    <row r="112" spans="2:7" x14ac:dyDescent="0.45">
      <c r="B112" s="32"/>
      <c r="C112" s="32"/>
      <c r="D112" s="36"/>
      <c r="E112" s="32" t="str">
        <f t="shared" si="3"/>
        <v>.0</v>
      </c>
      <c r="F112" s="32" t="str">
        <f t="shared" si="4"/>
        <v>.0</v>
      </c>
      <c r="G112" s="37" t="str">
        <f t="shared" si="5"/>
        <v/>
      </c>
    </row>
    <row r="113" spans="2:7" x14ac:dyDescent="0.45">
      <c r="B113" s="32"/>
      <c r="C113" s="32"/>
      <c r="D113" s="36"/>
      <c r="E113" s="32" t="str">
        <f t="shared" si="3"/>
        <v>.0</v>
      </c>
      <c r="F113" s="32" t="str">
        <f t="shared" si="4"/>
        <v>.0</v>
      </c>
      <c r="G113" s="37" t="str">
        <f t="shared" si="5"/>
        <v/>
      </c>
    </row>
    <row r="114" spans="2:7" x14ac:dyDescent="0.45">
      <c r="B114" s="32"/>
      <c r="C114" s="32"/>
      <c r="D114" s="36"/>
      <c r="E114" s="32" t="str">
        <f t="shared" si="3"/>
        <v>.0</v>
      </c>
      <c r="F114" s="32" t="str">
        <f t="shared" si="4"/>
        <v>.0</v>
      </c>
      <c r="G114" s="37" t="str">
        <f t="shared" si="5"/>
        <v/>
      </c>
    </row>
    <row r="115" spans="2:7" x14ac:dyDescent="0.45">
      <c r="B115" s="32"/>
      <c r="C115" s="32"/>
      <c r="D115" s="36"/>
      <c r="E115" s="32" t="str">
        <f t="shared" si="3"/>
        <v>.0</v>
      </c>
      <c r="F115" s="32" t="str">
        <f t="shared" si="4"/>
        <v>.0</v>
      </c>
      <c r="G115" s="37" t="str">
        <f t="shared" si="5"/>
        <v/>
      </c>
    </row>
    <row r="116" spans="2:7" x14ac:dyDescent="0.45">
      <c r="B116" s="32"/>
      <c r="C116" s="32"/>
      <c r="D116" s="36"/>
      <c r="E116" s="32" t="str">
        <f t="shared" si="3"/>
        <v>.0</v>
      </c>
      <c r="F116" s="32" t="str">
        <f t="shared" si="4"/>
        <v>.0</v>
      </c>
      <c r="G116" s="37" t="str">
        <f t="shared" si="5"/>
        <v/>
      </c>
    </row>
    <row r="117" spans="2:7" x14ac:dyDescent="0.45">
      <c r="B117" s="32"/>
      <c r="C117" s="32"/>
      <c r="D117" s="36"/>
      <c r="E117" s="32" t="str">
        <f t="shared" si="3"/>
        <v>.0</v>
      </c>
      <c r="F117" s="32" t="str">
        <f t="shared" si="4"/>
        <v>.0</v>
      </c>
      <c r="G117" s="37" t="str">
        <f t="shared" si="5"/>
        <v/>
      </c>
    </row>
    <row r="118" spans="2:7" x14ac:dyDescent="0.45">
      <c r="B118" s="32"/>
      <c r="C118" s="32"/>
      <c r="D118" s="36"/>
      <c r="E118" s="32" t="str">
        <f t="shared" si="3"/>
        <v>.0</v>
      </c>
      <c r="F118" s="32" t="str">
        <f t="shared" si="4"/>
        <v>.0</v>
      </c>
      <c r="G118" s="37" t="str">
        <f t="shared" si="5"/>
        <v/>
      </c>
    </row>
    <row r="119" spans="2:7" x14ac:dyDescent="0.45">
      <c r="B119" s="32"/>
      <c r="C119" s="32"/>
      <c r="D119" s="36"/>
      <c r="E119" s="32" t="str">
        <f t="shared" si="3"/>
        <v>.0</v>
      </c>
      <c r="F119" s="32" t="str">
        <f t="shared" si="4"/>
        <v>.0</v>
      </c>
      <c r="G119" s="37" t="str">
        <f t="shared" si="5"/>
        <v/>
      </c>
    </row>
    <row r="120" spans="2:7" x14ac:dyDescent="0.45">
      <c r="B120" s="32"/>
      <c r="C120" s="32"/>
      <c r="D120" s="36"/>
      <c r="E120" s="32" t="str">
        <f t="shared" si="3"/>
        <v>.0</v>
      </c>
      <c r="F120" s="32" t="str">
        <f t="shared" si="4"/>
        <v>.0</v>
      </c>
      <c r="G120" s="37" t="str">
        <f t="shared" si="5"/>
        <v/>
      </c>
    </row>
    <row r="121" spans="2:7" x14ac:dyDescent="0.45">
      <c r="B121" s="32"/>
      <c r="C121" s="32"/>
      <c r="D121" s="36"/>
      <c r="E121" s="32" t="str">
        <f t="shared" si="3"/>
        <v>.0</v>
      </c>
      <c r="F121" s="32" t="str">
        <f t="shared" si="4"/>
        <v>.0</v>
      </c>
      <c r="G121" s="37" t="str">
        <f t="shared" si="5"/>
        <v/>
      </c>
    </row>
    <row r="122" spans="2:7" x14ac:dyDescent="0.45">
      <c r="B122" s="32"/>
      <c r="C122" s="32"/>
      <c r="D122" s="36"/>
      <c r="E122" s="32" t="str">
        <f t="shared" si="3"/>
        <v>.0</v>
      </c>
      <c r="F122" s="32" t="str">
        <f t="shared" si="4"/>
        <v>.0</v>
      </c>
      <c r="G122" s="37" t="str">
        <f t="shared" si="5"/>
        <v/>
      </c>
    </row>
    <row r="123" spans="2:7" x14ac:dyDescent="0.45">
      <c r="B123" s="32"/>
      <c r="C123" s="32"/>
      <c r="D123" s="36"/>
      <c r="E123" s="32" t="str">
        <f t="shared" si="3"/>
        <v>.0</v>
      </c>
      <c r="F123" s="32" t="str">
        <f t="shared" si="4"/>
        <v>.0</v>
      </c>
      <c r="G123" s="37" t="str">
        <f t="shared" si="5"/>
        <v/>
      </c>
    </row>
    <row r="124" spans="2:7" x14ac:dyDescent="0.45">
      <c r="B124" s="32"/>
      <c r="C124" s="32"/>
      <c r="D124" s="36"/>
      <c r="E124" s="32" t="str">
        <f t="shared" si="3"/>
        <v>.0</v>
      </c>
      <c r="F124" s="32" t="str">
        <f t="shared" si="4"/>
        <v>.0</v>
      </c>
      <c r="G124" s="37" t="str">
        <f t="shared" si="5"/>
        <v/>
      </c>
    </row>
    <row r="125" spans="2:7" x14ac:dyDescent="0.45">
      <c r="B125" s="32"/>
      <c r="C125" s="32"/>
      <c r="D125" s="36"/>
      <c r="E125" s="32" t="str">
        <f t="shared" si="3"/>
        <v>.0</v>
      </c>
      <c r="F125" s="32" t="str">
        <f t="shared" si="4"/>
        <v>.0</v>
      </c>
      <c r="G125" s="37" t="str">
        <f t="shared" si="5"/>
        <v/>
      </c>
    </row>
    <row r="126" spans="2:7" x14ac:dyDescent="0.45">
      <c r="B126" s="32"/>
      <c r="C126" s="32"/>
      <c r="D126" s="36"/>
      <c r="E126" s="32" t="str">
        <f t="shared" si="3"/>
        <v>.0</v>
      </c>
      <c r="F126" s="32" t="str">
        <f t="shared" si="4"/>
        <v>.0</v>
      </c>
      <c r="G126" s="37" t="str">
        <f t="shared" si="5"/>
        <v/>
      </c>
    </row>
    <row r="127" spans="2:7" x14ac:dyDescent="0.45">
      <c r="B127" s="32"/>
      <c r="C127" s="32"/>
      <c r="D127" s="36"/>
      <c r="E127" s="32" t="str">
        <f t="shared" si="3"/>
        <v>.0</v>
      </c>
      <c r="F127" s="32" t="str">
        <f t="shared" si="4"/>
        <v>.0</v>
      </c>
      <c r="G127" s="37" t="str">
        <f t="shared" si="5"/>
        <v/>
      </c>
    </row>
    <row r="128" spans="2:7" x14ac:dyDescent="0.45">
      <c r="B128" s="32"/>
      <c r="C128" s="32"/>
      <c r="D128" s="36"/>
      <c r="E128" s="32" t="str">
        <f t="shared" si="3"/>
        <v>.0</v>
      </c>
      <c r="F128" s="32" t="str">
        <f t="shared" si="4"/>
        <v>.0</v>
      </c>
      <c r="G128" s="37" t="str">
        <f t="shared" si="5"/>
        <v/>
      </c>
    </row>
    <row r="129" spans="2:7" x14ac:dyDescent="0.45">
      <c r="B129" s="32"/>
      <c r="C129" s="32"/>
      <c r="D129" s="36"/>
      <c r="E129" s="32" t="str">
        <f t="shared" si="3"/>
        <v>.0</v>
      </c>
      <c r="F129" s="32" t="str">
        <f t="shared" si="4"/>
        <v>.0</v>
      </c>
      <c r="G129" s="37" t="str">
        <f t="shared" si="5"/>
        <v/>
      </c>
    </row>
    <row r="130" spans="2:7" x14ac:dyDescent="0.45">
      <c r="B130" s="32"/>
      <c r="C130" s="32"/>
      <c r="D130" s="36"/>
      <c r="E130" s="32" t="str">
        <f t="shared" si="3"/>
        <v>.0</v>
      </c>
      <c r="F130" s="32" t="str">
        <f t="shared" si="4"/>
        <v>.0</v>
      </c>
      <c r="G130" s="37" t="str">
        <f t="shared" si="5"/>
        <v/>
      </c>
    </row>
    <row r="131" spans="2:7" x14ac:dyDescent="0.45">
      <c r="B131" s="32"/>
      <c r="C131" s="32"/>
      <c r="D131" s="36"/>
      <c r="E131" s="32" t="str">
        <f t="shared" si="3"/>
        <v>.0</v>
      </c>
      <c r="F131" s="32" t="str">
        <f t="shared" si="4"/>
        <v>.0</v>
      </c>
      <c r="G131" s="37" t="str">
        <f t="shared" si="5"/>
        <v/>
      </c>
    </row>
    <row r="132" spans="2:7" x14ac:dyDescent="0.45">
      <c r="B132" s="32"/>
      <c r="C132" s="32"/>
      <c r="D132" s="36"/>
      <c r="E132" s="32" t="str">
        <f t="shared" ref="E132:E195" si="6">MID(B132,3,2)&amp;"."&amp;IF(C132&lt;10,"0"&amp;C132,C132)</f>
        <v>.0</v>
      </c>
      <c r="F132" s="32" t="str">
        <f t="shared" ref="F132:F195" si="7">MID(B132,3,2)&amp;"."&amp;IF(C132&lt;10,"0"&amp;C132,C132)</f>
        <v>.0</v>
      </c>
      <c r="G132" s="37" t="str">
        <f t="shared" ref="G132:G195" si="8">TEXT(D132,"#,###,")</f>
        <v/>
      </c>
    </row>
    <row r="133" spans="2:7" x14ac:dyDescent="0.45">
      <c r="B133" s="32"/>
      <c r="C133" s="32"/>
      <c r="D133" s="36"/>
      <c r="E133" s="32" t="str">
        <f t="shared" si="6"/>
        <v>.0</v>
      </c>
      <c r="F133" s="32" t="str">
        <f t="shared" si="7"/>
        <v>.0</v>
      </c>
      <c r="G133" s="37" t="str">
        <f t="shared" si="8"/>
        <v/>
      </c>
    </row>
    <row r="134" spans="2:7" x14ac:dyDescent="0.45">
      <c r="B134" s="32"/>
      <c r="C134" s="32"/>
      <c r="D134" s="36"/>
      <c r="E134" s="32" t="str">
        <f t="shared" si="6"/>
        <v>.0</v>
      </c>
      <c r="F134" s="32" t="str">
        <f t="shared" si="7"/>
        <v>.0</v>
      </c>
      <c r="G134" s="37" t="str">
        <f t="shared" si="8"/>
        <v/>
      </c>
    </row>
    <row r="135" spans="2:7" x14ac:dyDescent="0.45">
      <c r="B135" s="32"/>
      <c r="C135" s="32"/>
      <c r="D135" s="36"/>
      <c r="E135" s="32" t="str">
        <f t="shared" si="6"/>
        <v>.0</v>
      </c>
      <c r="F135" s="32" t="str">
        <f t="shared" si="7"/>
        <v>.0</v>
      </c>
      <c r="G135" s="37" t="str">
        <f t="shared" si="8"/>
        <v/>
      </c>
    </row>
    <row r="136" spans="2:7" x14ac:dyDescent="0.45">
      <c r="B136" s="32"/>
      <c r="C136" s="32"/>
      <c r="D136" s="36"/>
      <c r="E136" s="32" t="str">
        <f t="shared" si="6"/>
        <v>.0</v>
      </c>
      <c r="F136" s="32" t="str">
        <f t="shared" si="7"/>
        <v>.0</v>
      </c>
      <c r="G136" s="37" t="str">
        <f t="shared" si="8"/>
        <v/>
      </c>
    </row>
    <row r="137" spans="2:7" x14ac:dyDescent="0.45">
      <c r="B137" s="32"/>
      <c r="C137" s="32"/>
      <c r="D137" s="36"/>
      <c r="E137" s="32" t="str">
        <f t="shared" si="6"/>
        <v>.0</v>
      </c>
      <c r="F137" s="32" t="str">
        <f t="shared" si="7"/>
        <v>.0</v>
      </c>
      <c r="G137" s="37" t="str">
        <f t="shared" si="8"/>
        <v/>
      </c>
    </row>
    <row r="138" spans="2:7" x14ac:dyDescent="0.45">
      <c r="B138" s="32"/>
      <c r="C138" s="32"/>
      <c r="D138" s="36"/>
      <c r="E138" s="32" t="str">
        <f t="shared" si="6"/>
        <v>.0</v>
      </c>
      <c r="F138" s="32" t="str">
        <f t="shared" si="7"/>
        <v>.0</v>
      </c>
      <c r="G138" s="37" t="str">
        <f t="shared" si="8"/>
        <v/>
      </c>
    </row>
    <row r="139" spans="2:7" x14ac:dyDescent="0.45">
      <c r="B139" s="32"/>
      <c r="C139" s="32"/>
      <c r="D139" s="36"/>
      <c r="E139" s="32" t="str">
        <f t="shared" si="6"/>
        <v>.0</v>
      </c>
      <c r="F139" s="32" t="str">
        <f t="shared" si="7"/>
        <v>.0</v>
      </c>
      <c r="G139" s="37" t="str">
        <f t="shared" si="8"/>
        <v/>
      </c>
    </row>
    <row r="140" spans="2:7" x14ac:dyDescent="0.45">
      <c r="B140" s="32"/>
      <c r="C140" s="32"/>
      <c r="D140" s="36"/>
      <c r="E140" s="32" t="str">
        <f t="shared" si="6"/>
        <v>.0</v>
      </c>
      <c r="F140" s="32" t="str">
        <f t="shared" si="7"/>
        <v>.0</v>
      </c>
      <c r="G140" s="37" t="str">
        <f t="shared" si="8"/>
        <v/>
      </c>
    </row>
    <row r="141" spans="2:7" x14ac:dyDescent="0.45">
      <c r="B141" s="32"/>
      <c r="C141" s="32"/>
      <c r="D141" s="36"/>
      <c r="E141" s="32" t="str">
        <f t="shared" si="6"/>
        <v>.0</v>
      </c>
      <c r="F141" s="32" t="str">
        <f t="shared" si="7"/>
        <v>.0</v>
      </c>
      <c r="G141" s="37" t="str">
        <f t="shared" si="8"/>
        <v/>
      </c>
    </row>
    <row r="142" spans="2:7" x14ac:dyDescent="0.45">
      <c r="B142" s="32"/>
      <c r="C142" s="32"/>
      <c r="D142" s="36"/>
      <c r="E142" s="32" t="str">
        <f t="shared" si="6"/>
        <v>.0</v>
      </c>
      <c r="F142" s="32" t="str">
        <f t="shared" si="7"/>
        <v>.0</v>
      </c>
      <c r="G142" s="37" t="str">
        <f t="shared" si="8"/>
        <v/>
      </c>
    </row>
    <row r="143" spans="2:7" x14ac:dyDescent="0.45">
      <c r="B143" s="32"/>
      <c r="C143" s="32"/>
      <c r="D143" s="36"/>
      <c r="E143" s="32" t="str">
        <f t="shared" si="6"/>
        <v>.0</v>
      </c>
      <c r="F143" s="32" t="str">
        <f t="shared" si="7"/>
        <v>.0</v>
      </c>
      <c r="G143" s="37" t="str">
        <f t="shared" si="8"/>
        <v/>
      </c>
    </row>
    <row r="144" spans="2:7" x14ac:dyDescent="0.45">
      <c r="B144" s="32"/>
      <c r="C144" s="32"/>
      <c r="D144" s="36"/>
      <c r="E144" s="32" t="str">
        <f t="shared" si="6"/>
        <v>.0</v>
      </c>
      <c r="F144" s="32" t="str">
        <f t="shared" si="7"/>
        <v>.0</v>
      </c>
      <c r="G144" s="37" t="str">
        <f t="shared" si="8"/>
        <v/>
      </c>
    </row>
    <row r="145" spans="2:7" x14ac:dyDescent="0.45">
      <c r="B145" s="32"/>
      <c r="C145" s="32"/>
      <c r="D145" s="36"/>
      <c r="E145" s="32" t="str">
        <f t="shared" si="6"/>
        <v>.0</v>
      </c>
      <c r="F145" s="32" t="str">
        <f t="shared" si="7"/>
        <v>.0</v>
      </c>
      <c r="G145" s="37" t="str">
        <f t="shared" si="8"/>
        <v/>
      </c>
    </row>
    <row r="146" spans="2:7" x14ac:dyDescent="0.45">
      <c r="B146" s="32"/>
      <c r="C146" s="32"/>
      <c r="D146" s="36"/>
      <c r="E146" s="32" t="str">
        <f t="shared" si="6"/>
        <v>.0</v>
      </c>
      <c r="F146" s="32" t="str">
        <f t="shared" si="7"/>
        <v>.0</v>
      </c>
      <c r="G146" s="37" t="str">
        <f t="shared" si="8"/>
        <v/>
      </c>
    </row>
    <row r="147" spans="2:7" x14ac:dyDescent="0.45">
      <c r="B147" s="32"/>
      <c r="C147" s="32"/>
      <c r="D147" s="36"/>
      <c r="E147" s="32" t="str">
        <f t="shared" si="6"/>
        <v>.0</v>
      </c>
      <c r="F147" s="32" t="str">
        <f t="shared" si="7"/>
        <v>.0</v>
      </c>
      <c r="G147" s="37" t="str">
        <f t="shared" si="8"/>
        <v/>
      </c>
    </row>
    <row r="148" spans="2:7" x14ac:dyDescent="0.45">
      <c r="B148" s="32"/>
      <c r="C148" s="32"/>
      <c r="D148" s="36"/>
      <c r="E148" s="32" t="str">
        <f t="shared" si="6"/>
        <v>.0</v>
      </c>
      <c r="F148" s="32" t="str">
        <f t="shared" si="7"/>
        <v>.0</v>
      </c>
      <c r="G148" s="37" t="str">
        <f t="shared" si="8"/>
        <v/>
      </c>
    </row>
    <row r="149" spans="2:7" x14ac:dyDescent="0.45">
      <c r="B149" s="32"/>
      <c r="C149" s="32"/>
      <c r="D149" s="36"/>
      <c r="E149" s="32" t="str">
        <f t="shared" si="6"/>
        <v>.0</v>
      </c>
      <c r="F149" s="32" t="str">
        <f t="shared" si="7"/>
        <v>.0</v>
      </c>
      <c r="G149" s="37" t="str">
        <f t="shared" si="8"/>
        <v/>
      </c>
    </row>
    <row r="150" spans="2:7" x14ac:dyDescent="0.45">
      <c r="B150" s="32"/>
      <c r="C150" s="32"/>
      <c r="D150" s="36"/>
      <c r="E150" s="32" t="str">
        <f t="shared" si="6"/>
        <v>.0</v>
      </c>
      <c r="F150" s="32" t="str">
        <f t="shared" si="7"/>
        <v>.0</v>
      </c>
      <c r="G150" s="37" t="str">
        <f t="shared" si="8"/>
        <v/>
      </c>
    </row>
    <row r="151" spans="2:7" x14ac:dyDescent="0.45">
      <c r="B151" s="32"/>
      <c r="C151" s="32"/>
      <c r="D151" s="36"/>
      <c r="E151" s="32" t="str">
        <f t="shared" si="6"/>
        <v>.0</v>
      </c>
      <c r="F151" s="32" t="str">
        <f t="shared" si="7"/>
        <v>.0</v>
      </c>
      <c r="G151" s="37" t="str">
        <f t="shared" si="8"/>
        <v/>
      </c>
    </row>
    <row r="152" spans="2:7" x14ac:dyDescent="0.45">
      <c r="B152" s="32"/>
      <c r="C152" s="32"/>
      <c r="D152" s="36"/>
      <c r="E152" s="32" t="str">
        <f t="shared" si="6"/>
        <v>.0</v>
      </c>
      <c r="F152" s="32" t="str">
        <f t="shared" si="7"/>
        <v>.0</v>
      </c>
      <c r="G152" s="37" t="str">
        <f t="shared" si="8"/>
        <v/>
      </c>
    </row>
    <row r="153" spans="2:7" x14ac:dyDescent="0.45">
      <c r="B153" s="32"/>
      <c r="C153" s="32"/>
      <c r="D153" s="36"/>
      <c r="E153" s="32" t="str">
        <f t="shared" si="6"/>
        <v>.0</v>
      </c>
      <c r="F153" s="32" t="str">
        <f t="shared" si="7"/>
        <v>.0</v>
      </c>
      <c r="G153" s="37" t="str">
        <f t="shared" si="8"/>
        <v/>
      </c>
    </row>
    <row r="154" spans="2:7" x14ac:dyDescent="0.45">
      <c r="B154" s="32"/>
      <c r="C154" s="32"/>
      <c r="D154" s="36"/>
      <c r="E154" s="32" t="str">
        <f t="shared" si="6"/>
        <v>.0</v>
      </c>
      <c r="F154" s="32" t="str">
        <f t="shared" si="7"/>
        <v>.0</v>
      </c>
      <c r="G154" s="37" t="str">
        <f t="shared" si="8"/>
        <v/>
      </c>
    </row>
    <row r="155" spans="2:7" x14ac:dyDescent="0.45">
      <c r="B155" s="32"/>
      <c r="C155" s="32"/>
      <c r="D155" s="36"/>
      <c r="E155" s="32" t="str">
        <f t="shared" si="6"/>
        <v>.0</v>
      </c>
      <c r="F155" s="32" t="str">
        <f t="shared" si="7"/>
        <v>.0</v>
      </c>
      <c r="G155" s="37" t="str">
        <f t="shared" si="8"/>
        <v/>
      </c>
    </row>
    <row r="156" spans="2:7" x14ac:dyDescent="0.45">
      <c r="B156" s="32"/>
      <c r="C156" s="32"/>
      <c r="D156" s="36"/>
      <c r="E156" s="32" t="str">
        <f t="shared" si="6"/>
        <v>.0</v>
      </c>
      <c r="F156" s="32" t="str">
        <f t="shared" si="7"/>
        <v>.0</v>
      </c>
      <c r="G156" s="37" t="str">
        <f t="shared" si="8"/>
        <v/>
      </c>
    </row>
    <row r="157" spans="2:7" x14ac:dyDescent="0.45">
      <c r="B157" s="32"/>
      <c r="C157" s="32"/>
      <c r="D157" s="36"/>
      <c r="E157" s="32" t="str">
        <f t="shared" si="6"/>
        <v>.0</v>
      </c>
      <c r="F157" s="32" t="str">
        <f t="shared" si="7"/>
        <v>.0</v>
      </c>
      <c r="G157" s="37" t="str">
        <f t="shared" si="8"/>
        <v/>
      </c>
    </row>
    <row r="158" spans="2:7" x14ac:dyDescent="0.45">
      <c r="B158" s="32"/>
      <c r="C158" s="32"/>
      <c r="D158" s="36"/>
      <c r="E158" s="32" t="str">
        <f t="shared" si="6"/>
        <v>.0</v>
      </c>
      <c r="F158" s="32" t="str">
        <f t="shared" si="7"/>
        <v>.0</v>
      </c>
      <c r="G158" s="37" t="str">
        <f t="shared" si="8"/>
        <v/>
      </c>
    </row>
    <row r="159" spans="2:7" x14ac:dyDescent="0.45">
      <c r="B159" s="32"/>
      <c r="C159" s="32"/>
      <c r="D159" s="36"/>
      <c r="E159" s="32" t="str">
        <f t="shared" si="6"/>
        <v>.0</v>
      </c>
      <c r="F159" s="32" t="str">
        <f t="shared" si="7"/>
        <v>.0</v>
      </c>
      <c r="G159" s="37" t="str">
        <f t="shared" si="8"/>
        <v/>
      </c>
    </row>
    <row r="160" spans="2:7" x14ac:dyDescent="0.45">
      <c r="B160" s="32"/>
      <c r="C160" s="32"/>
      <c r="D160" s="36"/>
      <c r="E160" s="32" t="str">
        <f t="shared" si="6"/>
        <v>.0</v>
      </c>
      <c r="F160" s="32" t="str">
        <f t="shared" si="7"/>
        <v>.0</v>
      </c>
      <c r="G160" s="37" t="str">
        <f t="shared" si="8"/>
        <v/>
      </c>
    </row>
    <row r="161" spans="2:7" x14ac:dyDescent="0.45">
      <c r="B161" s="32"/>
      <c r="C161" s="32"/>
      <c r="D161" s="36"/>
      <c r="E161" s="32" t="str">
        <f t="shared" si="6"/>
        <v>.0</v>
      </c>
      <c r="F161" s="32" t="str">
        <f t="shared" si="7"/>
        <v>.0</v>
      </c>
      <c r="G161" s="37" t="str">
        <f t="shared" si="8"/>
        <v/>
      </c>
    </row>
    <row r="162" spans="2:7" x14ac:dyDescent="0.45">
      <c r="B162" s="32"/>
      <c r="C162" s="32"/>
      <c r="D162" s="36"/>
      <c r="E162" s="32" t="str">
        <f t="shared" si="6"/>
        <v>.0</v>
      </c>
      <c r="F162" s="32" t="str">
        <f t="shared" si="7"/>
        <v>.0</v>
      </c>
      <c r="G162" s="37" t="str">
        <f t="shared" si="8"/>
        <v/>
      </c>
    </row>
    <row r="163" spans="2:7" x14ac:dyDescent="0.45">
      <c r="B163" s="32"/>
      <c r="C163" s="32"/>
      <c r="D163" s="36"/>
      <c r="E163" s="32" t="str">
        <f t="shared" si="6"/>
        <v>.0</v>
      </c>
      <c r="F163" s="32" t="str">
        <f t="shared" si="7"/>
        <v>.0</v>
      </c>
      <c r="G163" s="37" t="str">
        <f t="shared" si="8"/>
        <v/>
      </c>
    </row>
    <row r="164" spans="2:7" x14ac:dyDescent="0.45">
      <c r="B164" s="32"/>
      <c r="C164" s="32"/>
      <c r="D164" s="36"/>
      <c r="E164" s="32" t="str">
        <f t="shared" si="6"/>
        <v>.0</v>
      </c>
      <c r="F164" s="32" t="str">
        <f t="shared" si="7"/>
        <v>.0</v>
      </c>
      <c r="G164" s="37" t="str">
        <f t="shared" si="8"/>
        <v/>
      </c>
    </row>
    <row r="165" spans="2:7" x14ac:dyDescent="0.45">
      <c r="B165" s="32"/>
      <c r="C165" s="32"/>
      <c r="D165" s="36"/>
      <c r="E165" s="32" t="str">
        <f t="shared" si="6"/>
        <v>.0</v>
      </c>
      <c r="F165" s="32" t="str">
        <f t="shared" si="7"/>
        <v>.0</v>
      </c>
      <c r="G165" s="37" t="str">
        <f t="shared" si="8"/>
        <v/>
      </c>
    </row>
    <row r="166" spans="2:7" x14ac:dyDescent="0.45">
      <c r="B166" s="32"/>
      <c r="C166" s="32"/>
      <c r="D166" s="36"/>
      <c r="E166" s="32" t="str">
        <f t="shared" si="6"/>
        <v>.0</v>
      </c>
      <c r="F166" s="32" t="str">
        <f t="shared" si="7"/>
        <v>.0</v>
      </c>
      <c r="G166" s="37" t="str">
        <f t="shared" si="8"/>
        <v/>
      </c>
    </row>
    <row r="167" spans="2:7" x14ac:dyDescent="0.45">
      <c r="B167" s="32"/>
      <c r="C167" s="32"/>
      <c r="D167" s="36"/>
      <c r="E167" s="32" t="str">
        <f t="shared" si="6"/>
        <v>.0</v>
      </c>
      <c r="F167" s="32" t="str">
        <f t="shared" si="7"/>
        <v>.0</v>
      </c>
      <c r="G167" s="37" t="str">
        <f t="shared" si="8"/>
        <v/>
      </c>
    </row>
    <row r="168" spans="2:7" x14ac:dyDescent="0.45">
      <c r="B168" s="32"/>
      <c r="C168" s="32"/>
      <c r="D168" s="36"/>
      <c r="E168" s="32" t="str">
        <f t="shared" si="6"/>
        <v>.0</v>
      </c>
      <c r="F168" s="32" t="str">
        <f t="shared" si="7"/>
        <v>.0</v>
      </c>
      <c r="G168" s="37" t="str">
        <f t="shared" si="8"/>
        <v/>
      </c>
    </row>
    <row r="169" spans="2:7" x14ac:dyDescent="0.45">
      <c r="B169" s="32"/>
      <c r="C169" s="32"/>
      <c r="D169" s="36"/>
      <c r="E169" s="32" t="str">
        <f t="shared" si="6"/>
        <v>.0</v>
      </c>
      <c r="F169" s="32" t="str">
        <f t="shared" si="7"/>
        <v>.0</v>
      </c>
      <c r="G169" s="37" t="str">
        <f t="shared" si="8"/>
        <v/>
      </c>
    </row>
    <row r="170" spans="2:7" x14ac:dyDescent="0.45">
      <c r="B170" s="32"/>
      <c r="C170" s="32"/>
      <c r="D170" s="36"/>
      <c r="E170" s="32" t="str">
        <f t="shared" si="6"/>
        <v>.0</v>
      </c>
      <c r="F170" s="32" t="str">
        <f t="shared" si="7"/>
        <v>.0</v>
      </c>
      <c r="G170" s="37" t="str">
        <f t="shared" si="8"/>
        <v/>
      </c>
    </row>
    <row r="171" spans="2:7" x14ac:dyDescent="0.45">
      <c r="B171" s="32"/>
      <c r="C171" s="32"/>
      <c r="D171" s="36"/>
      <c r="E171" s="32" t="str">
        <f t="shared" si="6"/>
        <v>.0</v>
      </c>
      <c r="F171" s="32" t="str">
        <f t="shared" si="7"/>
        <v>.0</v>
      </c>
      <c r="G171" s="37" t="str">
        <f t="shared" si="8"/>
        <v/>
      </c>
    </row>
    <row r="172" spans="2:7" x14ac:dyDescent="0.45">
      <c r="B172" s="32"/>
      <c r="C172" s="32"/>
      <c r="D172" s="36"/>
      <c r="E172" s="32" t="str">
        <f t="shared" si="6"/>
        <v>.0</v>
      </c>
      <c r="F172" s="32" t="str">
        <f t="shared" si="7"/>
        <v>.0</v>
      </c>
      <c r="G172" s="37" t="str">
        <f t="shared" si="8"/>
        <v/>
      </c>
    </row>
    <row r="173" spans="2:7" x14ac:dyDescent="0.45">
      <c r="B173" s="32"/>
      <c r="C173" s="32"/>
      <c r="D173" s="36"/>
      <c r="E173" s="32" t="str">
        <f t="shared" si="6"/>
        <v>.0</v>
      </c>
      <c r="F173" s="32" t="str">
        <f t="shared" si="7"/>
        <v>.0</v>
      </c>
      <c r="G173" s="37" t="str">
        <f t="shared" si="8"/>
        <v/>
      </c>
    </row>
    <row r="174" spans="2:7" x14ac:dyDescent="0.45">
      <c r="B174" s="32"/>
      <c r="C174" s="32"/>
      <c r="D174" s="36"/>
      <c r="E174" s="32" t="str">
        <f t="shared" si="6"/>
        <v>.0</v>
      </c>
      <c r="F174" s="32" t="str">
        <f t="shared" si="7"/>
        <v>.0</v>
      </c>
      <c r="G174" s="37" t="str">
        <f t="shared" si="8"/>
        <v/>
      </c>
    </row>
    <row r="175" spans="2:7" x14ac:dyDescent="0.45">
      <c r="B175" s="32"/>
      <c r="C175" s="32"/>
      <c r="D175" s="36"/>
      <c r="E175" s="32" t="str">
        <f t="shared" si="6"/>
        <v>.0</v>
      </c>
      <c r="F175" s="32" t="str">
        <f t="shared" si="7"/>
        <v>.0</v>
      </c>
      <c r="G175" s="37" t="str">
        <f t="shared" si="8"/>
        <v/>
      </c>
    </row>
    <row r="176" spans="2:7" x14ac:dyDescent="0.45">
      <c r="B176" s="32"/>
      <c r="C176" s="32"/>
      <c r="D176" s="36"/>
      <c r="E176" s="32" t="str">
        <f t="shared" si="6"/>
        <v>.0</v>
      </c>
      <c r="F176" s="32" t="str">
        <f t="shared" si="7"/>
        <v>.0</v>
      </c>
      <c r="G176" s="37" t="str">
        <f t="shared" si="8"/>
        <v/>
      </c>
    </row>
    <row r="177" spans="2:7" x14ac:dyDescent="0.45">
      <c r="B177" s="32"/>
      <c r="C177" s="32"/>
      <c r="D177" s="36"/>
      <c r="E177" s="32" t="str">
        <f t="shared" si="6"/>
        <v>.0</v>
      </c>
      <c r="F177" s="32" t="str">
        <f t="shared" si="7"/>
        <v>.0</v>
      </c>
      <c r="G177" s="37" t="str">
        <f t="shared" si="8"/>
        <v/>
      </c>
    </row>
    <row r="178" spans="2:7" x14ac:dyDescent="0.45">
      <c r="B178" s="32"/>
      <c r="C178" s="32"/>
      <c r="D178" s="36"/>
      <c r="E178" s="32" t="str">
        <f t="shared" si="6"/>
        <v>.0</v>
      </c>
      <c r="F178" s="32" t="str">
        <f t="shared" si="7"/>
        <v>.0</v>
      </c>
      <c r="G178" s="37" t="str">
        <f t="shared" si="8"/>
        <v/>
      </c>
    </row>
    <row r="179" spans="2:7" x14ac:dyDescent="0.45">
      <c r="B179" s="32"/>
      <c r="C179" s="32"/>
      <c r="D179" s="36"/>
      <c r="E179" s="32" t="str">
        <f t="shared" si="6"/>
        <v>.0</v>
      </c>
      <c r="F179" s="32" t="str">
        <f t="shared" si="7"/>
        <v>.0</v>
      </c>
      <c r="G179" s="37" t="str">
        <f t="shared" si="8"/>
        <v/>
      </c>
    </row>
    <row r="180" spans="2:7" x14ac:dyDescent="0.45">
      <c r="B180" s="32"/>
      <c r="C180" s="32"/>
      <c r="D180" s="36"/>
      <c r="E180" s="32" t="str">
        <f t="shared" si="6"/>
        <v>.0</v>
      </c>
      <c r="F180" s="32" t="str">
        <f t="shared" si="7"/>
        <v>.0</v>
      </c>
      <c r="G180" s="37" t="str">
        <f t="shared" si="8"/>
        <v/>
      </c>
    </row>
    <row r="181" spans="2:7" x14ac:dyDescent="0.45">
      <c r="B181" s="32"/>
      <c r="C181" s="32"/>
      <c r="D181" s="36"/>
      <c r="E181" s="32" t="str">
        <f t="shared" si="6"/>
        <v>.0</v>
      </c>
      <c r="F181" s="32" t="str">
        <f t="shared" si="7"/>
        <v>.0</v>
      </c>
      <c r="G181" s="37" t="str">
        <f t="shared" si="8"/>
        <v/>
      </c>
    </row>
    <row r="182" spans="2:7" x14ac:dyDescent="0.45">
      <c r="B182" s="32"/>
      <c r="C182" s="32"/>
      <c r="D182" s="36"/>
      <c r="E182" s="32" t="str">
        <f t="shared" si="6"/>
        <v>.0</v>
      </c>
      <c r="F182" s="32" t="str">
        <f t="shared" si="7"/>
        <v>.0</v>
      </c>
      <c r="G182" s="37" t="str">
        <f t="shared" si="8"/>
        <v/>
      </c>
    </row>
    <row r="183" spans="2:7" x14ac:dyDescent="0.45">
      <c r="B183" s="32"/>
      <c r="C183" s="32"/>
      <c r="D183" s="36"/>
      <c r="E183" s="32" t="str">
        <f t="shared" si="6"/>
        <v>.0</v>
      </c>
      <c r="F183" s="32" t="str">
        <f t="shared" si="7"/>
        <v>.0</v>
      </c>
      <c r="G183" s="37" t="str">
        <f t="shared" si="8"/>
        <v/>
      </c>
    </row>
    <row r="184" spans="2:7" x14ac:dyDescent="0.45">
      <c r="B184" s="32"/>
      <c r="C184" s="32"/>
      <c r="D184" s="36"/>
      <c r="E184" s="32" t="str">
        <f t="shared" si="6"/>
        <v>.0</v>
      </c>
      <c r="F184" s="32" t="str">
        <f t="shared" si="7"/>
        <v>.0</v>
      </c>
      <c r="G184" s="37" t="str">
        <f t="shared" si="8"/>
        <v/>
      </c>
    </row>
    <row r="185" spans="2:7" x14ac:dyDescent="0.45">
      <c r="B185" s="32"/>
      <c r="C185" s="32"/>
      <c r="D185" s="36"/>
      <c r="E185" s="32" t="str">
        <f t="shared" si="6"/>
        <v>.0</v>
      </c>
      <c r="F185" s="32" t="str">
        <f t="shared" si="7"/>
        <v>.0</v>
      </c>
      <c r="G185" s="37" t="str">
        <f t="shared" si="8"/>
        <v/>
      </c>
    </row>
    <row r="186" spans="2:7" x14ac:dyDescent="0.45">
      <c r="B186" s="32"/>
      <c r="C186" s="32"/>
      <c r="D186" s="36"/>
      <c r="E186" s="32" t="str">
        <f t="shared" si="6"/>
        <v>.0</v>
      </c>
      <c r="F186" s="32" t="str">
        <f t="shared" si="7"/>
        <v>.0</v>
      </c>
      <c r="G186" s="37" t="str">
        <f t="shared" si="8"/>
        <v/>
      </c>
    </row>
    <row r="187" spans="2:7" x14ac:dyDescent="0.45">
      <c r="B187" s="32"/>
      <c r="C187" s="32"/>
      <c r="D187" s="36"/>
      <c r="E187" s="32" t="str">
        <f t="shared" si="6"/>
        <v>.0</v>
      </c>
      <c r="F187" s="32" t="str">
        <f t="shared" si="7"/>
        <v>.0</v>
      </c>
      <c r="G187" s="37" t="str">
        <f t="shared" si="8"/>
        <v/>
      </c>
    </row>
    <row r="188" spans="2:7" x14ac:dyDescent="0.45">
      <c r="B188" s="32"/>
      <c r="C188" s="32"/>
      <c r="D188" s="36"/>
      <c r="E188" s="32" t="str">
        <f t="shared" si="6"/>
        <v>.0</v>
      </c>
      <c r="F188" s="32" t="str">
        <f t="shared" si="7"/>
        <v>.0</v>
      </c>
      <c r="G188" s="37" t="str">
        <f t="shared" si="8"/>
        <v/>
      </c>
    </row>
    <row r="189" spans="2:7" x14ac:dyDescent="0.45">
      <c r="B189" s="32"/>
      <c r="C189" s="32"/>
      <c r="D189" s="36"/>
      <c r="E189" s="32" t="str">
        <f t="shared" si="6"/>
        <v>.0</v>
      </c>
      <c r="F189" s="32" t="str">
        <f t="shared" si="7"/>
        <v>.0</v>
      </c>
      <c r="G189" s="37" t="str">
        <f t="shared" si="8"/>
        <v/>
      </c>
    </row>
    <row r="190" spans="2:7" x14ac:dyDescent="0.45">
      <c r="B190" s="32"/>
      <c r="C190" s="32"/>
      <c r="D190" s="36"/>
      <c r="E190" s="32" t="str">
        <f t="shared" si="6"/>
        <v>.0</v>
      </c>
      <c r="F190" s="32" t="str">
        <f t="shared" si="7"/>
        <v>.0</v>
      </c>
      <c r="G190" s="37" t="str">
        <f t="shared" si="8"/>
        <v/>
      </c>
    </row>
    <row r="191" spans="2:7" x14ac:dyDescent="0.45">
      <c r="B191" s="32"/>
      <c r="C191" s="32"/>
      <c r="D191" s="36"/>
      <c r="E191" s="32" t="str">
        <f t="shared" si="6"/>
        <v>.0</v>
      </c>
      <c r="F191" s="32" t="str">
        <f t="shared" si="7"/>
        <v>.0</v>
      </c>
      <c r="G191" s="37" t="str">
        <f t="shared" si="8"/>
        <v/>
      </c>
    </row>
    <row r="192" spans="2:7" x14ac:dyDescent="0.45">
      <c r="B192" s="32"/>
      <c r="C192" s="32"/>
      <c r="D192" s="36"/>
      <c r="E192" s="32" t="str">
        <f t="shared" si="6"/>
        <v>.0</v>
      </c>
      <c r="F192" s="32" t="str">
        <f t="shared" si="7"/>
        <v>.0</v>
      </c>
      <c r="G192" s="37" t="str">
        <f t="shared" si="8"/>
        <v/>
      </c>
    </row>
    <row r="193" spans="2:7" x14ac:dyDescent="0.45">
      <c r="B193" s="32"/>
      <c r="C193" s="32"/>
      <c r="D193" s="36"/>
      <c r="E193" s="32" t="str">
        <f t="shared" si="6"/>
        <v>.0</v>
      </c>
      <c r="F193" s="32" t="str">
        <f t="shared" si="7"/>
        <v>.0</v>
      </c>
      <c r="G193" s="37" t="str">
        <f t="shared" si="8"/>
        <v/>
      </c>
    </row>
    <row r="194" spans="2:7" x14ac:dyDescent="0.45">
      <c r="B194" s="32"/>
      <c r="C194" s="32"/>
      <c r="D194" s="36"/>
      <c r="E194" s="32" t="str">
        <f t="shared" si="6"/>
        <v>.0</v>
      </c>
      <c r="F194" s="32" t="str">
        <f t="shared" si="7"/>
        <v>.0</v>
      </c>
      <c r="G194" s="37" t="str">
        <f t="shared" si="8"/>
        <v/>
      </c>
    </row>
    <row r="195" spans="2:7" x14ac:dyDescent="0.45">
      <c r="B195" s="32"/>
      <c r="C195" s="32"/>
      <c r="D195" s="36"/>
      <c r="E195" s="32" t="str">
        <f t="shared" si="6"/>
        <v>.0</v>
      </c>
      <c r="F195" s="32" t="str">
        <f t="shared" si="7"/>
        <v>.0</v>
      </c>
      <c r="G195" s="37" t="str">
        <f t="shared" si="8"/>
        <v/>
      </c>
    </row>
    <row r="196" spans="2:7" x14ac:dyDescent="0.45">
      <c r="B196" s="32"/>
      <c r="C196" s="32"/>
      <c r="D196" s="36"/>
      <c r="E196" s="32" t="str">
        <f t="shared" ref="E196:E259" si="9">MID(B196,3,2)&amp;"."&amp;IF(C196&lt;10,"0"&amp;C196,C196)</f>
        <v>.0</v>
      </c>
      <c r="F196" s="32" t="str">
        <f t="shared" ref="F196:F259" si="10">MID(B196,3,2)&amp;"."&amp;IF(C196&lt;10,"0"&amp;C196,C196)</f>
        <v>.0</v>
      </c>
      <c r="G196" s="37" t="str">
        <f t="shared" ref="G196:G259" si="11">TEXT(D196,"#,###,")</f>
        <v/>
      </c>
    </row>
    <row r="197" spans="2:7" x14ac:dyDescent="0.45">
      <c r="B197" s="32"/>
      <c r="C197" s="32"/>
      <c r="D197" s="36"/>
      <c r="E197" s="32" t="str">
        <f t="shared" si="9"/>
        <v>.0</v>
      </c>
      <c r="F197" s="32" t="str">
        <f t="shared" si="10"/>
        <v>.0</v>
      </c>
      <c r="G197" s="37" t="str">
        <f t="shared" si="11"/>
        <v/>
      </c>
    </row>
    <row r="198" spans="2:7" x14ac:dyDescent="0.45">
      <c r="B198" s="32"/>
      <c r="C198" s="32"/>
      <c r="D198" s="36"/>
      <c r="E198" s="32" t="str">
        <f t="shared" si="9"/>
        <v>.0</v>
      </c>
      <c r="F198" s="32" t="str">
        <f t="shared" si="10"/>
        <v>.0</v>
      </c>
      <c r="G198" s="37" t="str">
        <f t="shared" si="11"/>
        <v/>
      </c>
    </row>
    <row r="199" spans="2:7" x14ac:dyDescent="0.45">
      <c r="B199" s="32"/>
      <c r="C199" s="32"/>
      <c r="D199" s="36"/>
      <c r="E199" s="32" t="str">
        <f t="shared" si="9"/>
        <v>.0</v>
      </c>
      <c r="F199" s="32" t="str">
        <f t="shared" si="10"/>
        <v>.0</v>
      </c>
      <c r="G199" s="37" t="str">
        <f t="shared" si="11"/>
        <v/>
      </c>
    </row>
    <row r="200" spans="2:7" x14ac:dyDescent="0.45">
      <c r="B200" s="32"/>
      <c r="C200" s="32"/>
      <c r="D200" s="36"/>
      <c r="E200" s="32" t="str">
        <f t="shared" si="9"/>
        <v>.0</v>
      </c>
      <c r="F200" s="32" t="str">
        <f t="shared" si="10"/>
        <v>.0</v>
      </c>
      <c r="G200" s="37" t="str">
        <f t="shared" si="11"/>
        <v/>
      </c>
    </row>
    <row r="201" spans="2:7" x14ac:dyDescent="0.45">
      <c r="B201" s="32"/>
      <c r="C201" s="32"/>
      <c r="D201" s="36"/>
      <c r="E201" s="32" t="str">
        <f t="shared" si="9"/>
        <v>.0</v>
      </c>
      <c r="F201" s="32" t="str">
        <f t="shared" si="10"/>
        <v>.0</v>
      </c>
      <c r="G201" s="37" t="str">
        <f t="shared" si="11"/>
        <v/>
      </c>
    </row>
    <row r="202" spans="2:7" x14ac:dyDescent="0.45">
      <c r="B202" s="32"/>
      <c r="C202" s="32"/>
      <c r="D202" s="36"/>
      <c r="E202" s="32" t="str">
        <f t="shared" si="9"/>
        <v>.0</v>
      </c>
      <c r="F202" s="32" t="str">
        <f t="shared" si="10"/>
        <v>.0</v>
      </c>
      <c r="G202" s="37" t="str">
        <f t="shared" si="11"/>
        <v/>
      </c>
    </row>
    <row r="203" spans="2:7" x14ac:dyDescent="0.45">
      <c r="B203" s="32"/>
      <c r="C203" s="32"/>
      <c r="D203" s="36"/>
      <c r="E203" s="32" t="str">
        <f t="shared" si="9"/>
        <v>.0</v>
      </c>
      <c r="F203" s="32" t="str">
        <f t="shared" si="10"/>
        <v>.0</v>
      </c>
      <c r="G203" s="37" t="str">
        <f t="shared" si="11"/>
        <v/>
      </c>
    </row>
    <row r="204" spans="2:7" x14ac:dyDescent="0.45">
      <c r="B204" s="32"/>
      <c r="C204" s="32"/>
      <c r="D204" s="36"/>
      <c r="E204" s="32" t="str">
        <f t="shared" si="9"/>
        <v>.0</v>
      </c>
      <c r="F204" s="32" t="str">
        <f t="shared" si="10"/>
        <v>.0</v>
      </c>
      <c r="G204" s="37" t="str">
        <f t="shared" si="11"/>
        <v/>
      </c>
    </row>
    <row r="205" spans="2:7" x14ac:dyDescent="0.45">
      <c r="B205" s="32"/>
      <c r="C205" s="32"/>
      <c r="D205" s="36"/>
      <c r="E205" s="32" t="str">
        <f t="shared" si="9"/>
        <v>.0</v>
      </c>
      <c r="F205" s="32" t="str">
        <f t="shared" si="10"/>
        <v>.0</v>
      </c>
      <c r="G205" s="37" t="str">
        <f t="shared" si="11"/>
        <v/>
      </c>
    </row>
    <row r="206" spans="2:7" x14ac:dyDescent="0.45">
      <c r="B206" s="32"/>
      <c r="C206" s="32"/>
      <c r="D206" s="36"/>
      <c r="E206" s="32" t="str">
        <f t="shared" si="9"/>
        <v>.0</v>
      </c>
      <c r="F206" s="32" t="str">
        <f t="shared" si="10"/>
        <v>.0</v>
      </c>
      <c r="G206" s="37" t="str">
        <f t="shared" si="11"/>
        <v/>
      </c>
    </row>
    <row r="207" spans="2:7" x14ac:dyDescent="0.45">
      <c r="B207" s="32"/>
      <c r="C207" s="32"/>
      <c r="D207" s="36"/>
      <c r="E207" s="32" t="str">
        <f t="shared" si="9"/>
        <v>.0</v>
      </c>
      <c r="F207" s="32" t="str">
        <f t="shared" si="10"/>
        <v>.0</v>
      </c>
      <c r="G207" s="37" t="str">
        <f t="shared" si="11"/>
        <v/>
      </c>
    </row>
    <row r="208" spans="2:7" x14ac:dyDescent="0.45">
      <c r="B208" s="32"/>
      <c r="C208" s="32"/>
      <c r="D208" s="36"/>
      <c r="E208" s="32" t="str">
        <f t="shared" si="9"/>
        <v>.0</v>
      </c>
      <c r="F208" s="32" t="str">
        <f t="shared" si="10"/>
        <v>.0</v>
      </c>
      <c r="G208" s="37" t="str">
        <f t="shared" si="11"/>
        <v/>
      </c>
    </row>
    <row r="209" spans="2:7" x14ac:dyDescent="0.45">
      <c r="B209" s="32"/>
      <c r="C209" s="32"/>
      <c r="D209" s="36"/>
      <c r="E209" s="32" t="str">
        <f t="shared" si="9"/>
        <v>.0</v>
      </c>
      <c r="F209" s="32" t="str">
        <f t="shared" si="10"/>
        <v>.0</v>
      </c>
      <c r="G209" s="37" t="str">
        <f t="shared" si="11"/>
        <v/>
      </c>
    </row>
    <row r="210" spans="2:7" x14ac:dyDescent="0.45">
      <c r="B210" s="32"/>
      <c r="C210" s="32"/>
      <c r="D210" s="36"/>
      <c r="E210" s="32" t="str">
        <f t="shared" si="9"/>
        <v>.0</v>
      </c>
      <c r="F210" s="32" t="str">
        <f t="shared" si="10"/>
        <v>.0</v>
      </c>
      <c r="G210" s="37" t="str">
        <f t="shared" si="11"/>
        <v/>
      </c>
    </row>
    <row r="211" spans="2:7" x14ac:dyDescent="0.45">
      <c r="B211" s="32"/>
      <c r="C211" s="32"/>
      <c r="D211" s="36"/>
      <c r="E211" s="32" t="str">
        <f t="shared" si="9"/>
        <v>.0</v>
      </c>
      <c r="F211" s="32" t="str">
        <f t="shared" si="10"/>
        <v>.0</v>
      </c>
      <c r="G211" s="37" t="str">
        <f t="shared" si="11"/>
        <v/>
      </c>
    </row>
    <row r="212" spans="2:7" x14ac:dyDescent="0.45">
      <c r="B212" s="32"/>
      <c r="C212" s="32"/>
      <c r="D212" s="36"/>
      <c r="E212" s="32" t="str">
        <f t="shared" si="9"/>
        <v>.0</v>
      </c>
      <c r="F212" s="32" t="str">
        <f t="shared" si="10"/>
        <v>.0</v>
      </c>
      <c r="G212" s="37" t="str">
        <f t="shared" si="11"/>
        <v/>
      </c>
    </row>
    <row r="213" spans="2:7" x14ac:dyDescent="0.45">
      <c r="B213" s="32"/>
      <c r="C213" s="32"/>
      <c r="D213" s="36"/>
      <c r="E213" s="32" t="str">
        <f t="shared" si="9"/>
        <v>.0</v>
      </c>
      <c r="F213" s="32" t="str">
        <f t="shared" si="10"/>
        <v>.0</v>
      </c>
      <c r="G213" s="37" t="str">
        <f t="shared" si="11"/>
        <v/>
      </c>
    </row>
    <row r="214" spans="2:7" x14ac:dyDescent="0.45">
      <c r="B214" s="32"/>
      <c r="C214" s="32"/>
      <c r="D214" s="36"/>
      <c r="E214" s="32" t="str">
        <f t="shared" si="9"/>
        <v>.0</v>
      </c>
      <c r="F214" s="32" t="str">
        <f t="shared" si="10"/>
        <v>.0</v>
      </c>
      <c r="G214" s="37" t="str">
        <f t="shared" si="11"/>
        <v/>
      </c>
    </row>
    <row r="215" spans="2:7" x14ac:dyDescent="0.45">
      <c r="B215" s="32"/>
      <c r="C215" s="32"/>
      <c r="D215" s="36"/>
      <c r="E215" s="32" t="str">
        <f t="shared" si="9"/>
        <v>.0</v>
      </c>
      <c r="F215" s="32" t="str">
        <f t="shared" si="10"/>
        <v>.0</v>
      </c>
      <c r="G215" s="37" t="str">
        <f t="shared" si="11"/>
        <v/>
      </c>
    </row>
    <row r="216" spans="2:7" x14ac:dyDescent="0.45">
      <c r="B216" s="32"/>
      <c r="C216" s="32"/>
      <c r="D216" s="36"/>
      <c r="E216" s="32" t="str">
        <f t="shared" si="9"/>
        <v>.0</v>
      </c>
      <c r="F216" s="32" t="str">
        <f t="shared" si="10"/>
        <v>.0</v>
      </c>
      <c r="G216" s="37" t="str">
        <f t="shared" si="11"/>
        <v/>
      </c>
    </row>
    <row r="217" spans="2:7" x14ac:dyDescent="0.45">
      <c r="B217" s="32"/>
      <c r="C217" s="32"/>
      <c r="D217" s="36"/>
      <c r="E217" s="32" t="str">
        <f t="shared" si="9"/>
        <v>.0</v>
      </c>
      <c r="F217" s="32" t="str">
        <f t="shared" si="10"/>
        <v>.0</v>
      </c>
      <c r="G217" s="37" t="str">
        <f t="shared" si="11"/>
        <v/>
      </c>
    </row>
    <row r="218" spans="2:7" x14ac:dyDescent="0.45">
      <c r="B218" s="32"/>
      <c r="C218" s="32"/>
      <c r="D218" s="36"/>
      <c r="E218" s="32" t="str">
        <f t="shared" si="9"/>
        <v>.0</v>
      </c>
      <c r="F218" s="32" t="str">
        <f t="shared" si="10"/>
        <v>.0</v>
      </c>
      <c r="G218" s="37" t="str">
        <f t="shared" si="11"/>
        <v/>
      </c>
    </row>
    <row r="219" spans="2:7" x14ac:dyDescent="0.45">
      <c r="B219" s="32"/>
      <c r="C219" s="32"/>
      <c r="D219" s="36"/>
      <c r="E219" s="32" t="str">
        <f t="shared" si="9"/>
        <v>.0</v>
      </c>
      <c r="F219" s="32" t="str">
        <f t="shared" si="10"/>
        <v>.0</v>
      </c>
      <c r="G219" s="37" t="str">
        <f t="shared" si="11"/>
        <v/>
      </c>
    </row>
    <row r="220" spans="2:7" x14ac:dyDescent="0.45">
      <c r="B220" s="32"/>
      <c r="C220" s="32"/>
      <c r="D220" s="36"/>
      <c r="E220" s="32" t="str">
        <f t="shared" si="9"/>
        <v>.0</v>
      </c>
      <c r="F220" s="32" t="str">
        <f t="shared" si="10"/>
        <v>.0</v>
      </c>
      <c r="G220" s="37" t="str">
        <f t="shared" si="11"/>
        <v/>
      </c>
    </row>
    <row r="221" spans="2:7" x14ac:dyDescent="0.45">
      <c r="B221" s="32"/>
      <c r="C221" s="32"/>
      <c r="D221" s="36"/>
      <c r="E221" s="32" t="str">
        <f t="shared" si="9"/>
        <v>.0</v>
      </c>
      <c r="F221" s="32" t="str">
        <f t="shared" si="10"/>
        <v>.0</v>
      </c>
      <c r="G221" s="37" t="str">
        <f t="shared" si="11"/>
        <v/>
      </c>
    </row>
    <row r="222" spans="2:7" x14ac:dyDescent="0.45">
      <c r="B222" s="32"/>
      <c r="C222" s="32"/>
      <c r="D222" s="36"/>
      <c r="E222" s="32" t="str">
        <f t="shared" si="9"/>
        <v>.0</v>
      </c>
      <c r="F222" s="32" t="str">
        <f t="shared" si="10"/>
        <v>.0</v>
      </c>
      <c r="G222" s="37" t="str">
        <f t="shared" si="11"/>
        <v/>
      </c>
    </row>
    <row r="223" spans="2:7" x14ac:dyDescent="0.45">
      <c r="B223" s="32"/>
      <c r="C223" s="32"/>
      <c r="D223" s="36"/>
      <c r="E223" s="32" t="str">
        <f t="shared" si="9"/>
        <v>.0</v>
      </c>
      <c r="F223" s="32" t="str">
        <f t="shared" si="10"/>
        <v>.0</v>
      </c>
      <c r="G223" s="37" t="str">
        <f t="shared" si="11"/>
        <v/>
      </c>
    </row>
    <row r="224" spans="2:7" x14ac:dyDescent="0.45">
      <c r="B224" s="32"/>
      <c r="C224" s="32"/>
      <c r="D224" s="36"/>
      <c r="E224" s="32" t="str">
        <f t="shared" si="9"/>
        <v>.0</v>
      </c>
      <c r="F224" s="32" t="str">
        <f t="shared" si="10"/>
        <v>.0</v>
      </c>
      <c r="G224" s="37" t="str">
        <f t="shared" si="11"/>
        <v/>
      </c>
    </row>
    <row r="225" spans="2:7" x14ac:dyDescent="0.45">
      <c r="B225" s="32"/>
      <c r="C225" s="32"/>
      <c r="D225" s="36"/>
      <c r="E225" s="32" t="str">
        <f t="shared" si="9"/>
        <v>.0</v>
      </c>
      <c r="F225" s="32" t="str">
        <f t="shared" si="10"/>
        <v>.0</v>
      </c>
      <c r="G225" s="37" t="str">
        <f t="shared" si="11"/>
        <v/>
      </c>
    </row>
    <row r="226" spans="2:7" x14ac:dyDescent="0.45">
      <c r="B226" s="32"/>
      <c r="C226" s="32"/>
      <c r="D226" s="36"/>
      <c r="E226" s="32" t="str">
        <f t="shared" si="9"/>
        <v>.0</v>
      </c>
      <c r="F226" s="32" t="str">
        <f t="shared" si="10"/>
        <v>.0</v>
      </c>
      <c r="G226" s="37" t="str">
        <f t="shared" si="11"/>
        <v/>
      </c>
    </row>
    <row r="227" spans="2:7" x14ac:dyDescent="0.45">
      <c r="B227" s="32"/>
      <c r="C227" s="32"/>
      <c r="D227" s="36"/>
      <c r="E227" s="32" t="str">
        <f t="shared" si="9"/>
        <v>.0</v>
      </c>
      <c r="F227" s="32" t="str">
        <f t="shared" si="10"/>
        <v>.0</v>
      </c>
      <c r="G227" s="37" t="str">
        <f t="shared" si="11"/>
        <v/>
      </c>
    </row>
    <row r="228" spans="2:7" x14ac:dyDescent="0.45">
      <c r="B228" s="32"/>
      <c r="C228" s="32"/>
      <c r="D228" s="36"/>
      <c r="E228" s="32" t="str">
        <f t="shared" si="9"/>
        <v>.0</v>
      </c>
      <c r="F228" s="32" t="str">
        <f t="shared" si="10"/>
        <v>.0</v>
      </c>
      <c r="G228" s="37" t="str">
        <f t="shared" si="11"/>
        <v/>
      </c>
    </row>
    <row r="229" spans="2:7" x14ac:dyDescent="0.45">
      <c r="B229" s="32"/>
      <c r="C229" s="32"/>
      <c r="D229" s="36"/>
      <c r="E229" s="32" t="str">
        <f t="shared" si="9"/>
        <v>.0</v>
      </c>
      <c r="F229" s="32" t="str">
        <f t="shared" si="10"/>
        <v>.0</v>
      </c>
      <c r="G229" s="37" t="str">
        <f t="shared" si="11"/>
        <v/>
      </c>
    </row>
    <row r="230" spans="2:7" x14ac:dyDescent="0.45">
      <c r="B230" s="32"/>
      <c r="C230" s="32"/>
      <c r="D230" s="36"/>
      <c r="E230" s="32" t="str">
        <f t="shared" si="9"/>
        <v>.0</v>
      </c>
      <c r="F230" s="32" t="str">
        <f t="shared" si="10"/>
        <v>.0</v>
      </c>
      <c r="G230" s="37" t="str">
        <f t="shared" si="11"/>
        <v/>
      </c>
    </row>
    <row r="231" spans="2:7" x14ac:dyDescent="0.45">
      <c r="B231" s="32"/>
      <c r="C231" s="32"/>
      <c r="D231" s="36"/>
      <c r="E231" s="32" t="str">
        <f t="shared" si="9"/>
        <v>.0</v>
      </c>
      <c r="F231" s="32" t="str">
        <f t="shared" si="10"/>
        <v>.0</v>
      </c>
      <c r="G231" s="37" t="str">
        <f t="shared" si="11"/>
        <v/>
      </c>
    </row>
    <row r="232" spans="2:7" x14ac:dyDescent="0.45">
      <c r="B232" s="32"/>
      <c r="C232" s="32"/>
      <c r="D232" s="36"/>
      <c r="E232" s="32" t="str">
        <f t="shared" si="9"/>
        <v>.0</v>
      </c>
      <c r="F232" s="32" t="str">
        <f t="shared" si="10"/>
        <v>.0</v>
      </c>
      <c r="G232" s="37" t="str">
        <f t="shared" si="11"/>
        <v/>
      </c>
    </row>
    <row r="233" spans="2:7" x14ac:dyDescent="0.45">
      <c r="B233" s="32"/>
      <c r="C233" s="32"/>
      <c r="D233" s="36"/>
      <c r="E233" s="32" t="str">
        <f t="shared" si="9"/>
        <v>.0</v>
      </c>
      <c r="F233" s="32" t="str">
        <f t="shared" si="10"/>
        <v>.0</v>
      </c>
      <c r="G233" s="37" t="str">
        <f t="shared" si="11"/>
        <v/>
      </c>
    </row>
    <row r="234" spans="2:7" x14ac:dyDescent="0.45">
      <c r="B234" s="32"/>
      <c r="C234" s="32"/>
      <c r="D234" s="36"/>
      <c r="E234" s="32" t="str">
        <f t="shared" si="9"/>
        <v>.0</v>
      </c>
      <c r="F234" s="32" t="str">
        <f t="shared" si="10"/>
        <v>.0</v>
      </c>
      <c r="G234" s="37" t="str">
        <f t="shared" si="11"/>
        <v/>
      </c>
    </row>
    <row r="235" spans="2:7" x14ac:dyDescent="0.45">
      <c r="B235" s="32"/>
      <c r="C235" s="32"/>
      <c r="D235" s="36"/>
      <c r="E235" s="32" t="str">
        <f t="shared" si="9"/>
        <v>.0</v>
      </c>
      <c r="F235" s="32" t="str">
        <f t="shared" si="10"/>
        <v>.0</v>
      </c>
      <c r="G235" s="37" t="str">
        <f t="shared" si="11"/>
        <v/>
      </c>
    </row>
    <row r="236" spans="2:7" x14ac:dyDescent="0.45">
      <c r="B236" s="32"/>
      <c r="C236" s="32"/>
      <c r="D236" s="36"/>
      <c r="E236" s="32" t="str">
        <f t="shared" si="9"/>
        <v>.0</v>
      </c>
      <c r="F236" s="32" t="str">
        <f t="shared" si="10"/>
        <v>.0</v>
      </c>
      <c r="G236" s="37" t="str">
        <f t="shared" si="11"/>
        <v/>
      </c>
    </row>
    <row r="237" spans="2:7" x14ac:dyDescent="0.45">
      <c r="B237" s="32"/>
      <c r="C237" s="32"/>
      <c r="D237" s="36"/>
      <c r="E237" s="32" t="str">
        <f t="shared" si="9"/>
        <v>.0</v>
      </c>
      <c r="F237" s="32" t="str">
        <f t="shared" si="10"/>
        <v>.0</v>
      </c>
      <c r="G237" s="37" t="str">
        <f t="shared" si="11"/>
        <v/>
      </c>
    </row>
    <row r="238" spans="2:7" x14ac:dyDescent="0.45">
      <c r="B238" s="32"/>
      <c r="C238" s="32"/>
      <c r="D238" s="36"/>
      <c r="E238" s="32" t="str">
        <f t="shared" si="9"/>
        <v>.0</v>
      </c>
      <c r="F238" s="32" t="str">
        <f t="shared" si="10"/>
        <v>.0</v>
      </c>
      <c r="G238" s="37" t="str">
        <f t="shared" si="11"/>
        <v/>
      </c>
    </row>
    <row r="239" spans="2:7" x14ac:dyDescent="0.45">
      <c r="B239" s="32"/>
      <c r="C239" s="32"/>
      <c r="D239" s="36"/>
      <c r="E239" s="32" t="str">
        <f t="shared" si="9"/>
        <v>.0</v>
      </c>
      <c r="F239" s="32" t="str">
        <f t="shared" si="10"/>
        <v>.0</v>
      </c>
      <c r="G239" s="37" t="str">
        <f t="shared" si="11"/>
        <v/>
      </c>
    </row>
    <row r="240" spans="2:7" x14ac:dyDescent="0.45">
      <c r="B240" s="32"/>
      <c r="C240" s="32"/>
      <c r="D240" s="36"/>
      <c r="E240" s="32" t="str">
        <f t="shared" si="9"/>
        <v>.0</v>
      </c>
      <c r="F240" s="32" t="str">
        <f t="shared" si="10"/>
        <v>.0</v>
      </c>
      <c r="G240" s="37" t="str">
        <f t="shared" si="11"/>
        <v/>
      </c>
    </row>
    <row r="241" spans="2:7" x14ac:dyDescent="0.45">
      <c r="B241" s="32"/>
      <c r="C241" s="32"/>
      <c r="D241" s="36"/>
      <c r="E241" s="32" t="str">
        <f t="shared" si="9"/>
        <v>.0</v>
      </c>
      <c r="F241" s="32" t="str">
        <f t="shared" si="10"/>
        <v>.0</v>
      </c>
      <c r="G241" s="37" t="str">
        <f t="shared" si="11"/>
        <v/>
      </c>
    </row>
    <row r="242" spans="2:7" x14ac:dyDescent="0.45">
      <c r="B242" s="32"/>
      <c r="C242" s="32"/>
      <c r="D242" s="36"/>
      <c r="E242" s="32" t="str">
        <f t="shared" si="9"/>
        <v>.0</v>
      </c>
      <c r="F242" s="32" t="str">
        <f t="shared" si="10"/>
        <v>.0</v>
      </c>
      <c r="G242" s="37" t="str">
        <f t="shared" si="11"/>
        <v/>
      </c>
    </row>
    <row r="243" spans="2:7" x14ac:dyDescent="0.45">
      <c r="B243" s="32"/>
      <c r="C243" s="32"/>
      <c r="D243" s="36"/>
      <c r="E243" s="32" t="str">
        <f t="shared" si="9"/>
        <v>.0</v>
      </c>
      <c r="F243" s="32" t="str">
        <f t="shared" si="10"/>
        <v>.0</v>
      </c>
      <c r="G243" s="37" t="str">
        <f t="shared" si="11"/>
        <v/>
      </c>
    </row>
    <row r="244" spans="2:7" x14ac:dyDescent="0.45">
      <c r="B244" s="32"/>
      <c r="C244" s="32"/>
      <c r="D244" s="36"/>
      <c r="E244" s="32" t="str">
        <f t="shared" si="9"/>
        <v>.0</v>
      </c>
      <c r="F244" s="32" t="str">
        <f t="shared" si="10"/>
        <v>.0</v>
      </c>
      <c r="G244" s="37" t="str">
        <f t="shared" si="11"/>
        <v/>
      </c>
    </row>
    <row r="245" spans="2:7" x14ac:dyDescent="0.45">
      <c r="B245" s="32"/>
      <c r="C245" s="32"/>
      <c r="D245" s="36"/>
      <c r="E245" s="32" t="str">
        <f t="shared" si="9"/>
        <v>.0</v>
      </c>
      <c r="F245" s="32" t="str">
        <f t="shared" si="10"/>
        <v>.0</v>
      </c>
      <c r="G245" s="37" t="str">
        <f t="shared" si="11"/>
        <v/>
      </c>
    </row>
    <row r="246" spans="2:7" x14ac:dyDescent="0.45">
      <c r="B246" s="32"/>
      <c r="C246" s="32"/>
      <c r="D246" s="36"/>
      <c r="E246" s="32" t="str">
        <f t="shared" si="9"/>
        <v>.0</v>
      </c>
      <c r="F246" s="32" t="str">
        <f t="shared" si="10"/>
        <v>.0</v>
      </c>
      <c r="G246" s="37" t="str">
        <f t="shared" si="11"/>
        <v/>
      </c>
    </row>
    <row r="247" spans="2:7" x14ac:dyDescent="0.45">
      <c r="B247" s="32"/>
      <c r="C247" s="32"/>
      <c r="D247" s="36"/>
      <c r="E247" s="32" t="str">
        <f t="shared" si="9"/>
        <v>.0</v>
      </c>
      <c r="F247" s="32" t="str">
        <f t="shared" si="10"/>
        <v>.0</v>
      </c>
      <c r="G247" s="37" t="str">
        <f t="shared" si="11"/>
        <v/>
      </c>
    </row>
    <row r="248" spans="2:7" x14ac:dyDescent="0.45">
      <c r="B248" s="32"/>
      <c r="C248" s="32"/>
      <c r="D248" s="36"/>
      <c r="E248" s="32" t="str">
        <f t="shared" si="9"/>
        <v>.0</v>
      </c>
      <c r="F248" s="32" t="str">
        <f t="shared" si="10"/>
        <v>.0</v>
      </c>
      <c r="G248" s="37" t="str">
        <f t="shared" si="11"/>
        <v/>
      </c>
    </row>
    <row r="249" spans="2:7" x14ac:dyDescent="0.45">
      <c r="B249" s="32"/>
      <c r="C249" s="32"/>
      <c r="D249" s="36"/>
      <c r="E249" s="32" t="str">
        <f t="shared" si="9"/>
        <v>.0</v>
      </c>
      <c r="F249" s="32" t="str">
        <f t="shared" si="10"/>
        <v>.0</v>
      </c>
      <c r="G249" s="37" t="str">
        <f t="shared" si="11"/>
        <v/>
      </c>
    </row>
    <row r="250" spans="2:7" x14ac:dyDescent="0.45">
      <c r="B250" s="32"/>
      <c r="C250" s="32"/>
      <c r="D250" s="36"/>
      <c r="E250" s="32" t="str">
        <f t="shared" si="9"/>
        <v>.0</v>
      </c>
      <c r="F250" s="32" t="str">
        <f t="shared" si="10"/>
        <v>.0</v>
      </c>
      <c r="G250" s="37" t="str">
        <f t="shared" si="11"/>
        <v/>
      </c>
    </row>
    <row r="251" spans="2:7" x14ac:dyDescent="0.45">
      <c r="B251" s="32"/>
      <c r="C251" s="32"/>
      <c r="D251" s="36"/>
      <c r="E251" s="32" t="str">
        <f t="shared" si="9"/>
        <v>.0</v>
      </c>
      <c r="F251" s="32" t="str">
        <f t="shared" si="10"/>
        <v>.0</v>
      </c>
      <c r="G251" s="37" t="str">
        <f t="shared" si="11"/>
        <v/>
      </c>
    </row>
    <row r="252" spans="2:7" x14ac:dyDescent="0.45">
      <c r="B252" s="32"/>
      <c r="C252" s="32"/>
      <c r="D252" s="36"/>
      <c r="E252" s="32" t="str">
        <f t="shared" si="9"/>
        <v>.0</v>
      </c>
      <c r="F252" s="32" t="str">
        <f t="shared" si="10"/>
        <v>.0</v>
      </c>
      <c r="G252" s="37" t="str">
        <f t="shared" si="11"/>
        <v/>
      </c>
    </row>
    <row r="253" spans="2:7" x14ac:dyDescent="0.45">
      <c r="B253" s="32"/>
      <c r="C253" s="32"/>
      <c r="D253" s="36"/>
      <c r="E253" s="32" t="str">
        <f t="shared" si="9"/>
        <v>.0</v>
      </c>
      <c r="F253" s="32" t="str">
        <f t="shared" si="10"/>
        <v>.0</v>
      </c>
      <c r="G253" s="37" t="str">
        <f t="shared" si="11"/>
        <v/>
      </c>
    </row>
    <row r="254" spans="2:7" x14ac:dyDescent="0.45">
      <c r="B254" s="32"/>
      <c r="C254" s="32"/>
      <c r="D254" s="36"/>
      <c r="E254" s="32" t="str">
        <f t="shared" si="9"/>
        <v>.0</v>
      </c>
      <c r="F254" s="32" t="str">
        <f t="shared" si="10"/>
        <v>.0</v>
      </c>
      <c r="G254" s="37" t="str">
        <f t="shared" si="11"/>
        <v/>
      </c>
    </row>
    <row r="255" spans="2:7" x14ac:dyDescent="0.45">
      <c r="B255" s="32"/>
      <c r="C255" s="32"/>
      <c r="D255" s="36"/>
      <c r="E255" s="32" t="str">
        <f t="shared" si="9"/>
        <v>.0</v>
      </c>
      <c r="F255" s="32" t="str">
        <f t="shared" si="10"/>
        <v>.0</v>
      </c>
      <c r="G255" s="37" t="str">
        <f t="shared" si="11"/>
        <v/>
      </c>
    </row>
    <row r="256" spans="2:7" x14ac:dyDescent="0.45">
      <c r="B256" s="32"/>
      <c r="C256" s="32"/>
      <c r="D256" s="36"/>
      <c r="E256" s="32" t="str">
        <f t="shared" si="9"/>
        <v>.0</v>
      </c>
      <c r="F256" s="32" t="str">
        <f t="shared" si="10"/>
        <v>.0</v>
      </c>
      <c r="G256" s="37" t="str">
        <f t="shared" si="11"/>
        <v/>
      </c>
    </row>
    <row r="257" spans="2:7" x14ac:dyDescent="0.45">
      <c r="B257" s="32"/>
      <c r="C257" s="32"/>
      <c r="D257" s="36"/>
      <c r="E257" s="32" t="str">
        <f t="shared" si="9"/>
        <v>.0</v>
      </c>
      <c r="F257" s="32" t="str">
        <f t="shared" si="10"/>
        <v>.0</v>
      </c>
      <c r="G257" s="37" t="str">
        <f t="shared" si="11"/>
        <v/>
      </c>
    </row>
    <row r="258" spans="2:7" x14ac:dyDescent="0.45">
      <c r="B258" s="32"/>
      <c r="C258" s="32"/>
      <c r="D258" s="36"/>
      <c r="E258" s="32" t="str">
        <f t="shared" si="9"/>
        <v>.0</v>
      </c>
      <c r="F258" s="32" t="str">
        <f t="shared" si="10"/>
        <v>.0</v>
      </c>
      <c r="G258" s="37" t="str">
        <f t="shared" si="11"/>
        <v/>
      </c>
    </row>
    <row r="259" spans="2:7" x14ac:dyDescent="0.45">
      <c r="B259" s="32"/>
      <c r="C259" s="32"/>
      <c r="D259" s="36"/>
      <c r="E259" s="32" t="str">
        <f t="shared" si="9"/>
        <v>.0</v>
      </c>
      <c r="F259" s="32" t="str">
        <f t="shared" si="10"/>
        <v>.0</v>
      </c>
      <c r="G259" s="37" t="str">
        <f t="shared" si="11"/>
        <v/>
      </c>
    </row>
    <row r="260" spans="2:7" x14ac:dyDescent="0.45">
      <c r="B260" s="32"/>
      <c r="C260" s="32"/>
      <c r="D260" s="36"/>
      <c r="E260" s="32" t="str">
        <f t="shared" ref="E260:E285" si="12">MID(B260,3,2)&amp;"."&amp;IF(C260&lt;10,"0"&amp;C260,C260)</f>
        <v>.0</v>
      </c>
      <c r="F260" s="32" t="str">
        <f t="shared" ref="F260:F285" si="13">MID(B260,3,2)&amp;"."&amp;IF(C260&lt;10,"0"&amp;C260,C260)</f>
        <v>.0</v>
      </c>
      <c r="G260" s="37" t="str">
        <f t="shared" ref="G260:G285" si="14">TEXT(D260,"#,###,")</f>
        <v/>
      </c>
    </row>
    <row r="261" spans="2:7" x14ac:dyDescent="0.45">
      <c r="B261" s="32"/>
      <c r="C261" s="32"/>
      <c r="D261" s="36"/>
      <c r="E261" s="32" t="str">
        <f t="shared" si="12"/>
        <v>.0</v>
      </c>
      <c r="F261" s="32" t="str">
        <f t="shared" si="13"/>
        <v>.0</v>
      </c>
      <c r="G261" s="37" t="str">
        <f t="shared" si="14"/>
        <v/>
      </c>
    </row>
    <row r="262" spans="2:7" x14ac:dyDescent="0.45">
      <c r="B262" s="32"/>
      <c r="C262" s="32"/>
      <c r="D262" s="36"/>
      <c r="E262" s="32" t="str">
        <f t="shared" si="12"/>
        <v>.0</v>
      </c>
      <c r="F262" s="32" t="str">
        <f t="shared" si="13"/>
        <v>.0</v>
      </c>
      <c r="G262" s="37" t="str">
        <f t="shared" si="14"/>
        <v/>
      </c>
    </row>
    <row r="263" spans="2:7" x14ac:dyDescent="0.45">
      <c r="B263" s="32"/>
      <c r="C263" s="32"/>
      <c r="D263" s="36"/>
      <c r="E263" s="32" t="str">
        <f t="shared" si="12"/>
        <v>.0</v>
      </c>
      <c r="F263" s="32" t="str">
        <f t="shared" si="13"/>
        <v>.0</v>
      </c>
      <c r="G263" s="37" t="str">
        <f t="shared" si="14"/>
        <v/>
      </c>
    </row>
    <row r="264" spans="2:7" x14ac:dyDescent="0.45">
      <c r="B264" s="32"/>
      <c r="C264" s="32"/>
      <c r="D264" s="36"/>
      <c r="E264" s="32" t="str">
        <f t="shared" si="12"/>
        <v>.0</v>
      </c>
      <c r="F264" s="32" t="str">
        <f t="shared" si="13"/>
        <v>.0</v>
      </c>
      <c r="G264" s="37" t="str">
        <f t="shared" si="14"/>
        <v/>
      </c>
    </row>
    <row r="265" spans="2:7" x14ac:dyDescent="0.45">
      <c r="B265" s="32"/>
      <c r="C265" s="32"/>
      <c r="D265" s="36"/>
      <c r="E265" s="32" t="str">
        <f t="shared" si="12"/>
        <v>.0</v>
      </c>
      <c r="F265" s="32" t="str">
        <f t="shared" si="13"/>
        <v>.0</v>
      </c>
      <c r="G265" s="37" t="str">
        <f t="shared" si="14"/>
        <v/>
      </c>
    </row>
    <row r="266" spans="2:7" x14ac:dyDescent="0.45">
      <c r="B266" s="32"/>
      <c r="C266" s="32"/>
      <c r="D266" s="36"/>
      <c r="E266" s="32" t="str">
        <f t="shared" si="12"/>
        <v>.0</v>
      </c>
      <c r="F266" s="32" t="str">
        <f t="shared" si="13"/>
        <v>.0</v>
      </c>
      <c r="G266" s="37" t="str">
        <f t="shared" si="14"/>
        <v/>
      </c>
    </row>
    <row r="267" spans="2:7" x14ac:dyDescent="0.45">
      <c r="B267" s="32"/>
      <c r="C267" s="32"/>
      <c r="D267" s="36"/>
      <c r="E267" s="32" t="str">
        <f t="shared" si="12"/>
        <v>.0</v>
      </c>
      <c r="F267" s="32" t="str">
        <f t="shared" si="13"/>
        <v>.0</v>
      </c>
      <c r="G267" s="37" t="str">
        <f t="shared" si="14"/>
        <v/>
      </c>
    </row>
    <row r="268" spans="2:7" x14ac:dyDescent="0.45">
      <c r="B268" s="32"/>
      <c r="C268" s="32"/>
      <c r="D268" s="36"/>
      <c r="E268" s="32" t="str">
        <f t="shared" si="12"/>
        <v>.0</v>
      </c>
      <c r="F268" s="32" t="str">
        <f t="shared" si="13"/>
        <v>.0</v>
      </c>
      <c r="G268" s="37" t="str">
        <f t="shared" si="14"/>
        <v/>
      </c>
    </row>
    <row r="269" spans="2:7" x14ac:dyDescent="0.45">
      <c r="B269" s="32"/>
      <c r="C269" s="32"/>
      <c r="D269" s="36"/>
      <c r="E269" s="32" t="str">
        <f t="shared" si="12"/>
        <v>.0</v>
      </c>
      <c r="F269" s="32" t="str">
        <f t="shared" si="13"/>
        <v>.0</v>
      </c>
      <c r="G269" s="37" t="str">
        <f t="shared" si="14"/>
        <v/>
      </c>
    </row>
    <row r="270" spans="2:7" x14ac:dyDescent="0.45">
      <c r="B270" s="32"/>
      <c r="C270" s="32"/>
      <c r="D270" s="36"/>
      <c r="E270" s="32" t="str">
        <f t="shared" si="12"/>
        <v>.0</v>
      </c>
      <c r="F270" s="32" t="str">
        <f t="shared" si="13"/>
        <v>.0</v>
      </c>
      <c r="G270" s="37" t="str">
        <f t="shared" si="14"/>
        <v/>
      </c>
    </row>
    <row r="271" spans="2:7" x14ac:dyDescent="0.45">
      <c r="B271" s="32"/>
      <c r="C271" s="32"/>
      <c r="D271" s="36"/>
      <c r="E271" s="32" t="str">
        <f t="shared" si="12"/>
        <v>.0</v>
      </c>
      <c r="F271" s="32" t="str">
        <f t="shared" si="13"/>
        <v>.0</v>
      </c>
      <c r="G271" s="37" t="str">
        <f t="shared" si="14"/>
        <v/>
      </c>
    </row>
    <row r="272" spans="2:7" x14ac:dyDescent="0.45">
      <c r="B272" s="32"/>
      <c r="C272" s="32"/>
      <c r="D272" s="36"/>
      <c r="E272" s="32" t="str">
        <f t="shared" si="12"/>
        <v>.0</v>
      </c>
      <c r="F272" s="32" t="str">
        <f t="shared" si="13"/>
        <v>.0</v>
      </c>
      <c r="G272" s="37" t="str">
        <f t="shared" si="14"/>
        <v/>
      </c>
    </row>
    <row r="273" spans="2:7" x14ac:dyDescent="0.45">
      <c r="B273" s="32"/>
      <c r="C273" s="32"/>
      <c r="D273" s="36"/>
      <c r="E273" s="32" t="str">
        <f t="shared" si="12"/>
        <v>.0</v>
      </c>
      <c r="F273" s="32" t="str">
        <f t="shared" si="13"/>
        <v>.0</v>
      </c>
      <c r="G273" s="37" t="str">
        <f t="shared" si="14"/>
        <v/>
      </c>
    </row>
    <row r="274" spans="2:7" x14ac:dyDescent="0.45">
      <c r="B274" s="32"/>
      <c r="C274" s="32"/>
      <c r="D274" s="36"/>
      <c r="E274" s="32" t="str">
        <f t="shared" si="12"/>
        <v>.0</v>
      </c>
      <c r="F274" s="32" t="str">
        <f t="shared" si="13"/>
        <v>.0</v>
      </c>
      <c r="G274" s="37" t="str">
        <f t="shared" si="14"/>
        <v/>
      </c>
    </row>
    <row r="275" spans="2:7" x14ac:dyDescent="0.45">
      <c r="B275" s="32"/>
      <c r="C275" s="32"/>
      <c r="D275" s="36"/>
      <c r="E275" s="32" t="str">
        <f t="shared" si="12"/>
        <v>.0</v>
      </c>
      <c r="F275" s="32" t="str">
        <f t="shared" si="13"/>
        <v>.0</v>
      </c>
      <c r="G275" s="37" t="str">
        <f t="shared" si="14"/>
        <v/>
      </c>
    </row>
    <row r="276" spans="2:7" x14ac:dyDescent="0.45">
      <c r="B276" s="32"/>
      <c r="C276" s="32"/>
      <c r="D276" s="36"/>
      <c r="E276" s="32" t="str">
        <f t="shared" si="12"/>
        <v>.0</v>
      </c>
      <c r="F276" s="32" t="str">
        <f t="shared" si="13"/>
        <v>.0</v>
      </c>
      <c r="G276" s="37" t="str">
        <f t="shared" si="14"/>
        <v/>
      </c>
    </row>
    <row r="277" spans="2:7" x14ac:dyDescent="0.45">
      <c r="B277" s="32"/>
      <c r="C277" s="32"/>
      <c r="D277" s="36"/>
      <c r="E277" s="32" t="str">
        <f t="shared" si="12"/>
        <v>.0</v>
      </c>
      <c r="F277" s="32" t="str">
        <f t="shared" si="13"/>
        <v>.0</v>
      </c>
      <c r="G277" s="37" t="str">
        <f t="shared" si="14"/>
        <v/>
      </c>
    </row>
    <row r="278" spans="2:7" x14ac:dyDescent="0.45">
      <c r="B278" s="32"/>
      <c r="C278" s="32"/>
      <c r="D278" s="36"/>
      <c r="E278" s="32" t="str">
        <f t="shared" si="12"/>
        <v>.0</v>
      </c>
      <c r="F278" s="32" t="str">
        <f t="shared" si="13"/>
        <v>.0</v>
      </c>
      <c r="G278" s="37" t="str">
        <f t="shared" si="14"/>
        <v/>
      </c>
    </row>
    <row r="279" spans="2:7" x14ac:dyDescent="0.45">
      <c r="B279" s="32"/>
      <c r="C279" s="32"/>
      <c r="D279" s="36"/>
      <c r="E279" s="32" t="str">
        <f t="shared" si="12"/>
        <v>.0</v>
      </c>
      <c r="F279" s="32" t="str">
        <f t="shared" si="13"/>
        <v>.0</v>
      </c>
      <c r="G279" s="37" t="str">
        <f t="shared" si="14"/>
        <v/>
      </c>
    </row>
    <row r="280" spans="2:7" x14ac:dyDescent="0.45">
      <c r="B280" s="32"/>
      <c r="C280" s="32"/>
      <c r="D280" s="36"/>
      <c r="E280" s="32" t="str">
        <f t="shared" si="12"/>
        <v>.0</v>
      </c>
      <c r="F280" s="32" t="str">
        <f t="shared" si="13"/>
        <v>.0</v>
      </c>
      <c r="G280" s="37" t="str">
        <f t="shared" si="14"/>
        <v/>
      </c>
    </row>
    <row r="281" spans="2:7" x14ac:dyDescent="0.45">
      <c r="B281" s="32"/>
      <c r="C281" s="32"/>
      <c r="D281" s="36"/>
      <c r="E281" s="32" t="str">
        <f t="shared" si="12"/>
        <v>.0</v>
      </c>
      <c r="F281" s="32" t="str">
        <f t="shared" si="13"/>
        <v>.0</v>
      </c>
      <c r="G281" s="37" t="str">
        <f t="shared" si="14"/>
        <v/>
      </c>
    </row>
    <row r="282" spans="2:7" x14ac:dyDescent="0.45">
      <c r="B282" s="32"/>
      <c r="C282" s="32"/>
      <c r="D282" s="36"/>
      <c r="E282" s="32" t="str">
        <f t="shared" si="12"/>
        <v>.0</v>
      </c>
      <c r="F282" s="32" t="str">
        <f t="shared" si="13"/>
        <v>.0</v>
      </c>
      <c r="G282" s="37" t="str">
        <f t="shared" si="14"/>
        <v/>
      </c>
    </row>
    <row r="283" spans="2:7" x14ac:dyDescent="0.45">
      <c r="B283" s="32"/>
      <c r="C283" s="32"/>
      <c r="D283" s="36"/>
      <c r="E283" s="32" t="str">
        <f t="shared" si="12"/>
        <v>.0</v>
      </c>
      <c r="F283" s="32" t="str">
        <f t="shared" si="13"/>
        <v>.0</v>
      </c>
      <c r="G283" s="37" t="str">
        <f t="shared" si="14"/>
        <v/>
      </c>
    </row>
    <row r="284" spans="2:7" x14ac:dyDescent="0.45">
      <c r="B284" s="32"/>
      <c r="C284" s="32"/>
      <c r="D284" s="36"/>
      <c r="E284" s="32" t="str">
        <f t="shared" si="12"/>
        <v>.0</v>
      </c>
      <c r="F284" s="32" t="str">
        <f t="shared" si="13"/>
        <v>.0</v>
      </c>
      <c r="G284" s="37" t="str">
        <f t="shared" si="14"/>
        <v/>
      </c>
    </row>
    <row r="285" spans="2:7" x14ac:dyDescent="0.45">
      <c r="B285" s="32"/>
      <c r="C285" s="32"/>
      <c r="D285" s="36"/>
      <c r="E285" s="32" t="str">
        <f t="shared" si="12"/>
        <v>.0</v>
      </c>
      <c r="F285" s="32" t="str">
        <f t="shared" si="13"/>
        <v>.0</v>
      </c>
      <c r="G285" s="37" t="str">
        <f t="shared" si="14"/>
        <v/>
      </c>
    </row>
    <row r="286" spans="2:7" x14ac:dyDescent="0.45">
      <c r="E286" s="32" t="str">
        <f t="shared" ref="E286:E349" si="15">MID(B286,3,2)&amp;"."&amp;IF(C286&lt;10,"0"&amp;C286,C286)</f>
        <v>.0</v>
      </c>
      <c r="F286" s="32" t="str">
        <f t="shared" ref="F286:F349" si="16">MID(B286,3,2)&amp;"."&amp;IF(C286&lt;10,"0"&amp;C286,C286)</f>
        <v>.0</v>
      </c>
      <c r="G286" s="37" t="str">
        <f t="shared" ref="G286:G349" si="17">TEXT(D286,"#,###,")</f>
        <v/>
      </c>
    </row>
    <row r="287" spans="2:7" x14ac:dyDescent="0.45">
      <c r="E287" s="32" t="str">
        <f t="shared" si="15"/>
        <v>.0</v>
      </c>
      <c r="F287" s="32" t="str">
        <f t="shared" si="16"/>
        <v>.0</v>
      </c>
      <c r="G287" s="37" t="str">
        <f t="shared" si="17"/>
        <v/>
      </c>
    </row>
    <row r="288" spans="2:7" x14ac:dyDescent="0.45">
      <c r="E288" s="32" t="str">
        <f t="shared" si="15"/>
        <v>.0</v>
      </c>
      <c r="F288" s="32" t="str">
        <f t="shared" si="16"/>
        <v>.0</v>
      </c>
      <c r="G288" s="37" t="str">
        <f t="shared" si="17"/>
        <v/>
      </c>
    </row>
    <row r="289" spans="5:7" x14ac:dyDescent="0.45">
      <c r="E289" s="32" t="str">
        <f t="shared" si="15"/>
        <v>.0</v>
      </c>
      <c r="F289" s="32" t="str">
        <f t="shared" si="16"/>
        <v>.0</v>
      </c>
      <c r="G289" s="37" t="str">
        <f t="shared" si="17"/>
        <v/>
      </c>
    </row>
    <row r="290" spans="5:7" x14ac:dyDescent="0.45">
      <c r="E290" s="32" t="str">
        <f t="shared" si="15"/>
        <v>.0</v>
      </c>
      <c r="F290" s="32" t="str">
        <f t="shared" si="16"/>
        <v>.0</v>
      </c>
      <c r="G290" s="37" t="str">
        <f t="shared" si="17"/>
        <v/>
      </c>
    </row>
    <row r="291" spans="5:7" x14ac:dyDescent="0.45">
      <c r="E291" s="32" t="str">
        <f t="shared" si="15"/>
        <v>.0</v>
      </c>
      <c r="F291" s="32" t="str">
        <f t="shared" si="16"/>
        <v>.0</v>
      </c>
      <c r="G291" s="37" t="str">
        <f t="shared" si="17"/>
        <v/>
      </c>
    </row>
    <row r="292" spans="5:7" x14ac:dyDescent="0.45">
      <c r="E292" s="32" t="str">
        <f t="shared" si="15"/>
        <v>.0</v>
      </c>
      <c r="F292" s="32" t="str">
        <f t="shared" si="16"/>
        <v>.0</v>
      </c>
      <c r="G292" s="37" t="str">
        <f t="shared" si="17"/>
        <v/>
      </c>
    </row>
    <row r="293" spans="5:7" x14ac:dyDescent="0.45">
      <c r="E293" s="32" t="str">
        <f t="shared" si="15"/>
        <v>.0</v>
      </c>
      <c r="F293" s="32" t="str">
        <f t="shared" si="16"/>
        <v>.0</v>
      </c>
      <c r="G293" s="37" t="str">
        <f t="shared" si="17"/>
        <v/>
      </c>
    </row>
    <row r="294" spans="5:7" x14ac:dyDescent="0.45">
      <c r="E294" s="32" t="str">
        <f t="shared" si="15"/>
        <v>.0</v>
      </c>
      <c r="F294" s="32" t="str">
        <f t="shared" si="16"/>
        <v>.0</v>
      </c>
      <c r="G294" s="37" t="str">
        <f t="shared" si="17"/>
        <v/>
      </c>
    </row>
    <row r="295" spans="5:7" x14ac:dyDescent="0.45">
      <c r="E295" s="32" t="str">
        <f t="shared" si="15"/>
        <v>.0</v>
      </c>
      <c r="F295" s="32" t="str">
        <f t="shared" si="16"/>
        <v>.0</v>
      </c>
      <c r="G295" s="37" t="str">
        <f t="shared" si="17"/>
        <v/>
      </c>
    </row>
    <row r="296" spans="5:7" x14ac:dyDescent="0.45">
      <c r="E296" s="32" t="str">
        <f t="shared" si="15"/>
        <v>.0</v>
      </c>
      <c r="F296" s="32" t="str">
        <f t="shared" si="16"/>
        <v>.0</v>
      </c>
      <c r="G296" s="37" t="str">
        <f t="shared" si="17"/>
        <v/>
      </c>
    </row>
    <row r="297" spans="5:7" x14ac:dyDescent="0.45">
      <c r="E297" s="32" t="str">
        <f t="shared" si="15"/>
        <v>.0</v>
      </c>
      <c r="F297" s="32" t="str">
        <f t="shared" si="16"/>
        <v>.0</v>
      </c>
      <c r="G297" s="37" t="str">
        <f t="shared" si="17"/>
        <v/>
      </c>
    </row>
    <row r="298" spans="5:7" x14ac:dyDescent="0.45">
      <c r="E298" s="32" t="str">
        <f t="shared" si="15"/>
        <v>.0</v>
      </c>
      <c r="F298" s="32" t="str">
        <f t="shared" si="16"/>
        <v>.0</v>
      </c>
      <c r="G298" s="37" t="str">
        <f t="shared" si="17"/>
        <v/>
      </c>
    </row>
    <row r="299" spans="5:7" x14ac:dyDescent="0.45">
      <c r="E299" s="32" t="str">
        <f t="shared" si="15"/>
        <v>.0</v>
      </c>
      <c r="F299" s="32" t="str">
        <f t="shared" si="16"/>
        <v>.0</v>
      </c>
      <c r="G299" s="37" t="str">
        <f t="shared" si="17"/>
        <v/>
      </c>
    </row>
    <row r="300" spans="5:7" x14ac:dyDescent="0.45">
      <c r="E300" s="32" t="str">
        <f t="shared" si="15"/>
        <v>.0</v>
      </c>
      <c r="F300" s="32" t="str">
        <f t="shared" si="16"/>
        <v>.0</v>
      </c>
      <c r="G300" s="37" t="str">
        <f t="shared" si="17"/>
        <v/>
      </c>
    </row>
    <row r="301" spans="5:7" x14ac:dyDescent="0.45">
      <c r="E301" s="32" t="str">
        <f t="shared" si="15"/>
        <v>.0</v>
      </c>
      <c r="F301" s="32" t="str">
        <f t="shared" si="16"/>
        <v>.0</v>
      </c>
      <c r="G301" s="37" t="str">
        <f t="shared" si="17"/>
        <v/>
      </c>
    </row>
    <row r="302" spans="5:7" x14ac:dyDescent="0.45">
      <c r="E302" s="32" t="str">
        <f t="shared" si="15"/>
        <v>.0</v>
      </c>
      <c r="F302" s="32" t="str">
        <f t="shared" si="16"/>
        <v>.0</v>
      </c>
      <c r="G302" s="37" t="str">
        <f t="shared" si="17"/>
        <v/>
      </c>
    </row>
    <row r="303" spans="5:7" x14ac:dyDescent="0.45">
      <c r="E303" s="32" t="str">
        <f t="shared" si="15"/>
        <v>.0</v>
      </c>
      <c r="F303" s="32" t="str">
        <f t="shared" si="16"/>
        <v>.0</v>
      </c>
      <c r="G303" s="37" t="str">
        <f t="shared" si="17"/>
        <v/>
      </c>
    </row>
    <row r="304" spans="5:7" x14ac:dyDescent="0.45">
      <c r="E304" s="32" t="str">
        <f t="shared" si="15"/>
        <v>.0</v>
      </c>
      <c r="F304" s="32" t="str">
        <f t="shared" si="16"/>
        <v>.0</v>
      </c>
      <c r="G304" s="37" t="str">
        <f t="shared" si="17"/>
        <v/>
      </c>
    </row>
    <row r="305" spans="5:7" x14ac:dyDescent="0.45">
      <c r="E305" s="32" t="str">
        <f t="shared" si="15"/>
        <v>.0</v>
      </c>
      <c r="F305" s="32" t="str">
        <f t="shared" si="16"/>
        <v>.0</v>
      </c>
      <c r="G305" s="37" t="str">
        <f t="shared" si="17"/>
        <v/>
      </c>
    </row>
    <row r="306" spans="5:7" x14ac:dyDescent="0.45">
      <c r="E306" s="32" t="str">
        <f t="shared" si="15"/>
        <v>.0</v>
      </c>
      <c r="F306" s="32" t="str">
        <f t="shared" si="16"/>
        <v>.0</v>
      </c>
      <c r="G306" s="37" t="str">
        <f t="shared" si="17"/>
        <v/>
      </c>
    </row>
    <row r="307" spans="5:7" x14ac:dyDescent="0.45">
      <c r="E307" s="32" t="str">
        <f t="shared" si="15"/>
        <v>.0</v>
      </c>
      <c r="F307" s="32" t="str">
        <f t="shared" si="16"/>
        <v>.0</v>
      </c>
      <c r="G307" s="37" t="str">
        <f t="shared" si="17"/>
        <v/>
      </c>
    </row>
    <row r="308" spans="5:7" x14ac:dyDescent="0.45">
      <c r="E308" s="32" t="str">
        <f t="shared" si="15"/>
        <v>.0</v>
      </c>
      <c r="F308" s="32" t="str">
        <f t="shared" si="16"/>
        <v>.0</v>
      </c>
      <c r="G308" s="37" t="str">
        <f t="shared" si="17"/>
        <v/>
      </c>
    </row>
    <row r="309" spans="5:7" x14ac:dyDescent="0.45">
      <c r="E309" s="32" t="str">
        <f t="shared" si="15"/>
        <v>.0</v>
      </c>
      <c r="F309" s="32" t="str">
        <f t="shared" si="16"/>
        <v>.0</v>
      </c>
      <c r="G309" s="37" t="str">
        <f t="shared" si="17"/>
        <v/>
      </c>
    </row>
    <row r="310" spans="5:7" x14ac:dyDescent="0.45">
      <c r="E310" s="32" t="str">
        <f t="shared" si="15"/>
        <v>.0</v>
      </c>
      <c r="F310" s="32" t="str">
        <f t="shared" si="16"/>
        <v>.0</v>
      </c>
      <c r="G310" s="37" t="str">
        <f t="shared" si="17"/>
        <v/>
      </c>
    </row>
    <row r="311" spans="5:7" x14ac:dyDescent="0.45">
      <c r="E311" s="32" t="str">
        <f t="shared" si="15"/>
        <v>.0</v>
      </c>
      <c r="F311" s="32" t="str">
        <f t="shared" si="16"/>
        <v>.0</v>
      </c>
      <c r="G311" s="37" t="str">
        <f t="shared" si="17"/>
        <v/>
      </c>
    </row>
    <row r="312" spans="5:7" x14ac:dyDescent="0.45">
      <c r="E312" s="32" t="str">
        <f t="shared" si="15"/>
        <v>.0</v>
      </c>
      <c r="F312" s="32" t="str">
        <f t="shared" si="16"/>
        <v>.0</v>
      </c>
      <c r="G312" s="37" t="str">
        <f t="shared" si="17"/>
        <v/>
      </c>
    </row>
    <row r="313" spans="5:7" x14ac:dyDescent="0.45">
      <c r="E313" s="32" t="str">
        <f t="shared" si="15"/>
        <v>.0</v>
      </c>
      <c r="F313" s="32" t="str">
        <f t="shared" si="16"/>
        <v>.0</v>
      </c>
      <c r="G313" s="37" t="str">
        <f t="shared" si="17"/>
        <v/>
      </c>
    </row>
    <row r="314" spans="5:7" x14ac:dyDescent="0.45">
      <c r="E314" s="32" t="str">
        <f t="shared" si="15"/>
        <v>.0</v>
      </c>
      <c r="F314" s="32" t="str">
        <f t="shared" si="16"/>
        <v>.0</v>
      </c>
      <c r="G314" s="37" t="str">
        <f t="shared" si="17"/>
        <v/>
      </c>
    </row>
    <row r="315" spans="5:7" x14ac:dyDescent="0.45">
      <c r="E315" s="32" t="str">
        <f t="shared" si="15"/>
        <v>.0</v>
      </c>
      <c r="F315" s="32" t="str">
        <f t="shared" si="16"/>
        <v>.0</v>
      </c>
      <c r="G315" s="37" t="str">
        <f t="shared" si="17"/>
        <v/>
      </c>
    </row>
    <row r="316" spans="5:7" x14ac:dyDescent="0.45">
      <c r="E316" s="32" t="str">
        <f t="shared" si="15"/>
        <v>.0</v>
      </c>
      <c r="F316" s="32" t="str">
        <f t="shared" si="16"/>
        <v>.0</v>
      </c>
      <c r="G316" s="37" t="str">
        <f t="shared" si="17"/>
        <v/>
      </c>
    </row>
    <row r="317" spans="5:7" x14ac:dyDescent="0.45">
      <c r="E317" s="32" t="str">
        <f t="shared" si="15"/>
        <v>.0</v>
      </c>
      <c r="F317" s="32" t="str">
        <f t="shared" si="16"/>
        <v>.0</v>
      </c>
      <c r="G317" s="37" t="str">
        <f t="shared" si="17"/>
        <v/>
      </c>
    </row>
    <row r="318" spans="5:7" x14ac:dyDescent="0.45">
      <c r="E318" s="32" t="str">
        <f t="shared" si="15"/>
        <v>.0</v>
      </c>
      <c r="F318" s="32" t="str">
        <f t="shared" si="16"/>
        <v>.0</v>
      </c>
      <c r="G318" s="37" t="str">
        <f t="shared" si="17"/>
        <v/>
      </c>
    </row>
    <row r="319" spans="5:7" x14ac:dyDescent="0.45">
      <c r="E319" s="32" t="str">
        <f t="shared" si="15"/>
        <v>.0</v>
      </c>
      <c r="F319" s="32" t="str">
        <f t="shared" si="16"/>
        <v>.0</v>
      </c>
      <c r="G319" s="37" t="str">
        <f t="shared" si="17"/>
        <v/>
      </c>
    </row>
    <row r="320" spans="5:7" x14ac:dyDescent="0.45">
      <c r="E320" s="32" t="str">
        <f t="shared" si="15"/>
        <v>.0</v>
      </c>
      <c r="F320" s="32" t="str">
        <f t="shared" si="16"/>
        <v>.0</v>
      </c>
      <c r="G320" s="37" t="str">
        <f t="shared" si="17"/>
        <v/>
      </c>
    </row>
    <row r="321" spans="5:7" x14ac:dyDescent="0.45">
      <c r="E321" s="32" t="str">
        <f t="shared" si="15"/>
        <v>.0</v>
      </c>
      <c r="F321" s="32" t="str">
        <f t="shared" si="16"/>
        <v>.0</v>
      </c>
      <c r="G321" s="37" t="str">
        <f t="shared" si="17"/>
        <v/>
      </c>
    </row>
    <row r="322" spans="5:7" x14ac:dyDescent="0.45">
      <c r="E322" s="32" t="str">
        <f t="shared" si="15"/>
        <v>.0</v>
      </c>
      <c r="F322" s="32" t="str">
        <f t="shared" si="16"/>
        <v>.0</v>
      </c>
      <c r="G322" s="37" t="str">
        <f t="shared" si="17"/>
        <v/>
      </c>
    </row>
    <row r="323" spans="5:7" x14ac:dyDescent="0.45">
      <c r="E323" s="32" t="str">
        <f t="shared" si="15"/>
        <v>.0</v>
      </c>
      <c r="F323" s="32" t="str">
        <f t="shared" si="16"/>
        <v>.0</v>
      </c>
      <c r="G323" s="37" t="str">
        <f t="shared" si="17"/>
        <v/>
      </c>
    </row>
    <row r="324" spans="5:7" x14ac:dyDescent="0.45">
      <c r="E324" s="32" t="str">
        <f t="shared" si="15"/>
        <v>.0</v>
      </c>
      <c r="F324" s="32" t="str">
        <f t="shared" si="16"/>
        <v>.0</v>
      </c>
      <c r="G324" s="37" t="str">
        <f t="shared" si="17"/>
        <v/>
      </c>
    </row>
    <row r="325" spans="5:7" x14ac:dyDescent="0.45">
      <c r="E325" s="32" t="str">
        <f t="shared" si="15"/>
        <v>.0</v>
      </c>
      <c r="F325" s="32" t="str">
        <f t="shared" si="16"/>
        <v>.0</v>
      </c>
      <c r="G325" s="37" t="str">
        <f t="shared" si="17"/>
        <v/>
      </c>
    </row>
    <row r="326" spans="5:7" x14ac:dyDescent="0.45">
      <c r="E326" s="32" t="str">
        <f t="shared" si="15"/>
        <v>.0</v>
      </c>
      <c r="F326" s="32" t="str">
        <f t="shared" si="16"/>
        <v>.0</v>
      </c>
      <c r="G326" s="37" t="str">
        <f t="shared" si="17"/>
        <v/>
      </c>
    </row>
    <row r="327" spans="5:7" x14ac:dyDescent="0.45">
      <c r="E327" s="32" t="str">
        <f t="shared" si="15"/>
        <v>.0</v>
      </c>
      <c r="F327" s="32" t="str">
        <f t="shared" si="16"/>
        <v>.0</v>
      </c>
      <c r="G327" s="37" t="str">
        <f t="shared" si="17"/>
        <v/>
      </c>
    </row>
    <row r="328" spans="5:7" x14ac:dyDescent="0.45">
      <c r="E328" s="32" t="str">
        <f t="shared" si="15"/>
        <v>.0</v>
      </c>
      <c r="F328" s="32" t="str">
        <f t="shared" si="16"/>
        <v>.0</v>
      </c>
      <c r="G328" s="37" t="str">
        <f t="shared" si="17"/>
        <v/>
      </c>
    </row>
    <row r="329" spans="5:7" x14ac:dyDescent="0.45">
      <c r="E329" s="32" t="str">
        <f t="shared" si="15"/>
        <v>.0</v>
      </c>
      <c r="F329" s="32" t="str">
        <f t="shared" si="16"/>
        <v>.0</v>
      </c>
      <c r="G329" s="37" t="str">
        <f t="shared" si="17"/>
        <v/>
      </c>
    </row>
    <row r="330" spans="5:7" x14ac:dyDescent="0.45">
      <c r="E330" s="32" t="str">
        <f t="shared" si="15"/>
        <v>.0</v>
      </c>
      <c r="F330" s="32" t="str">
        <f t="shared" si="16"/>
        <v>.0</v>
      </c>
      <c r="G330" s="37" t="str">
        <f t="shared" si="17"/>
        <v/>
      </c>
    </row>
    <row r="331" spans="5:7" x14ac:dyDescent="0.45">
      <c r="E331" s="32" t="str">
        <f t="shared" si="15"/>
        <v>.0</v>
      </c>
      <c r="F331" s="32" t="str">
        <f t="shared" si="16"/>
        <v>.0</v>
      </c>
      <c r="G331" s="37" t="str">
        <f t="shared" si="17"/>
        <v/>
      </c>
    </row>
    <row r="332" spans="5:7" x14ac:dyDescent="0.45">
      <c r="E332" s="32" t="str">
        <f t="shared" si="15"/>
        <v>.0</v>
      </c>
      <c r="F332" s="32" t="str">
        <f t="shared" si="16"/>
        <v>.0</v>
      </c>
      <c r="G332" s="37" t="str">
        <f t="shared" si="17"/>
        <v/>
      </c>
    </row>
    <row r="333" spans="5:7" x14ac:dyDescent="0.45">
      <c r="E333" s="32" t="str">
        <f t="shared" si="15"/>
        <v>.0</v>
      </c>
      <c r="F333" s="32" t="str">
        <f t="shared" si="16"/>
        <v>.0</v>
      </c>
      <c r="G333" s="37" t="str">
        <f t="shared" si="17"/>
        <v/>
      </c>
    </row>
    <row r="334" spans="5:7" x14ac:dyDescent="0.45">
      <c r="E334" s="32" t="str">
        <f t="shared" si="15"/>
        <v>.0</v>
      </c>
      <c r="F334" s="32" t="str">
        <f t="shared" si="16"/>
        <v>.0</v>
      </c>
      <c r="G334" s="37" t="str">
        <f t="shared" si="17"/>
        <v/>
      </c>
    </row>
    <row r="335" spans="5:7" x14ac:dyDescent="0.45">
      <c r="E335" s="32" t="str">
        <f t="shared" si="15"/>
        <v>.0</v>
      </c>
      <c r="F335" s="32" t="str">
        <f t="shared" si="16"/>
        <v>.0</v>
      </c>
      <c r="G335" s="37" t="str">
        <f t="shared" si="17"/>
        <v/>
      </c>
    </row>
    <row r="336" spans="5:7" x14ac:dyDescent="0.45">
      <c r="E336" s="32" t="str">
        <f t="shared" si="15"/>
        <v>.0</v>
      </c>
      <c r="F336" s="32" t="str">
        <f t="shared" si="16"/>
        <v>.0</v>
      </c>
      <c r="G336" s="37" t="str">
        <f t="shared" si="17"/>
        <v/>
      </c>
    </row>
    <row r="337" spans="5:7" x14ac:dyDescent="0.45">
      <c r="E337" s="32" t="str">
        <f t="shared" si="15"/>
        <v>.0</v>
      </c>
      <c r="F337" s="32" t="str">
        <f t="shared" si="16"/>
        <v>.0</v>
      </c>
      <c r="G337" s="37" t="str">
        <f t="shared" si="17"/>
        <v/>
      </c>
    </row>
    <row r="338" spans="5:7" x14ac:dyDescent="0.45">
      <c r="E338" s="32" t="str">
        <f t="shared" si="15"/>
        <v>.0</v>
      </c>
      <c r="F338" s="32" t="str">
        <f t="shared" si="16"/>
        <v>.0</v>
      </c>
      <c r="G338" s="37" t="str">
        <f t="shared" si="17"/>
        <v/>
      </c>
    </row>
    <row r="339" spans="5:7" x14ac:dyDescent="0.45">
      <c r="E339" s="32" t="str">
        <f t="shared" si="15"/>
        <v>.0</v>
      </c>
      <c r="F339" s="32" t="str">
        <f t="shared" si="16"/>
        <v>.0</v>
      </c>
      <c r="G339" s="37" t="str">
        <f t="shared" si="17"/>
        <v/>
      </c>
    </row>
    <row r="340" spans="5:7" x14ac:dyDescent="0.45">
      <c r="E340" s="32" t="str">
        <f t="shared" si="15"/>
        <v>.0</v>
      </c>
      <c r="F340" s="32" t="str">
        <f t="shared" si="16"/>
        <v>.0</v>
      </c>
      <c r="G340" s="37" t="str">
        <f t="shared" si="17"/>
        <v/>
      </c>
    </row>
    <row r="341" spans="5:7" x14ac:dyDescent="0.45">
      <c r="E341" s="32" t="str">
        <f t="shared" si="15"/>
        <v>.0</v>
      </c>
      <c r="F341" s="32" t="str">
        <f t="shared" si="16"/>
        <v>.0</v>
      </c>
      <c r="G341" s="37" t="str">
        <f t="shared" si="17"/>
        <v/>
      </c>
    </row>
    <row r="342" spans="5:7" x14ac:dyDescent="0.45">
      <c r="E342" s="32" t="str">
        <f t="shared" si="15"/>
        <v>.0</v>
      </c>
      <c r="F342" s="32" t="str">
        <f t="shared" si="16"/>
        <v>.0</v>
      </c>
      <c r="G342" s="37" t="str">
        <f t="shared" si="17"/>
        <v/>
      </c>
    </row>
    <row r="343" spans="5:7" x14ac:dyDescent="0.45">
      <c r="E343" s="32" t="str">
        <f t="shared" si="15"/>
        <v>.0</v>
      </c>
      <c r="F343" s="32" t="str">
        <f t="shared" si="16"/>
        <v>.0</v>
      </c>
      <c r="G343" s="37" t="str">
        <f t="shared" si="17"/>
        <v/>
      </c>
    </row>
    <row r="344" spans="5:7" x14ac:dyDescent="0.45">
      <c r="E344" s="32" t="str">
        <f t="shared" si="15"/>
        <v>.0</v>
      </c>
      <c r="F344" s="32" t="str">
        <f t="shared" si="16"/>
        <v>.0</v>
      </c>
      <c r="G344" s="37" t="str">
        <f t="shared" si="17"/>
        <v/>
      </c>
    </row>
    <row r="345" spans="5:7" x14ac:dyDescent="0.45">
      <c r="E345" s="32" t="str">
        <f t="shared" si="15"/>
        <v>.0</v>
      </c>
      <c r="F345" s="32" t="str">
        <f t="shared" si="16"/>
        <v>.0</v>
      </c>
      <c r="G345" s="37" t="str">
        <f t="shared" si="17"/>
        <v/>
      </c>
    </row>
    <row r="346" spans="5:7" x14ac:dyDescent="0.45">
      <c r="E346" s="32" t="str">
        <f t="shared" si="15"/>
        <v>.0</v>
      </c>
      <c r="F346" s="32" t="str">
        <f t="shared" si="16"/>
        <v>.0</v>
      </c>
      <c r="G346" s="37" t="str">
        <f t="shared" si="17"/>
        <v/>
      </c>
    </row>
    <row r="347" spans="5:7" x14ac:dyDescent="0.45">
      <c r="E347" s="32" t="str">
        <f t="shared" si="15"/>
        <v>.0</v>
      </c>
      <c r="F347" s="32" t="str">
        <f t="shared" si="16"/>
        <v>.0</v>
      </c>
      <c r="G347" s="37" t="str">
        <f t="shared" si="17"/>
        <v/>
      </c>
    </row>
    <row r="348" spans="5:7" x14ac:dyDescent="0.45">
      <c r="E348" s="32" t="str">
        <f t="shared" si="15"/>
        <v>.0</v>
      </c>
      <c r="F348" s="32" t="str">
        <f t="shared" si="16"/>
        <v>.0</v>
      </c>
      <c r="G348" s="37" t="str">
        <f t="shared" si="17"/>
        <v/>
      </c>
    </row>
    <row r="349" spans="5:7" x14ac:dyDescent="0.45">
      <c r="E349" s="32" t="str">
        <f t="shared" si="15"/>
        <v>.0</v>
      </c>
      <c r="F349" s="32" t="str">
        <f t="shared" si="16"/>
        <v>.0</v>
      </c>
      <c r="G349" s="37" t="str">
        <f t="shared" si="17"/>
        <v/>
      </c>
    </row>
    <row r="350" spans="5:7" x14ac:dyDescent="0.45">
      <c r="E350" s="32" t="str">
        <f t="shared" ref="E350:E413" si="18">MID(B350,3,2)&amp;"."&amp;IF(C350&lt;10,"0"&amp;C350,C350)</f>
        <v>.0</v>
      </c>
      <c r="F350" s="32" t="str">
        <f t="shared" ref="F350:F413" si="19">MID(B350,3,2)&amp;"."&amp;IF(C350&lt;10,"0"&amp;C350,C350)</f>
        <v>.0</v>
      </c>
      <c r="G350" s="37" t="str">
        <f t="shared" ref="G350:G413" si="20">TEXT(D350,"#,###,")</f>
        <v/>
      </c>
    </row>
    <row r="351" spans="5:7" x14ac:dyDescent="0.45">
      <c r="E351" s="32" t="str">
        <f t="shared" si="18"/>
        <v>.0</v>
      </c>
      <c r="F351" s="32" t="str">
        <f t="shared" si="19"/>
        <v>.0</v>
      </c>
      <c r="G351" s="37" t="str">
        <f t="shared" si="20"/>
        <v/>
      </c>
    </row>
    <row r="352" spans="5:7" x14ac:dyDescent="0.45">
      <c r="E352" s="32" t="str">
        <f t="shared" si="18"/>
        <v>.0</v>
      </c>
      <c r="F352" s="32" t="str">
        <f t="shared" si="19"/>
        <v>.0</v>
      </c>
      <c r="G352" s="37" t="str">
        <f t="shared" si="20"/>
        <v/>
      </c>
    </row>
    <row r="353" spans="5:7" x14ac:dyDescent="0.45">
      <c r="E353" s="32" t="str">
        <f t="shared" si="18"/>
        <v>.0</v>
      </c>
      <c r="F353" s="32" t="str">
        <f t="shared" si="19"/>
        <v>.0</v>
      </c>
      <c r="G353" s="37" t="str">
        <f t="shared" si="20"/>
        <v/>
      </c>
    </row>
    <row r="354" spans="5:7" x14ac:dyDescent="0.45">
      <c r="E354" s="32" t="str">
        <f t="shared" si="18"/>
        <v>.0</v>
      </c>
      <c r="F354" s="32" t="str">
        <f t="shared" si="19"/>
        <v>.0</v>
      </c>
      <c r="G354" s="37" t="str">
        <f t="shared" si="20"/>
        <v/>
      </c>
    </row>
    <row r="355" spans="5:7" x14ac:dyDescent="0.45">
      <c r="E355" s="32" t="str">
        <f t="shared" si="18"/>
        <v>.0</v>
      </c>
      <c r="F355" s="32" t="str">
        <f t="shared" si="19"/>
        <v>.0</v>
      </c>
      <c r="G355" s="37" t="str">
        <f t="shared" si="20"/>
        <v/>
      </c>
    </row>
    <row r="356" spans="5:7" x14ac:dyDescent="0.45">
      <c r="E356" s="32" t="str">
        <f t="shared" si="18"/>
        <v>.0</v>
      </c>
      <c r="F356" s="32" t="str">
        <f t="shared" si="19"/>
        <v>.0</v>
      </c>
      <c r="G356" s="37" t="str">
        <f t="shared" si="20"/>
        <v/>
      </c>
    </row>
    <row r="357" spans="5:7" x14ac:dyDescent="0.45">
      <c r="E357" s="32" t="str">
        <f t="shared" si="18"/>
        <v>.0</v>
      </c>
      <c r="F357" s="32" t="str">
        <f t="shared" si="19"/>
        <v>.0</v>
      </c>
      <c r="G357" s="37" t="str">
        <f t="shared" si="20"/>
        <v/>
      </c>
    </row>
    <row r="358" spans="5:7" x14ac:dyDescent="0.45">
      <c r="E358" s="32" t="str">
        <f t="shared" si="18"/>
        <v>.0</v>
      </c>
      <c r="F358" s="32" t="str">
        <f t="shared" si="19"/>
        <v>.0</v>
      </c>
      <c r="G358" s="37" t="str">
        <f t="shared" si="20"/>
        <v/>
      </c>
    </row>
    <row r="359" spans="5:7" x14ac:dyDescent="0.45">
      <c r="E359" s="32" t="str">
        <f t="shared" si="18"/>
        <v>.0</v>
      </c>
      <c r="F359" s="32" t="str">
        <f t="shared" si="19"/>
        <v>.0</v>
      </c>
      <c r="G359" s="37" t="str">
        <f t="shared" si="20"/>
        <v/>
      </c>
    </row>
    <row r="360" spans="5:7" x14ac:dyDescent="0.45">
      <c r="E360" s="32" t="str">
        <f t="shared" si="18"/>
        <v>.0</v>
      </c>
      <c r="F360" s="32" t="str">
        <f t="shared" si="19"/>
        <v>.0</v>
      </c>
      <c r="G360" s="37" t="str">
        <f t="shared" si="20"/>
        <v/>
      </c>
    </row>
    <row r="361" spans="5:7" x14ac:dyDescent="0.45">
      <c r="E361" s="32" t="str">
        <f t="shared" si="18"/>
        <v>.0</v>
      </c>
      <c r="F361" s="32" t="str">
        <f t="shared" si="19"/>
        <v>.0</v>
      </c>
      <c r="G361" s="37" t="str">
        <f t="shared" si="20"/>
        <v/>
      </c>
    </row>
    <row r="362" spans="5:7" x14ac:dyDescent="0.45">
      <c r="E362" s="32" t="str">
        <f t="shared" si="18"/>
        <v>.0</v>
      </c>
      <c r="F362" s="32" t="str">
        <f t="shared" si="19"/>
        <v>.0</v>
      </c>
      <c r="G362" s="37" t="str">
        <f t="shared" si="20"/>
        <v/>
      </c>
    </row>
    <row r="363" spans="5:7" x14ac:dyDescent="0.45">
      <c r="E363" s="32" t="str">
        <f t="shared" si="18"/>
        <v>.0</v>
      </c>
      <c r="F363" s="32" t="str">
        <f t="shared" si="19"/>
        <v>.0</v>
      </c>
      <c r="G363" s="37" t="str">
        <f t="shared" si="20"/>
        <v/>
      </c>
    </row>
    <row r="364" spans="5:7" x14ac:dyDescent="0.45">
      <c r="E364" s="32" t="str">
        <f t="shared" si="18"/>
        <v>.0</v>
      </c>
      <c r="F364" s="32" t="str">
        <f t="shared" si="19"/>
        <v>.0</v>
      </c>
      <c r="G364" s="37" t="str">
        <f t="shared" si="20"/>
        <v/>
      </c>
    </row>
    <row r="365" spans="5:7" x14ac:dyDescent="0.45">
      <c r="E365" s="32" t="str">
        <f t="shared" si="18"/>
        <v>.0</v>
      </c>
      <c r="F365" s="32" t="str">
        <f t="shared" si="19"/>
        <v>.0</v>
      </c>
      <c r="G365" s="37" t="str">
        <f t="shared" si="20"/>
        <v/>
      </c>
    </row>
    <row r="366" spans="5:7" x14ac:dyDescent="0.45">
      <c r="E366" s="32" t="str">
        <f t="shared" si="18"/>
        <v>.0</v>
      </c>
      <c r="F366" s="32" t="str">
        <f t="shared" si="19"/>
        <v>.0</v>
      </c>
      <c r="G366" s="37" t="str">
        <f t="shared" si="20"/>
        <v/>
      </c>
    </row>
    <row r="367" spans="5:7" x14ac:dyDescent="0.45">
      <c r="E367" s="32" t="str">
        <f t="shared" si="18"/>
        <v>.0</v>
      </c>
      <c r="F367" s="32" t="str">
        <f t="shared" si="19"/>
        <v>.0</v>
      </c>
      <c r="G367" s="37" t="str">
        <f t="shared" si="20"/>
        <v/>
      </c>
    </row>
    <row r="368" spans="5:7" x14ac:dyDescent="0.45">
      <c r="E368" s="32" t="str">
        <f t="shared" si="18"/>
        <v>.0</v>
      </c>
      <c r="F368" s="32" t="str">
        <f t="shared" si="19"/>
        <v>.0</v>
      </c>
      <c r="G368" s="37" t="str">
        <f t="shared" si="20"/>
        <v/>
      </c>
    </row>
    <row r="369" spans="5:7" x14ac:dyDescent="0.45">
      <c r="E369" s="32" t="str">
        <f t="shared" si="18"/>
        <v>.0</v>
      </c>
      <c r="F369" s="32" t="str">
        <f t="shared" si="19"/>
        <v>.0</v>
      </c>
      <c r="G369" s="37" t="str">
        <f t="shared" si="20"/>
        <v/>
      </c>
    </row>
    <row r="370" spans="5:7" x14ac:dyDescent="0.45">
      <c r="E370" s="32" t="str">
        <f t="shared" si="18"/>
        <v>.0</v>
      </c>
      <c r="F370" s="32" t="str">
        <f t="shared" si="19"/>
        <v>.0</v>
      </c>
      <c r="G370" s="37" t="str">
        <f t="shared" si="20"/>
        <v/>
      </c>
    </row>
    <row r="371" spans="5:7" x14ac:dyDescent="0.45">
      <c r="E371" s="32" t="str">
        <f t="shared" si="18"/>
        <v>.0</v>
      </c>
      <c r="F371" s="32" t="str">
        <f t="shared" si="19"/>
        <v>.0</v>
      </c>
      <c r="G371" s="37" t="str">
        <f t="shared" si="20"/>
        <v/>
      </c>
    </row>
    <row r="372" spans="5:7" x14ac:dyDescent="0.45">
      <c r="E372" s="32" t="str">
        <f t="shared" si="18"/>
        <v>.0</v>
      </c>
      <c r="F372" s="32" t="str">
        <f t="shared" si="19"/>
        <v>.0</v>
      </c>
      <c r="G372" s="37" t="str">
        <f t="shared" si="20"/>
        <v/>
      </c>
    </row>
    <row r="373" spans="5:7" x14ac:dyDescent="0.45">
      <c r="E373" s="32" t="str">
        <f t="shared" si="18"/>
        <v>.0</v>
      </c>
      <c r="F373" s="32" t="str">
        <f t="shared" si="19"/>
        <v>.0</v>
      </c>
      <c r="G373" s="37" t="str">
        <f t="shared" si="20"/>
        <v/>
      </c>
    </row>
    <row r="374" spans="5:7" x14ac:dyDescent="0.45">
      <c r="E374" s="32" t="str">
        <f t="shared" si="18"/>
        <v>.0</v>
      </c>
      <c r="F374" s="32" t="str">
        <f t="shared" si="19"/>
        <v>.0</v>
      </c>
      <c r="G374" s="37" t="str">
        <f t="shared" si="20"/>
        <v/>
      </c>
    </row>
    <row r="375" spans="5:7" x14ac:dyDescent="0.45">
      <c r="E375" s="32" t="str">
        <f t="shared" si="18"/>
        <v>.0</v>
      </c>
      <c r="F375" s="32" t="str">
        <f t="shared" si="19"/>
        <v>.0</v>
      </c>
      <c r="G375" s="37" t="str">
        <f t="shared" si="20"/>
        <v/>
      </c>
    </row>
    <row r="376" spans="5:7" x14ac:dyDescent="0.45">
      <c r="E376" s="32" t="str">
        <f t="shared" si="18"/>
        <v>.0</v>
      </c>
      <c r="F376" s="32" t="str">
        <f t="shared" si="19"/>
        <v>.0</v>
      </c>
      <c r="G376" s="37" t="str">
        <f t="shared" si="20"/>
        <v/>
      </c>
    </row>
    <row r="377" spans="5:7" x14ac:dyDescent="0.45">
      <c r="E377" s="32" t="str">
        <f t="shared" si="18"/>
        <v>.0</v>
      </c>
      <c r="F377" s="32" t="str">
        <f t="shared" si="19"/>
        <v>.0</v>
      </c>
      <c r="G377" s="37" t="str">
        <f t="shared" si="20"/>
        <v/>
      </c>
    </row>
    <row r="378" spans="5:7" x14ac:dyDescent="0.45">
      <c r="E378" s="32" t="str">
        <f t="shared" si="18"/>
        <v>.0</v>
      </c>
      <c r="F378" s="32" t="str">
        <f t="shared" si="19"/>
        <v>.0</v>
      </c>
      <c r="G378" s="37" t="str">
        <f t="shared" si="20"/>
        <v/>
      </c>
    </row>
    <row r="379" spans="5:7" x14ac:dyDescent="0.45">
      <c r="E379" s="32" t="str">
        <f t="shared" si="18"/>
        <v>.0</v>
      </c>
      <c r="F379" s="32" t="str">
        <f t="shared" si="19"/>
        <v>.0</v>
      </c>
      <c r="G379" s="37" t="str">
        <f t="shared" si="20"/>
        <v/>
      </c>
    </row>
    <row r="380" spans="5:7" x14ac:dyDescent="0.45">
      <c r="E380" s="32" t="str">
        <f t="shared" si="18"/>
        <v>.0</v>
      </c>
      <c r="F380" s="32" t="str">
        <f t="shared" si="19"/>
        <v>.0</v>
      </c>
      <c r="G380" s="37" t="str">
        <f t="shared" si="20"/>
        <v/>
      </c>
    </row>
    <row r="381" spans="5:7" x14ac:dyDescent="0.45">
      <c r="E381" s="32" t="str">
        <f t="shared" si="18"/>
        <v>.0</v>
      </c>
      <c r="F381" s="32" t="str">
        <f t="shared" si="19"/>
        <v>.0</v>
      </c>
      <c r="G381" s="37" t="str">
        <f t="shared" si="20"/>
        <v/>
      </c>
    </row>
    <row r="382" spans="5:7" x14ac:dyDescent="0.45">
      <c r="E382" s="32" t="str">
        <f t="shared" si="18"/>
        <v>.0</v>
      </c>
      <c r="F382" s="32" t="str">
        <f t="shared" si="19"/>
        <v>.0</v>
      </c>
      <c r="G382" s="37" t="str">
        <f t="shared" si="20"/>
        <v/>
      </c>
    </row>
    <row r="383" spans="5:7" x14ac:dyDescent="0.45">
      <c r="E383" s="32" t="str">
        <f t="shared" si="18"/>
        <v>.0</v>
      </c>
      <c r="F383" s="32" t="str">
        <f t="shared" si="19"/>
        <v>.0</v>
      </c>
      <c r="G383" s="37" t="str">
        <f t="shared" si="20"/>
        <v/>
      </c>
    </row>
    <row r="384" spans="5:7" x14ac:dyDescent="0.45">
      <c r="E384" s="32" t="str">
        <f t="shared" si="18"/>
        <v>.0</v>
      </c>
      <c r="F384" s="32" t="str">
        <f t="shared" si="19"/>
        <v>.0</v>
      </c>
      <c r="G384" s="37" t="str">
        <f t="shared" si="20"/>
        <v/>
      </c>
    </row>
    <row r="385" spans="5:7" x14ac:dyDescent="0.45">
      <c r="E385" s="32" t="str">
        <f t="shared" si="18"/>
        <v>.0</v>
      </c>
      <c r="F385" s="32" t="str">
        <f t="shared" si="19"/>
        <v>.0</v>
      </c>
      <c r="G385" s="37" t="str">
        <f t="shared" si="20"/>
        <v/>
      </c>
    </row>
    <row r="386" spans="5:7" x14ac:dyDescent="0.45">
      <c r="E386" s="32" t="str">
        <f t="shared" si="18"/>
        <v>.0</v>
      </c>
      <c r="F386" s="32" t="str">
        <f t="shared" si="19"/>
        <v>.0</v>
      </c>
      <c r="G386" s="37" t="str">
        <f t="shared" si="20"/>
        <v/>
      </c>
    </row>
    <row r="387" spans="5:7" x14ac:dyDescent="0.45">
      <c r="E387" s="32" t="str">
        <f t="shared" si="18"/>
        <v>.0</v>
      </c>
      <c r="F387" s="32" t="str">
        <f t="shared" si="19"/>
        <v>.0</v>
      </c>
      <c r="G387" s="37" t="str">
        <f t="shared" si="20"/>
        <v/>
      </c>
    </row>
    <row r="388" spans="5:7" x14ac:dyDescent="0.45">
      <c r="E388" s="32" t="str">
        <f t="shared" si="18"/>
        <v>.0</v>
      </c>
      <c r="F388" s="32" t="str">
        <f t="shared" si="19"/>
        <v>.0</v>
      </c>
      <c r="G388" s="37" t="str">
        <f t="shared" si="20"/>
        <v/>
      </c>
    </row>
    <row r="389" spans="5:7" x14ac:dyDescent="0.45">
      <c r="E389" s="32" t="str">
        <f t="shared" si="18"/>
        <v>.0</v>
      </c>
      <c r="F389" s="32" t="str">
        <f t="shared" si="19"/>
        <v>.0</v>
      </c>
      <c r="G389" s="37" t="str">
        <f t="shared" si="20"/>
        <v/>
      </c>
    </row>
    <row r="390" spans="5:7" x14ac:dyDescent="0.45">
      <c r="E390" s="32" t="str">
        <f t="shared" si="18"/>
        <v>.0</v>
      </c>
      <c r="F390" s="32" t="str">
        <f t="shared" si="19"/>
        <v>.0</v>
      </c>
      <c r="G390" s="37" t="str">
        <f t="shared" si="20"/>
        <v/>
      </c>
    </row>
    <row r="391" spans="5:7" x14ac:dyDescent="0.45">
      <c r="E391" s="32" t="str">
        <f t="shared" si="18"/>
        <v>.0</v>
      </c>
      <c r="F391" s="32" t="str">
        <f t="shared" si="19"/>
        <v>.0</v>
      </c>
      <c r="G391" s="37" t="str">
        <f t="shared" si="20"/>
        <v/>
      </c>
    </row>
    <row r="392" spans="5:7" x14ac:dyDescent="0.45">
      <c r="E392" s="32" t="str">
        <f t="shared" si="18"/>
        <v>.0</v>
      </c>
      <c r="F392" s="32" t="str">
        <f t="shared" si="19"/>
        <v>.0</v>
      </c>
      <c r="G392" s="37" t="str">
        <f t="shared" si="20"/>
        <v/>
      </c>
    </row>
    <row r="393" spans="5:7" x14ac:dyDescent="0.45">
      <c r="E393" s="32" t="str">
        <f t="shared" si="18"/>
        <v>.0</v>
      </c>
      <c r="F393" s="32" t="str">
        <f t="shared" si="19"/>
        <v>.0</v>
      </c>
      <c r="G393" s="37" t="str">
        <f t="shared" si="20"/>
        <v/>
      </c>
    </row>
    <row r="394" spans="5:7" x14ac:dyDescent="0.45">
      <c r="E394" s="32" t="str">
        <f t="shared" si="18"/>
        <v>.0</v>
      </c>
      <c r="F394" s="32" t="str">
        <f t="shared" si="19"/>
        <v>.0</v>
      </c>
      <c r="G394" s="37" t="str">
        <f t="shared" si="20"/>
        <v/>
      </c>
    </row>
    <row r="395" spans="5:7" x14ac:dyDescent="0.45">
      <c r="E395" s="32" t="str">
        <f t="shared" si="18"/>
        <v>.0</v>
      </c>
      <c r="F395" s="32" t="str">
        <f t="shared" si="19"/>
        <v>.0</v>
      </c>
      <c r="G395" s="37" t="str">
        <f t="shared" si="20"/>
        <v/>
      </c>
    </row>
    <row r="396" spans="5:7" x14ac:dyDescent="0.45">
      <c r="E396" s="32" t="str">
        <f t="shared" si="18"/>
        <v>.0</v>
      </c>
      <c r="F396" s="32" t="str">
        <f t="shared" si="19"/>
        <v>.0</v>
      </c>
      <c r="G396" s="37" t="str">
        <f t="shared" si="20"/>
        <v/>
      </c>
    </row>
    <row r="397" spans="5:7" x14ac:dyDescent="0.45">
      <c r="E397" s="32" t="str">
        <f t="shared" si="18"/>
        <v>.0</v>
      </c>
      <c r="F397" s="32" t="str">
        <f t="shared" si="19"/>
        <v>.0</v>
      </c>
      <c r="G397" s="37" t="str">
        <f t="shared" si="20"/>
        <v/>
      </c>
    </row>
    <row r="398" spans="5:7" x14ac:dyDescent="0.45">
      <c r="E398" s="32" t="str">
        <f t="shared" si="18"/>
        <v>.0</v>
      </c>
      <c r="F398" s="32" t="str">
        <f t="shared" si="19"/>
        <v>.0</v>
      </c>
      <c r="G398" s="37" t="str">
        <f t="shared" si="20"/>
        <v/>
      </c>
    </row>
    <row r="399" spans="5:7" x14ac:dyDescent="0.45">
      <c r="E399" s="32" t="str">
        <f t="shared" si="18"/>
        <v>.0</v>
      </c>
      <c r="F399" s="32" t="str">
        <f t="shared" si="19"/>
        <v>.0</v>
      </c>
      <c r="G399" s="37" t="str">
        <f t="shared" si="20"/>
        <v/>
      </c>
    </row>
    <row r="400" spans="5:7" x14ac:dyDescent="0.45">
      <c r="E400" s="32" t="str">
        <f t="shared" si="18"/>
        <v>.0</v>
      </c>
      <c r="F400" s="32" t="str">
        <f t="shared" si="19"/>
        <v>.0</v>
      </c>
      <c r="G400" s="37" t="str">
        <f t="shared" si="20"/>
        <v/>
      </c>
    </row>
    <row r="401" spans="5:7" x14ac:dyDescent="0.45">
      <c r="E401" s="32" t="str">
        <f t="shared" si="18"/>
        <v>.0</v>
      </c>
      <c r="F401" s="32" t="str">
        <f t="shared" si="19"/>
        <v>.0</v>
      </c>
      <c r="G401" s="37" t="str">
        <f t="shared" si="20"/>
        <v/>
      </c>
    </row>
    <row r="402" spans="5:7" x14ac:dyDescent="0.45">
      <c r="E402" s="32" t="str">
        <f t="shared" si="18"/>
        <v>.0</v>
      </c>
      <c r="F402" s="32" t="str">
        <f t="shared" si="19"/>
        <v>.0</v>
      </c>
      <c r="G402" s="37" t="str">
        <f t="shared" si="20"/>
        <v/>
      </c>
    </row>
    <row r="403" spans="5:7" x14ac:dyDescent="0.45">
      <c r="E403" s="32" t="str">
        <f t="shared" si="18"/>
        <v>.0</v>
      </c>
      <c r="F403" s="32" t="str">
        <f t="shared" si="19"/>
        <v>.0</v>
      </c>
      <c r="G403" s="37" t="str">
        <f t="shared" si="20"/>
        <v/>
      </c>
    </row>
    <row r="404" spans="5:7" x14ac:dyDescent="0.45">
      <c r="E404" s="32" t="str">
        <f t="shared" si="18"/>
        <v>.0</v>
      </c>
      <c r="F404" s="32" t="str">
        <f t="shared" si="19"/>
        <v>.0</v>
      </c>
      <c r="G404" s="37" t="str">
        <f t="shared" si="20"/>
        <v/>
      </c>
    </row>
    <row r="405" spans="5:7" x14ac:dyDescent="0.45">
      <c r="E405" s="32" t="str">
        <f t="shared" si="18"/>
        <v>.0</v>
      </c>
      <c r="F405" s="32" t="str">
        <f t="shared" si="19"/>
        <v>.0</v>
      </c>
      <c r="G405" s="37" t="str">
        <f t="shared" si="20"/>
        <v/>
      </c>
    </row>
    <row r="406" spans="5:7" x14ac:dyDescent="0.45">
      <c r="E406" s="32" t="str">
        <f t="shared" si="18"/>
        <v>.0</v>
      </c>
      <c r="F406" s="32" t="str">
        <f t="shared" si="19"/>
        <v>.0</v>
      </c>
      <c r="G406" s="37" t="str">
        <f t="shared" si="20"/>
        <v/>
      </c>
    </row>
    <row r="407" spans="5:7" x14ac:dyDescent="0.45">
      <c r="E407" s="32" t="str">
        <f t="shared" si="18"/>
        <v>.0</v>
      </c>
      <c r="F407" s="32" t="str">
        <f t="shared" si="19"/>
        <v>.0</v>
      </c>
      <c r="G407" s="37" t="str">
        <f t="shared" si="20"/>
        <v/>
      </c>
    </row>
    <row r="408" spans="5:7" x14ac:dyDescent="0.45">
      <c r="E408" s="32" t="str">
        <f t="shared" si="18"/>
        <v>.0</v>
      </c>
      <c r="F408" s="32" t="str">
        <f t="shared" si="19"/>
        <v>.0</v>
      </c>
      <c r="G408" s="37" t="str">
        <f t="shared" si="20"/>
        <v/>
      </c>
    </row>
    <row r="409" spans="5:7" x14ac:dyDescent="0.45">
      <c r="E409" s="32" t="str">
        <f t="shared" si="18"/>
        <v>.0</v>
      </c>
      <c r="F409" s="32" t="str">
        <f t="shared" si="19"/>
        <v>.0</v>
      </c>
      <c r="G409" s="37" t="str">
        <f t="shared" si="20"/>
        <v/>
      </c>
    </row>
    <row r="410" spans="5:7" x14ac:dyDescent="0.45">
      <c r="E410" s="32" t="str">
        <f t="shared" si="18"/>
        <v>.0</v>
      </c>
      <c r="F410" s="32" t="str">
        <f t="shared" si="19"/>
        <v>.0</v>
      </c>
      <c r="G410" s="37" t="str">
        <f t="shared" si="20"/>
        <v/>
      </c>
    </row>
    <row r="411" spans="5:7" x14ac:dyDescent="0.45">
      <c r="E411" s="32" t="str">
        <f t="shared" si="18"/>
        <v>.0</v>
      </c>
      <c r="F411" s="32" t="str">
        <f t="shared" si="19"/>
        <v>.0</v>
      </c>
      <c r="G411" s="37" t="str">
        <f t="shared" si="20"/>
        <v/>
      </c>
    </row>
    <row r="412" spans="5:7" x14ac:dyDescent="0.45">
      <c r="E412" s="32" t="str">
        <f t="shared" si="18"/>
        <v>.0</v>
      </c>
      <c r="F412" s="32" t="str">
        <f t="shared" si="19"/>
        <v>.0</v>
      </c>
      <c r="G412" s="37" t="str">
        <f t="shared" si="20"/>
        <v/>
      </c>
    </row>
    <row r="413" spans="5:7" x14ac:dyDescent="0.45">
      <c r="E413" s="32" t="str">
        <f t="shared" si="18"/>
        <v>.0</v>
      </c>
      <c r="F413" s="32" t="str">
        <f t="shared" si="19"/>
        <v>.0</v>
      </c>
      <c r="G413" s="37" t="str">
        <f t="shared" si="20"/>
        <v/>
      </c>
    </row>
    <row r="414" spans="5:7" x14ac:dyDescent="0.45">
      <c r="E414" s="32" t="str">
        <f t="shared" ref="E414:E477" si="21">MID(B414,3,2)&amp;"."&amp;IF(C414&lt;10,"0"&amp;C414,C414)</f>
        <v>.0</v>
      </c>
      <c r="F414" s="32" t="str">
        <f t="shared" ref="F414:F477" si="22">MID(B414,3,2)&amp;"."&amp;IF(C414&lt;10,"0"&amp;C414,C414)</f>
        <v>.0</v>
      </c>
      <c r="G414" s="37" t="str">
        <f t="shared" ref="G414:G477" si="23">TEXT(D414,"#,###,")</f>
        <v/>
      </c>
    </row>
    <row r="415" spans="5:7" x14ac:dyDescent="0.45">
      <c r="E415" s="32" t="str">
        <f t="shared" si="21"/>
        <v>.0</v>
      </c>
      <c r="F415" s="32" t="str">
        <f t="shared" si="22"/>
        <v>.0</v>
      </c>
      <c r="G415" s="37" t="str">
        <f t="shared" si="23"/>
        <v/>
      </c>
    </row>
    <row r="416" spans="5:7" x14ac:dyDescent="0.45">
      <c r="E416" s="32" t="str">
        <f t="shared" si="21"/>
        <v>.0</v>
      </c>
      <c r="F416" s="32" t="str">
        <f t="shared" si="22"/>
        <v>.0</v>
      </c>
      <c r="G416" s="37" t="str">
        <f t="shared" si="23"/>
        <v/>
      </c>
    </row>
    <row r="417" spans="5:7" x14ac:dyDescent="0.45">
      <c r="E417" s="32" t="str">
        <f t="shared" si="21"/>
        <v>.0</v>
      </c>
      <c r="F417" s="32" t="str">
        <f t="shared" si="22"/>
        <v>.0</v>
      </c>
      <c r="G417" s="37" t="str">
        <f t="shared" si="23"/>
        <v/>
      </c>
    </row>
    <row r="418" spans="5:7" x14ac:dyDescent="0.45">
      <c r="E418" s="32" t="str">
        <f t="shared" si="21"/>
        <v>.0</v>
      </c>
      <c r="F418" s="32" t="str">
        <f t="shared" si="22"/>
        <v>.0</v>
      </c>
      <c r="G418" s="37" t="str">
        <f t="shared" si="23"/>
        <v/>
      </c>
    </row>
    <row r="419" spans="5:7" x14ac:dyDescent="0.45">
      <c r="E419" s="32" t="str">
        <f t="shared" si="21"/>
        <v>.0</v>
      </c>
      <c r="F419" s="32" t="str">
        <f t="shared" si="22"/>
        <v>.0</v>
      </c>
      <c r="G419" s="37" t="str">
        <f t="shared" si="23"/>
        <v/>
      </c>
    </row>
    <row r="420" spans="5:7" x14ac:dyDescent="0.45">
      <c r="E420" s="32" t="str">
        <f t="shared" si="21"/>
        <v>.0</v>
      </c>
      <c r="F420" s="32" t="str">
        <f t="shared" si="22"/>
        <v>.0</v>
      </c>
      <c r="G420" s="37" t="str">
        <f t="shared" si="23"/>
        <v/>
      </c>
    </row>
    <row r="421" spans="5:7" x14ac:dyDescent="0.45">
      <c r="E421" s="32" t="str">
        <f t="shared" si="21"/>
        <v>.0</v>
      </c>
      <c r="F421" s="32" t="str">
        <f t="shared" si="22"/>
        <v>.0</v>
      </c>
      <c r="G421" s="37" t="str">
        <f t="shared" si="23"/>
        <v/>
      </c>
    </row>
    <row r="422" spans="5:7" x14ac:dyDescent="0.45">
      <c r="E422" s="32" t="str">
        <f t="shared" si="21"/>
        <v>.0</v>
      </c>
      <c r="F422" s="32" t="str">
        <f t="shared" si="22"/>
        <v>.0</v>
      </c>
      <c r="G422" s="37" t="str">
        <f t="shared" si="23"/>
        <v/>
      </c>
    </row>
    <row r="423" spans="5:7" x14ac:dyDescent="0.45">
      <c r="E423" s="32" t="str">
        <f t="shared" si="21"/>
        <v>.0</v>
      </c>
      <c r="F423" s="32" t="str">
        <f t="shared" si="22"/>
        <v>.0</v>
      </c>
      <c r="G423" s="37" t="str">
        <f t="shared" si="23"/>
        <v/>
      </c>
    </row>
    <row r="424" spans="5:7" x14ac:dyDescent="0.45">
      <c r="E424" s="32" t="str">
        <f t="shared" si="21"/>
        <v>.0</v>
      </c>
      <c r="F424" s="32" t="str">
        <f t="shared" si="22"/>
        <v>.0</v>
      </c>
      <c r="G424" s="37" t="str">
        <f t="shared" si="23"/>
        <v/>
      </c>
    </row>
    <row r="425" spans="5:7" x14ac:dyDescent="0.45">
      <c r="E425" s="32" t="str">
        <f t="shared" si="21"/>
        <v>.0</v>
      </c>
      <c r="F425" s="32" t="str">
        <f t="shared" si="22"/>
        <v>.0</v>
      </c>
      <c r="G425" s="37" t="str">
        <f t="shared" si="23"/>
        <v/>
      </c>
    </row>
    <row r="426" spans="5:7" x14ac:dyDescent="0.45">
      <c r="E426" s="32" t="str">
        <f t="shared" si="21"/>
        <v>.0</v>
      </c>
      <c r="F426" s="32" t="str">
        <f t="shared" si="22"/>
        <v>.0</v>
      </c>
      <c r="G426" s="37" t="str">
        <f t="shared" si="23"/>
        <v/>
      </c>
    </row>
    <row r="427" spans="5:7" x14ac:dyDescent="0.45">
      <c r="E427" s="32" t="str">
        <f t="shared" si="21"/>
        <v>.0</v>
      </c>
      <c r="F427" s="32" t="str">
        <f t="shared" si="22"/>
        <v>.0</v>
      </c>
      <c r="G427" s="37" t="str">
        <f t="shared" si="23"/>
        <v/>
      </c>
    </row>
    <row r="428" spans="5:7" x14ac:dyDescent="0.45">
      <c r="E428" s="32" t="str">
        <f t="shared" si="21"/>
        <v>.0</v>
      </c>
      <c r="F428" s="32" t="str">
        <f t="shared" si="22"/>
        <v>.0</v>
      </c>
      <c r="G428" s="37" t="str">
        <f t="shared" si="23"/>
        <v/>
      </c>
    </row>
    <row r="429" spans="5:7" x14ac:dyDescent="0.45">
      <c r="E429" s="32" t="str">
        <f t="shared" si="21"/>
        <v>.0</v>
      </c>
      <c r="F429" s="32" t="str">
        <f t="shared" si="22"/>
        <v>.0</v>
      </c>
      <c r="G429" s="37" t="str">
        <f t="shared" si="23"/>
        <v/>
      </c>
    </row>
    <row r="430" spans="5:7" x14ac:dyDescent="0.45">
      <c r="E430" s="32" t="str">
        <f t="shared" si="21"/>
        <v>.0</v>
      </c>
      <c r="F430" s="32" t="str">
        <f t="shared" si="22"/>
        <v>.0</v>
      </c>
      <c r="G430" s="37" t="str">
        <f t="shared" si="23"/>
        <v/>
      </c>
    </row>
    <row r="431" spans="5:7" x14ac:dyDescent="0.45">
      <c r="E431" s="32" t="str">
        <f t="shared" si="21"/>
        <v>.0</v>
      </c>
      <c r="F431" s="32" t="str">
        <f t="shared" si="22"/>
        <v>.0</v>
      </c>
      <c r="G431" s="37" t="str">
        <f t="shared" si="23"/>
        <v/>
      </c>
    </row>
    <row r="432" spans="5:7" x14ac:dyDescent="0.45">
      <c r="E432" s="32" t="str">
        <f t="shared" si="21"/>
        <v>.0</v>
      </c>
      <c r="F432" s="32" t="str">
        <f t="shared" si="22"/>
        <v>.0</v>
      </c>
      <c r="G432" s="37" t="str">
        <f t="shared" si="23"/>
        <v/>
      </c>
    </row>
    <row r="433" spans="5:7" x14ac:dyDescent="0.45">
      <c r="E433" s="32" t="str">
        <f t="shared" si="21"/>
        <v>.0</v>
      </c>
      <c r="F433" s="32" t="str">
        <f t="shared" si="22"/>
        <v>.0</v>
      </c>
      <c r="G433" s="37" t="str">
        <f t="shared" si="23"/>
        <v/>
      </c>
    </row>
    <row r="434" spans="5:7" x14ac:dyDescent="0.45">
      <c r="E434" s="32" t="str">
        <f t="shared" si="21"/>
        <v>.0</v>
      </c>
      <c r="F434" s="32" t="str">
        <f t="shared" si="22"/>
        <v>.0</v>
      </c>
      <c r="G434" s="37" t="str">
        <f t="shared" si="23"/>
        <v/>
      </c>
    </row>
    <row r="435" spans="5:7" x14ac:dyDescent="0.45">
      <c r="E435" s="32" t="str">
        <f t="shared" si="21"/>
        <v>.0</v>
      </c>
      <c r="F435" s="32" t="str">
        <f t="shared" si="22"/>
        <v>.0</v>
      </c>
      <c r="G435" s="37" t="str">
        <f t="shared" si="23"/>
        <v/>
      </c>
    </row>
    <row r="436" spans="5:7" x14ac:dyDescent="0.45">
      <c r="E436" s="32" t="str">
        <f t="shared" si="21"/>
        <v>.0</v>
      </c>
      <c r="F436" s="32" t="str">
        <f t="shared" si="22"/>
        <v>.0</v>
      </c>
      <c r="G436" s="37" t="str">
        <f t="shared" si="23"/>
        <v/>
      </c>
    </row>
    <row r="437" spans="5:7" x14ac:dyDescent="0.45">
      <c r="E437" s="32" t="str">
        <f t="shared" si="21"/>
        <v>.0</v>
      </c>
      <c r="F437" s="32" t="str">
        <f t="shared" si="22"/>
        <v>.0</v>
      </c>
      <c r="G437" s="37" t="str">
        <f t="shared" si="23"/>
        <v/>
      </c>
    </row>
    <row r="438" spans="5:7" x14ac:dyDescent="0.45">
      <c r="E438" s="32" t="str">
        <f t="shared" si="21"/>
        <v>.0</v>
      </c>
      <c r="F438" s="32" t="str">
        <f t="shared" si="22"/>
        <v>.0</v>
      </c>
      <c r="G438" s="37" t="str">
        <f t="shared" si="23"/>
        <v/>
      </c>
    </row>
    <row r="439" spans="5:7" x14ac:dyDescent="0.45">
      <c r="E439" s="32" t="str">
        <f t="shared" si="21"/>
        <v>.0</v>
      </c>
      <c r="F439" s="32" t="str">
        <f t="shared" si="22"/>
        <v>.0</v>
      </c>
      <c r="G439" s="37" t="str">
        <f t="shared" si="23"/>
        <v/>
      </c>
    </row>
    <row r="440" spans="5:7" x14ac:dyDescent="0.45">
      <c r="E440" s="32" t="str">
        <f t="shared" si="21"/>
        <v>.0</v>
      </c>
      <c r="F440" s="32" t="str">
        <f t="shared" si="22"/>
        <v>.0</v>
      </c>
      <c r="G440" s="37" t="str">
        <f t="shared" si="23"/>
        <v/>
      </c>
    </row>
    <row r="441" spans="5:7" x14ac:dyDescent="0.45">
      <c r="E441" s="32" t="str">
        <f t="shared" si="21"/>
        <v>.0</v>
      </c>
      <c r="F441" s="32" t="str">
        <f t="shared" si="22"/>
        <v>.0</v>
      </c>
      <c r="G441" s="37" t="str">
        <f t="shared" si="23"/>
        <v/>
      </c>
    </row>
    <row r="442" spans="5:7" x14ac:dyDescent="0.45">
      <c r="E442" s="32" t="str">
        <f t="shared" si="21"/>
        <v>.0</v>
      </c>
      <c r="F442" s="32" t="str">
        <f t="shared" si="22"/>
        <v>.0</v>
      </c>
      <c r="G442" s="37" t="str">
        <f t="shared" si="23"/>
        <v/>
      </c>
    </row>
    <row r="443" spans="5:7" x14ac:dyDescent="0.45">
      <c r="E443" s="32" t="str">
        <f t="shared" si="21"/>
        <v>.0</v>
      </c>
      <c r="F443" s="32" t="str">
        <f t="shared" si="22"/>
        <v>.0</v>
      </c>
      <c r="G443" s="37" t="str">
        <f t="shared" si="23"/>
        <v/>
      </c>
    </row>
    <row r="444" spans="5:7" x14ac:dyDescent="0.45">
      <c r="E444" s="32" t="str">
        <f t="shared" si="21"/>
        <v>.0</v>
      </c>
      <c r="F444" s="32" t="str">
        <f t="shared" si="22"/>
        <v>.0</v>
      </c>
      <c r="G444" s="37" t="str">
        <f t="shared" si="23"/>
        <v/>
      </c>
    </row>
    <row r="445" spans="5:7" x14ac:dyDescent="0.45">
      <c r="E445" s="32" t="str">
        <f t="shared" si="21"/>
        <v>.0</v>
      </c>
      <c r="F445" s="32" t="str">
        <f t="shared" si="22"/>
        <v>.0</v>
      </c>
      <c r="G445" s="37" t="str">
        <f t="shared" si="23"/>
        <v/>
      </c>
    </row>
    <row r="446" spans="5:7" x14ac:dyDescent="0.45">
      <c r="E446" s="32" t="str">
        <f t="shared" si="21"/>
        <v>.0</v>
      </c>
      <c r="F446" s="32" t="str">
        <f t="shared" si="22"/>
        <v>.0</v>
      </c>
      <c r="G446" s="37" t="str">
        <f t="shared" si="23"/>
        <v/>
      </c>
    </row>
    <row r="447" spans="5:7" x14ac:dyDescent="0.45">
      <c r="E447" s="32" t="str">
        <f t="shared" si="21"/>
        <v>.0</v>
      </c>
      <c r="F447" s="32" t="str">
        <f t="shared" si="22"/>
        <v>.0</v>
      </c>
      <c r="G447" s="37" t="str">
        <f t="shared" si="23"/>
        <v/>
      </c>
    </row>
    <row r="448" spans="5:7" x14ac:dyDescent="0.45">
      <c r="E448" s="32" t="str">
        <f t="shared" si="21"/>
        <v>.0</v>
      </c>
      <c r="F448" s="32" t="str">
        <f t="shared" si="22"/>
        <v>.0</v>
      </c>
      <c r="G448" s="37" t="str">
        <f t="shared" si="23"/>
        <v/>
      </c>
    </row>
    <row r="449" spans="5:7" x14ac:dyDescent="0.45">
      <c r="E449" s="32" t="str">
        <f t="shared" si="21"/>
        <v>.0</v>
      </c>
      <c r="F449" s="32" t="str">
        <f t="shared" si="22"/>
        <v>.0</v>
      </c>
      <c r="G449" s="37" t="str">
        <f t="shared" si="23"/>
        <v/>
      </c>
    </row>
    <row r="450" spans="5:7" x14ac:dyDescent="0.45">
      <c r="E450" s="32" t="str">
        <f t="shared" si="21"/>
        <v>.0</v>
      </c>
      <c r="F450" s="32" t="str">
        <f t="shared" si="22"/>
        <v>.0</v>
      </c>
      <c r="G450" s="37" t="str">
        <f t="shared" si="23"/>
        <v/>
      </c>
    </row>
    <row r="451" spans="5:7" x14ac:dyDescent="0.45">
      <c r="E451" s="32" t="str">
        <f t="shared" si="21"/>
        <v>.0</v>
      </c>
      <c r="F451" s="32" t="str">
        <f t="shared" si="22"/>
        <v>.0</v>
      </c>
      <c r="G451" s="37" t="str">
        <f t="shared" si="23"/>
        <v/>
      </c>
    </row>
    <row r="452" spans="5:7" x14ac:dyDescent="0.45">
      <c r="E452" s="32" t="str">
        <f t="shared" si="21"/>
        <v>.0</v>
      </c>
      <c r="F452" s="32" t="str">
        <f t="shared" si="22"/>
        <v>.0</v>
      </c>
      <c r="G452" s="37" t="str">
        <f t="shared" si="23"/>
        <v/>
      </c>
    </row>
    <row r="453" spans="5:7" x14ac:dyDescent="0.45">
      <c r="E453" s="32" t="str">
        <f t="shared" si="21"/>
        <v>.0</v>
      </c>
      <c r="F453" s="32" t="str">
        <f t="shared" si="22"/>
        <v>.0</v>
      </c>
      <c r="G453" s="37" t="str">
        <f t="shared" si="23"/>
        <v/>
      </c>
    </row>
    <row r="454" spans="5:7" x14ac:dyDescent="0.45">
      <c r="E454" s="32" t="str">
        <f t="shared" si="21"/>
        <v>.0</v>
      </c>
      <c r="F454" s="32" t="str">
        <f t="shared" si="22"/>
        <v>.0</v>
      </c>
      <c r="G454" s="37" t="str">
        <f t="shared" si="23"/>
        <v/>
      </c>
    </row>
    <row r="455" spans="5:7" x14ac:dyDescent="0.45">
      <c r="E455" s="32" t="str">
        <f t="shared" si="21"/>
        <v>.0</v>
      </c>
      <c r="F455" s="32" t="str">
        <f t="shared" si="22"/>
        <v>.0</v>
      </c>
      <c r="G455" s="37" t="str">
        <f t="shared" si="23"/>
        <v/>
      </c>
    </row>
    <row r="456" spans="5:7" x14ac:dyDescent="0.45">
      <c r="E456" s="32" t="str">
        <f t="shared" si="21"/>
        <v>.0</v>
      </c>
      <c r="F456" s="32" t="str">
        <f t="shared" si="22"/>
        <v>.0</v>
      </c>
      <c r="G456" s="37" t="str">
        <f t="shared" si="23"/>
        <v/>
      </c>
    </row>
    <row r="457" spans="5:7" x14ac:dyDescent="0.45">
      <c r="E457" s="32" t="str">
        <f t="shared" si="21"/>
        <v>.0</v>
      </c>
      <c r="F457" s="32" t="str">
        <f t="shared" si="22"/>
        <v>.0</v>
      </c>
      <c r="G457" s="37" t="str">
        <f t="shared" si="23"/>
        <v/>
      </c>
    </row>
    <row r="458" spans="5:7" x14ac:dyDescent="0.45">
      <c r="E458" s="32" t="str">
        <f t="shared" si="21"/>
        <v>.0</v>
      </c>
      <c r="F458" s="32" t="str">
        <f t="shared" si="22"/>
        <v>.0</v>
      </c>
      <c r="G458" s="37" t="str">
        <f t="shared" si="23"/>
        <v/>
      </c>
    </row>
    <row r="459" spans="5:7" x14ac:dyDescent="0.45">
      <c r="E459" s="32" t="str">
        <f t="shared" si="21"/>
        <v>.0</v>
      </c>
      <c r="F459" s="32" t="str">
        <f t="shared" si="22"/>
        <v>.0</v>
      </c>
      <c r="G459" s="37" t="str">
        <f t="shared" si="23"/>
        <v/>
      </c>
    </row>
    <row r="460" spans="5:7" x14ac:dyDescent="0.45">
      <c r="E460" s="32" t="str">
        <f t="shared" si="21"/>
        <v>.0</v>
      </c>
      <c r="F460" s="32" t="str">
        <f t="shared" si="22"/>
        <v>.0</v>
      </c>
      <c r="G460" s="37" t="str">
        <f t="shared" si="23"/>
        <v/>
      </c>
    </row>
    <row r="461" spans="5:7" x14ac:dyDescent="0.45">
      <c r="E461" s="32" t="str">
        <f t="shared" si="21"/>
        <v>.0</v>
      </c>
      <c r="F461" s="32" t="str">
        <f t="shared" si="22"/>
        <v>.0</v>
      </c>
      <c r="G461" s="37" t="str">
        <f t="shared" si="23"/>
        <v/>
      </c>
    </row>
    <row r="462" spans="5:7" x14ac:dyDescent="0.45">
      <c r="E462" s="32" t="str">
        <f t="shared" si="21"/>
        <v>.0</v>
      </c>
      <c r="F462" s="32" t="str">
        <f t="shared" si="22"/>
        <v>.0</v>
      </c>
      <c r="G462" s="37" t="str">
        <f t="shared" si="23"/>
        <v/>
      </c>
    </row>
    <row r="463" spans="5:7" x14ac:dyDescent="0.45">
      <c r="E463" s="32" t="str">
        <f t="shared" si="21"/>
        <v>.0</v>
      </c>
      <c r="F463" s="32" t="str">
        <f t="shared" si="22"/>
        <v>.0</v>
      </c>
      <c r="G463" s="37" t="str">
        <f t="shared" si="23"/>
        <v/>
      </c>
    </row>
    <row r="464" spans="5:7" x14ac:dyDescent="0.45">
      <c r="E464" s="32" t="str">
        <f t="shared" si="21"/>
        <v>.0</v>
      </c>
      <c r="F464" s="32" t="str">
        <f t="shared" si="22"/>
        <v>.0</v>
      </c>
      <c r="G464" s="37" t="str">
        <f t="shared" si="23"/>
        <v/>
      </c>
    </row>
    <row r="465" spans="5:7" x14ac:dyDescent="0.45">
      <c r="E465" s="32" t="str">
        <f t="shared" si="21"/>
        <v>.0</v>
      </c>
      <c r="F465" s="32" t="str">
        <f t="shared" si="22"/>
        <v>.0</v>
      </c>
      <c r="G465" s="37" t="str">
        <f t="shared" si="23"/>
        <v/>
      </c>
    </row>
    <row r="466" spans="5:7" x14ac:dyDescent="0.45">
      <c r="E466" s="32" t="str">
        <f t="shared" si="21"/>
        <v>.0</v>
      </c>
      <c r="F466" s="32" t="str">
        <f t="shared" si="22"/>
        <v>.0</v>
      </c>
      <c r="G466" s="37" t="str">
        <f t="shared" si="23"/>
        <v/>
      </c>
    </row>
    <row r="467" spans="5:7" x14ac:dyDescent="0.45">
      <c r="E467" s="32" t="str">
        <f t="shared" si="21"/>
        <v>.0</v>
      </c>
      <c r="F467" s="32" t="str">
        <f t="shared" si="22"/>
        <v>.0</v>
      </c>
      <c r="G467" s="37" t="str">
        <f t="shared" si="23"/>
        <v/>
      </c>
    </row>
    <row r="468" spans="5:7" x14ac:dyDescent="0.45">
      <c r="E468" s="32" t="str">
        <f t="shared" si="21"/>
        <v>.0</v>
      </c>
      <c r="F468" s="32" t="str">
        <f t="shared" si="22"/>
        <v>.0</v>
      </c>
      <c r="G468" s="37" t="str">
        <f t="shared" si="23"/>
        <v/>
      </c>
    </row>
    <row r="469" spans="5:7" x14ac:dyDescent="0.45">
      <c r="E469" s="32" t="str">
        <f t="shared" si="21"/>
        <v>.0</v>
      </c>
      <c r="F469" s="32" t="str">
        <f t="shared" si="22"/>
        <v>.0</v>
      </c>
      <c r="G469" s="37" t="str">
        <f t="shared" si="23"/>
        <v/>
      </c>
    </row>
    <row r="470" spans="5:7" x14ac:dyDescent="0.45">
      <c r="E470" s="32" t="str">
        <f t="shared" si="21"/>
        <v>.0</v>
      </c>
      <c r="F470" s="32" t="str">
        <f t="shared" si="22"/>
        <v>.0</v>
      </c>
      <c r="G470" s="37" t="str">
        <f t="shared" si="23"/>
        <v/>
      </c>
    </row>
    <row r="471" spans="5:7" x14ac:dyDescent="0.45">
      <c r="E471" s="32" t="str">
        <f t="shared" si="21"/>
        <v>.0</v>
      </c>
      <c r="F471" s="32" t="str">
        <f t="shared" si="22"/>
        <v>.0</v>
      </c>
      <c r="G471" s="37" t="str">
        <f t="shared" si="23"/>
        <v/>
      </c>
    </row>
    <row r="472" spans="5:7" x14ac:dyDescent="0.45">
      <c r="E472" s="32" t="str">
        <f t="shared" si="21"/>
        <v>.0</v>
      </c>
      <c r="F472" s="32" t="str">
        <f t="shared" si="22"/>
        <v>.0</v>
      </c>
      <c r="G472" s="37" t="str">
        <f t="shared" si="23"/>
        <v/>
      </c>
    </row>
    <row r="473" spans="5:7" x14ac:dyDescent="0.45">
      <c r="E473" s="32" t="str">
        <f t="shared" si="21"/>
        <v>.0</v>
      </c>
      <c r="F473" s="32" t="str">
        <f t="shared" si="22"/>
        <v>.0</v>
      </c>
      <c r="G473" s="37" t="str">
        <f t="shared" si="23"/>
        <v/>
      </c>
    </row>
    <row r="474" spans="5:7" x14ac:dyDescent="0.45">
      <c r="E474" s="32" t="str">
        <f t="shared" si="21"/>
        <v>.0</v>
      </c>
      <c r="F474" s="32" t="str">
        <f t="shared" si="22"/>
        <v>.0</v>
      </c>
      <c r="G474" s="37" t="str">
        <f t="shared" si="23"/>
        <v/>
      </c>
    </row>
    <row r="475" spans="5:7" x14ac:dyDescent="0.45">
      <c r="E475" s="32" t="str">
        <f t="shared" si="21"/>
        <v>.0</v>
      </c>
      <c r="F475" s="32" t="str">
        <f t="shared" si="22"/>
        <v>.0</v>
      </c>
      <c r="G475" s="37" t="str">
        <f t="shared" si="23"/>
        <v/>
      </c>
    </row>
    <row r="476" spans="5:7" x14ac:dyDescent="0.45">
      <c r="E476" s="32" t="str">
        <f t="shared" si="21"/>
        <v>.0</v>
      </c>
      <c r="F476" s="32" t="str">
        <f t="shared" si="22"/>
        <v>.0</v>
      </c>
      <c r="G476" s="37" t="str">
        <f t="shared" si="23"/>
        <v/>
      </c>
    </row>
    <row r="477" spans="5:7" x14ac:dyDescent="0.45">
      <c r="E477" s="32" t="str">
        <f t="shared" si="21"/>
        <v>.0</v>
      </c>
      <c r="F477" s="32" t="str">
        <f t="shared" si="22"/>
        <v>.0</v>
      </c>
      <c r="G477" s="37" t="str">
        <f t="shared" si="23"/>
        <v/>
      </c>
    </row>
    <row r="478" spans="5:7" x14ac:dyDescent="0.45">
      <c r="E478" s="32" t="str">
        <f t="shared" ref="E478:E541" si="24">MID(B478,3,2)&amp;"."&amp;IF(C478&lt;10,"0"&amp;C478,C478)</f>
        <v>.0</v>
      </c>
      <c r="F478" s="32" t="str">
        <f t="shared" ref="F478:F541" si="25">MID(B478,3,2)&amp;"."&amp;IF(C478&lt;10,"0"&amp;C478,C478)</f>
        <v>.0</v>
      </c>
      <c r="G478" s="37" t="str">
        <f t="shared" ref="G478:G541" si="26">TEXT(D478,"#,###,")</f>
        <v/>
      </c>
    </row>
    <row r="479" spans="5:7" x14ac:dyDescent="0.45">
      <c r="E479" s="32" t="str">
        <f t="shared" si="24"/>
        <v>.0</v>
      </c>
      <c r="F479" s="32" t="str">
        <f t="shared" si="25"/>
        <v>.0</v>
      </c>
      <c r="G479" s="37" t="str">
        <f t="shared" si="26"/>
        <v/>
      </c>
    </row>
    <row r="480" spans="5:7" x14ac:dyDescent="0.45">
      <c r="E480" s="32" t="str">
        <f t="shared" si="24"/>
        <v>.0</v>
      </c>
      <c r="F480" s="32" t="str">
        <f t="shared" si="25"/>
        <v>.0</v>
      </c>
      <c r="G480" s="37" t="str">
        <f t="shared" si="26"/>
        <v/>
      </c>
    </row>
    <row r="481" spans="5:7" x14ac:dyDescent="0.45">
      <c r="E481" s="32" t="str">
        <f t="shared" si="24"/>
        <v>.0</v>
      </c>
      <c r="F481" s="32" t="str">
        <f t="shared" si="25"/>
        <v>.0</v>
      </c>
      <c r="G481" s="37" t="str">
        <f t="shared" si="26"/>
        <v/>
      </c>
    </row>
    <row r="482" spans="5:7" x14ac:dyDescent="0.45">
      <c r="E482" s="32" t="str">
        <f t="shared" si="24"/>
        <v>.0</v>
      </c>
      <c r="F482" s="32" t="str">
        <f t="shared" si="25"/>
        <v>.0</v>
      </c>
      <c r="G482" s="37" t="str">
        <f t="shared" si="26"/>
        <v/>
      </c>
    </row>
    <row r="483" spans="5:7" x14ac:dyDescent="0.45">
      <c r="E483" s="32" t="str">
        <f t="shared" si="24"/>
        <v>.0</v>
      </c>
      <c r="F483" s="32" t="str">
        <f t="shared" si="25"/>
        <v>.0</v>
      </c>
      <c r="G483" s="37" t="str">
        <f t="shared" si="26"/>
        <v/>
      </c>
    </row>
    <row r="484" spans="5:7" x14ac:dyDescent="0.45">
      <c r="E484" s="32" t="str">
        <f t="shared" si="24"/>
        <v>.0</v>
      </c>
      <c r="F484" s="32" t="str">
        <f t="shared" si="25"/>
        <v>.0</v>
      </c>
      <c r="G484" s="37" t="str">
        <f t="shared" si="26"/>
        <v/>
      </c>
    </row>
    <row r="485" spans="5:7" x14ac:dyDescent="0.45">
      <c r="E485" s="32" t="str">
        <f t="shared" si="24"/>
        <v>.0</v>
      </c>
      <c r="F485" s="32" t="str">
        <f t="shared" si="25"/>
        <v>.0</v>
      </c>
      <c r="G485" s="37" t="str">
        <f t="shared" si="26"/>
        <v/>
      </c>
    </row>
    <row r="486" spans="5:7" x14ac:dyDescent="0.45">
      <c r="E486" s="32" t="str">
        <f t="shared" si="24"/>
        <v>.0</v>
      </c>
      <c r="F486" s="32" t="str">
        <f t="shared" si="25"/>
        <v>.0</v>
      </c>
      <c r="G486" s="37" t="str">
        <f t="shared" si="26"/>
        <v/>
      </c>
    </row>
    <row r="487" spans="5:7" x14ac:dyDescent="0.45">
      <c r="E487" s="32" t="str">
        <f t="shared" si="24"/>
        <v>.0</v>
      </c>
      <c r="F487" s="32" t="str">
        <f t="shared" si="25"/>
        <v>.0</v>
      </c>
      <c r="G487" s="37" t="str">
        <f t="shared" si="26"/>
        <v/>
      </c>
    </row>
    <row r="488" spans="5:7" x14ac:dyDescent="0.45">
      <c r="E488" s="32" t="str">
        <f t="shared" si="24"/>
        <v>.0</v>
      </c>
      <c r="F488" s="32" t="str">
        <f t="shared" si="25"/>
        <v>.0</v>
      </c>
      <c r="G488" s="37" t="str">
        <f t="shared" si="26"/>
        <v/>
      </c>
    </row>
    <row r="489" spans="5:7" x14ac:dyDescent="0.45">
      <c r="E489" s="32" t="str">
        <f t="shared" si="24"/>
        <v>.0</v>
      </c>
      <c r="F489" s="32" t="str">
        <f t="shared" si="25"/>
        <v>.0</v>
      </c>
      <c r="G489" s="37" t="str">
        <f t="shared" si="26"/>
        <v/>
      </c>
    </row>
    <row r="490" spans="5:7" x14ac:dyDescent="0.45">
      <c r="E490" s="32" t="str">
        <f t="shared" si="24"/>
        <v>.0</v>
      </c>
      <c r="F490" s="32" t="str">
        <f t="shared" si="25"/>
        <v>.0</v>
      </c>
      <c r="G490" s="37" t="str">
        <f t="shared" si="26"/>
        <v/>
      </c>
    </row>
    <row r="491" spans="5:7" x14ac:dyDescent="0.45">
      <c r="E491" s="32" t="str">
        <f t="shared" si="24"/>
        <v>.0</v>
      </c>
      <c r="F491" s="32" t="str">
        <f t="shared" si="25"/>
        <v>.0</v>
      </c>
      <c r="G491" s="37" t="str">
        <f t="shared" si="26"/>
        <v/>
      </c>
    </row>
    <row r="492" spans="5:7" x14ac:dyDescent="0.45">
      <c r="E492" s="32" t="str">
        <f t="shared" si="24"/>
        <v>.0</v>
      </c>
      <c r="F492" s="32" t="str">
        <f t="shared" si="25"/>
        <v>.0</v>
      </c>
      <c r="G492" s="37" t="str">
        <f t="shared" si="26"/>
        <v/>
      </c>
    </row>
    <row r="493" spans="5:7" x14ac:dyDescent="0.45">
      <c r="E493" s="32" t="str">
        <f t="shared" si="24"/>
        <v>.0</v>
      </c>
      <c r="F493" s="32" t="str">
        <f t="shared" si="25"/>
        <v>.0</v>
      </c>
      <c r="G493" s="37" t="str">
        <f t="shared" si="26"/>
        <v/>
      </c>
    </row>
    <row r="494" spans="5:7" x14ac:dyDescent="0.45">
      <c r="E494" s="32" t="str">
        <f t="shared" si="24"/>
        <v>.0</v>
      </c>
      <c r="F494" s="32" t="str">
        <f t="shared" si="25"/>
        <v>.0</v>
      </c>
      <c r="G494" s="37" t="str">
        <f t="shared" si="26"/>
        <v/>
      </c>
    </row>
    <row r="495" spans="5:7" x14ac:dyDescent="0.45">
      <c r="E495" s="32" t="str">
        <f t="shared" si="24"/>
        <v>.0</v>
      </c>
      <c r="F495" s="32" t="str">
        <f t="shared" si="25"/>
        <v>.0</v>
      </c>
      <c r="G495" s="37" t="str">
        <f t="shared" si="26"/>
        <v/>
      </c>
    </row>
    <row r="496" spans="5:7" x14ac:dyDescent="0.45">
      <c r="E496" s="32" t="str">
        <f t="shared" si="24"/>
        <v>.0</v>
      </c>
      <c r="F496" s="32" t="str">
        <f t="shared" si="25"/>
        <v>.0</v>
      </c>
      <c r="G496" s="37" t="str">
        <f t="shared" si="26"/>
        <v/>
      </c>
    </row>
    <row r="497" spans="5:7" x14ac:dyDescent="0.45">
      <c r="E497" s="32" t="str">
        <f t="shared" si="24"/>
        <v>.0</v>
      </c>
      <c r="F497" s="32" t="str">
        <f t="shared" si="25"/>
        <v>.0</v>
      </c>
      <c r="G497" s="37" t="str">
        <f t="shared" si="26"/>
        <v/>
      </c>
    </row>
    <row r="498" spans="5:7" x14ac:dyDescent="0.45">
      <c r="E498" s="32" t="str">
        <f t="shared" si="24"/>
        <v>.0</v>
      </c>
      <c r="F498" s="32" t="str">
        <f t="shared" si="25"/>
        <v>.0</v>
      </c>
      <c r="G498" s="37" t="str">
        <f t="shared" si="26"/>
        <v/>
      </c>
    </row>
    <row r="499" spans="5:7" x14ac:dyDescent="0.45">
      <c r="E499" s="32" t="str">
        <f t="shared" si="24"/>
        <v>.0</v>
      </c>
      <c r="F499" s="32" t="str">
        <f t="shared" si="25"/>
        <v>.0</v>
      </c>
      <c r="G499" s="37" t="str">
        <f t="shared" si="26"/>
        <v/>
      </c>
    </row>
    <row r="500" spans="5:7" x14ac:dyDescent="0.45">
      <c r="E500" s="32" t="str">
        <f t="shared" si="24"/>
        <v>.0</v>
      </c>
      <c r="F500" s="32" t="str">
        <f t="shared" si="25"/>
        <v>.0</v>
      </c>
      <c r="G500" s="37" t="str">
        <f t="shared" si="26"/>
        <v/>
      </c>
    </row>
    <row r="501" spans="5:7" x14ac:dyDescent="0.45">
      <c r="E501" s="32" t="str">
        <f t="shared" si="24"/>
        <v>.0</v>
      </c>
      <c r="F501" s="32" t="str">
        <f t="shared" si="25"/>
        <v>.0</v>
      </c>
      <c r="G501" s="37" t="str">
        <f t="shared" si="26"/>
        <v/>
      </c>
    </row>
    <row r="502" spans="5:7" x14ac:dyDescent="0.45">
      <c r="E502" s="32" t="str">
        <f t="shared" si="24"/>
        <v>.0</v>
      </c>
      <c r="F502" s="32" t="str">
        <f t="shared" si="25"/>
        <v>.0</v>
      </c>
      <c r="G502" s="37" t="str">
        <f t="shared" si="26"/>
        <v/>
      </c>
    </row>
    <row r="503" spans="5:7" x14ac:dyDescent="0.45">
      <c r="E503" s="32" t="str">
        <f t="shared" si="24"/>
        <v>.0</v>
      </c>
      <c r="F503" s="32" t="str">
        <f t="shared" si="25"/>
        <v>.0</v>
      </c>
      <c r="G503" s="37" t="str">
        <f t="shared" si="26"/>
        <v/>
      </c>
    </row>
    <row r="504" spans="5:7" x14ac:dyDescent="0.45">
      <c r="E504" s="32" t="str">
        <f t="shared" si="24"/>
        <v>.0</v>
      </c>
      <c r="F504" s="32" t="str">
        <f t="shared" si="25"/>
        <v>.0</v>
      </c>
      <c r="G504" s="37" t="str">
        <f t="shared" si="26"/>
        <v/>
      </c>
    </row>
    <row r="505" spans="5:7" x14ac:dyDescent="0.45">
      <c r="E505" s="32" t="str">
        <f t="shared" si="24"/>
        <v>.0</v>
      </c>
      <c r="F505" s="32" t="str">
        <f t="shared" si="25"/>
        <v>.0</v>
      </c>
      <c r="G505" s="37" t="str">
        <f t="shared" si="26"/>
        <v/>
      </c>
    </row>
    <row r="506" spans="5:7" x14ac:dyDescent="0.45">
      <c r="E506" s="32" t="str">
        <f t="shared" si="24"/>
        <v>.0</v>
      </c>
      <c r="F506" s="32" t="str">
        <f t="shared" si="25"/>
        <v>.0</v>
      </c>
      <c r="G506" s="37" t="str">
        <f t="shared" si="26"/>
        <v/>
      </c>
    </row>
    <row r="507" spans="5:7" x14ac:dyDescent="0.45">
      <c r="E507" s="32" t="str">
        <f t="shared" si="24"/>
        <v>.0</v>
      </c>
      <c r="F507" s="32" t="str">
        <f t="shared" si="25"/>
        <v>.0</v>
      </c>
      <c r="G507" s="37" t="str">
        <f t="shared" si="26"/>
        <v/>
      </c>
    </row>
    <row r="508" spans="5:7" x14ac:dyDescent="0.45">
      <c r="E508" s="32" t="str">
        <f t="shared" si="24"/>
        <v>.0</v>
      </c>
      <c r="F508" s="32" t="str">
        <f t="shared" si="25"/>
        <v>.0</v>
      </c>
      <c r="G508" s="37" t="str">
        <f t="shared" si="26"/>
        <v/>
      </c>
    </row>
    <row r="509" spans="5:7" x14ac:dyDescent="0.45">
      <c r="E509" s="32" t="str">
        <f t="shared" si="24"/>
        <v>.0</v>
      </c>
      <c r="F509" s="32" t="str">
        <f t="shared" si="25"/>
        <v>.0</v>
      </c>
      <c r="G509" s="37" t="str">
        <f t="shared" si="26"/>
        <v/>
      </c>
    </row>
    <row r="510" spans="5:7" x14ac:dyDescent="0.45">
      <c r="E510" s="32" t="str">
        <f t="shared" si="24"/>
        <v>.0</v>
      </c>
      <c r="F510" s="32" t="str">
        <f t="shared" si="25"/>
        <v>.0</v>
      </c>
      <c r="G510" s="37" t="str">
        <f t="shared" si="26"/>
        <v/>
      </c>
    </row>
    <row r="511" spans="5:7" x14ac:dyDescent="0.45">
      <c r="E511" s="32" t="str">
        <f t="shared" si="24"/>
        <v>.0</v>
      </c>
      <c r="F511" s="32" t="str">
        <f t="shared" si="25"/>
        <v>.0</v>
      </c>
      <c r="G511" s="37" t="str">
        <f t="shared" si="26"/>
        <v/>
      </c>
    </row>
    <row r="512" spans="5:7" x14ac:dyDescent="0.45">
      <c r="E512" s="32" t="str">
        <f t="shared" si="24"/>
        <v>.0</v>
      </c>
      <c r="F512" s="32" t="str">
        <f t="shared" si="25"/>
        <v>.0</v>
      </c>
      <c r="G512" s="37" t="str">
        <f t="shared" si="26"/>
        <v/>
      </c>
    </row>
    <row r="513" spans="5:7" x14ac:dyDescent="0.45">
      <c r="E513" s="32" t="str">
        <f t="shared" si="24"/>
        <v>.0</v>
      </c>
      <c r="F513" s="32" t="str">
        <f t="shared" si="25"/>
        <v>.0</v>
      </c>
      <c r="G513" s="37" t="str">
        <f t="shared" si="26"/>
        <v/>
      </c>
    </row>
    <row r="514" spans="5:7" x14ac:dyDescent="0.45">
      <c r="E514" s="32" t="str">
        <f t="shared" si="24"/>
        <v>.0</v>
      </c>
      <c r="F514" s="32" t="str">
        <f t="shared" si="25"/>
        <v>.0</v>
      </c>
      <c r="G514" s="37" t="str">
        <f t="shared" si="26"/>
        <v/>
      </c>
    </row>
    <row r="515" spans="5:7" x14ac:dyDescent="0.45">
      <c r="E515" s="32" t="str">
        <f t="shared" si="24"/>
        <v>.0</v>
      </c>
      <c r="F515" s="32" t="str">
        <f t="shared" si="25"/>
        <v>.0</v>
      </c>
      <c r="G515" s="37" t="str">
        <f t="shared" si="26"/>
        <v/>
      </c>
    </row>
    <row r="516" spans="5:7" x14ac:dyDescent="0.45">
      <c r="E516" s="32" t="str">
        <f t="shared" si="24"/>
        <v>.0</v>
      </c>
      <c r="F516" s="32" t="str">
        <f t="shared" si="25"/>
        <v>.0</v>
      </c>
      <c r="G516" s="37" t="str">
        <f t="shared" si="26"/>
        <v/>
      </c>
    </row>
    <row r="517" spans="5:7" x14ac:dyDescent="0.45">
      <c r="E517" s="32" t="str">
        <f t="shared" si="24"/>
        <v>.0</v>
      </c>
      <c r="F517" s="32" t="str">
        <f t="shared" si="25"/>
        <v>.0</v>
      </c>
      <c r="G517" s="37" t="str">
        <f t="shared" si="26"/>
        <v/>
      </c>
    </row>
    <row r="518" spans="5:7" x14ac:dyDescent="0.45">
      <c r="E518" s="32" t="str">
        <f t="shared" si="24"/>
        <v>.0</v>
      </c>
      <c r="F518" s="32" t="str">
        <f t="shared" si="25"/>
        <v>.0</v>
      </c>
      <c r="G518" s="37" t="str">
        <f t="shared" si="26"/>
        <v/>
      </c>
    </row>
    <row r="519" spans="5:7" x14ac:dyDescent="0.45">
      <c r="E519" s="32" t="str">
        <f t="shared" si="24"/>
        <v>.0</v>
      </c>
      <c r="F519" s="32" t="str">
        <f t="shared" si="25"/>
        <v>.0</v>
      </c>
      <c r="G519" s="37" t="str">
        <f t="shared" si="26"/>
        <v/>
      </c>
    </row>
    <row r="520" spans="5:7" x14ac:dyDescent="0.45">
      <c r="E520" s="32" t="str">
        <f t="shared" si="24"/>
        <v>.0</v>
      </c>
      <c r="F520" s="32" t="str">
        <f t="shared" si="25"/>
        <v>.0</v>
      </c>
      <c r="G520" s="37" t="str">
        <f t="shared" si="26"/>
        <v/>
      </c>
    </row>
    <row r="521" spans="5:7" x14ac:dyDescent="0.45">
      <c r="E521" s="32" t="str">
        <f t="shared" si="24"/>
        <v>.0</v>
      </c>
      <c r="F521" s="32" t="str">
        <f t="shared" si="25"/>
        <v>.0</v>
      </c>
      <c r="G521" s="37" t="str">
        <f t="shared" si="26"/>
        <v/>
      </c>
    </row>
    <row r="522" spans="5:7" x14ac:dyDescent="0.45">
      <c r="E522" s="32" t="str">
        <f t="shared" si="24"/>
        <v>.0</v>
      </c>
      <c r="F522" s="32" t="str">
        <f t="shared" si="25"/>
        <v>.0</v>
      </c>
      <c r="G522" s="37" t="str">
        <f t="shared" si="26"/>
        <v/>
      </c>
    </row>
    <row r="523" spans="5:7" x14ac:dyDescent="0.45">
      <c r="E523" s="32" t="str">
        <f t="shared" si="24"/>
        <v>.0</v>
      </c>
      <c r="F523" s="32" t="str">
        <f t="shared" si="25"/>
        <v>.0</v>
      </c>
      <c r="G523" s="37" t="str">
        <f t="shared" si="26"/>
        <v/>
      </c>
    </row>
    <row r="524" spans="5:7" x14ac:dyDescent="0.45">
      <c r="E524" s="32" t="str">
        <f t="shared" si="24"/>
        <v>.0</v>
      </c>
      <c r="F524" s="32" t="str">
        <f t="shared" si="25"/>
        <v>.0</v>
      </c>
      <c r="G524" s="37" t="str">
        <f t="shared" si="26"/>
        <v/>
      </c>
    </row>
    <row r="525" spans="5:7" x14ac:dyDescent="0.45">
      <c r="E525" s="32" t="str">
        <f t="shared" si="24"/>
        <v>.0</v>
      </c>
      <c r="F525" s="32" t="str">
        <f t="shared" si="25"/>
        <v>.0</v>
      </c>
      <c r="G525" s="37" t="str">
        <f t="shared" si="26"/>
        <v/>
      </c>
    </row>
    <row r="526" spans="5:7" x14ac:dyDescent="0.45">
      <c r="E526" s="32" t="str">
        <f t="shared" si="24"/>
        <v>.0</v>
      </c>
      <c r="F526" s="32" t="str">
        <f t="shared" si="25"/>
        <v>.0</v>
      </c>
      <c r="G526" s="37" t="str">
        <f t="shared" si="26"/>
        <v/>
      </c>
    </row>
    <row r="527" spans="5:7" x14ac:dyDescent="0.45">
      <c r="E527" s="32" t="str">
        <f t="shared" si="24"/>
        <v>.0</v>
      </c>
      <c r="F527" s="32" t="str">
        <f t="shared" si="25"/>
        <v>.0</v>
      </c>
      <c r="G527" s="37" t="str">
        <f t="shared" si="26"/>
        <v/>
      </c>
    </row>
    <row r="528" spans="5:7" x14ac:dyDescent="0.45">
      <c r="E528" s="32" t="str">
        <f t="shared" si="24"/>
        <v>.0</v>
      </c>
      <c r="F528" s="32" t="str">
        <f t="shared" si="25"/>
        <v>.0</v>
      </c>
      <c r="G528" s="37" t="str">
        <f t="shared" si="26"/>
        <v/>
      </c>
    </row>
    <row r="529" spans="5:7" x14ac:dyDescent="0.45">
      <c r="E529" s="32" t="str">
        <f t="shared" si="24"/>
        <v>.0</v>
      </c>
      <c r="F529" s="32" t="str">
        <f t="shared" si="25"/>
        <v>.0</v>
      </c>
      <c r="G529" s="37" t="str">
        <f t="shared" si="26"/>
        <v/>
      </c>
    </row>
    <row r="530" spans="5:7" x14ac:dyDescent="0.45">
      <c r="E530" s="32" t="str">
        <f t="shared" si="24"/>
        <v>.0</v>
      </c>
      <c r="F530" s="32" t="str">
        <f t="shared" si="25"/>
        <v>.0</v>
      </c>
      <c r="G530" s="37" t="str">
        <f t="shared" si="26"/>
        <v/>
      </c>
    </row>
    <row r="531" spans="5:7" x14ac:dyDescent="0.45">
      <c r="E531" s="32" t="str">
        <f t="shared" si="24"/>
        <v>.0</v>
      </c>
      <c r="F531" s="32" t="str">
        <f t="shared" si="25"/>
        <v>.0</v>
      </c>
      <c r="G531" s="37" t="str">
        <f t="shared" si="26"/>
        <v/>
      </c>
    </row>
    <row r="532" spans="5:7" x14ac:dyDescent="0.45">
      <c r="E532" s="32" t="str">
        <f t="shared" si="24"/>
        <v>.0</v>
      </c>
      <c r="F532" s="32" t="str">
        <f t="shared" si="25"/>
        <v>.0</v>
      </c>
      <c r="G532" s="37" t="str">
        <f t="shared" si="26"/>
        <v/>
      </c>
    </row>
    <row r="533" spans="5:7" x14ac:dyDescent="0.45">
      <c r="E533" s="32" t="str">
        <f t="shared" si="24"/>
        <v>.0</v>
      </c>
      <c r="F533" s="32" t="str">
        <f t="shared" si="25"/>
        <v>.0</v>
      </c>
      <c r="G533" s="37" t="str">
        <f t="shared" si="26"/>
        <v/>
      </c>
    </row>
    <row r="534" spans="5:7" x14ac:dyDescent="0.45">
      <c r="E534" s="32" t="str">
        <f t="shared" si="24"/>
        <v>.0</v>
      </c>
      <c r="F534" s="32" t="str">
        <f t="shared" si="25"/>
        <v>.0</v>
      </c>
      <c r="G534" s="37" t="str">
        <f t="shared" si="26"/>
        <v/>
      </c>
    </row>
    <row r="535" spans="5:7" x14ac:dyDescent="0.45">
      <c r="E535" s="32" t="str">
        <f t="shared" si="24"/>
        <v>.0</v>
      </c>
      <c r="F535" s="32" t="str">
        <f t="shared" si="25"/>
        <v>.0</v>
      </c>
      <c r="G535" s="37" t="str">
        <f t="shared" si="26"/>
        <v/>
      </c>
    </row>
    <row r="536" spans="5:7" x14ac:dyDescent="0.45">
      <c r="E536" s="32" t="str">
        <f t="shared" si="24"/>
        <v>.0</v>
      </c>
      <c r="F536" s="32" t="str">
        <f t="shared" si="25"/>
        <v>.0</v>
      </c>
      <c r="G536" s="37" t="str">
        <f t="shared" si="26"/>
        <v/>
      </c>
    </row>
    <row r="537" spans="5:7" x14ac:dyDescent="0.45">
      <c r="E537" s="32" t="str">
        <f t="shared" si="24"/>
        <v>.0</v>
      </c>
      <c r="F537" s="32" t="str">
        <f t="shared" si="25"/>
        <v>.0</v>
      </c>
      <c r="G537" s="37" t="str">
        <f t="shared" si="26"/>
        <v/>
      </c>
    </row>
    <row r="538" spans="5:7" x14ac:dyDescent="0.45">
      <c r="E538" s="32" t="str">
        <f t="shared" si="24"/>
        <v>.0</v>
      </c>
      <c r="F538" s="32" t="str">
        <f t="shared" si="25"/>
        <v>.0</v>
      </c>
      <c r="G538" s="37" t="str">
        <f t="shared" si="26"/>
        <v/>
      </c>
    </row>
    <row r="539" spans="5:7" x14ac:dyDescent="0.45">
      <c r="E539" s="32" t="str">
        <f t="shared" si="24"/>
        <v>.0</v>
      </c>
      <c r="F539" s="32" t="str">
        <f t="shared" si="25"/>
        <v>.0</v>
      </c>
      <c r="G539" s="37" t="str">
        <f t="shared" si="26"/>
        <v/>
      </c>
    </row>
    <row r="540" spans="5:7" x14ac:dyDescent="0.45">
      <c r="E540" s="32" t="str">
        <f t="shared" si="24"/>
        <v>.0</v>
      </c>
      <c r="F540" s="32" t="str">
        <f t="shared" si="25"/>
        <v>.0</v>
      </c>
      <c r="G540" s="37" t="str">
        <f t="shared" si="26"/>
        <v/>
      </c>
    </row>
    <row r="541" spans="5:7" x14ac:dyDescent="0.45">
      <c r="E541" s="32" t="str">
        <f t="shared" si="24"/>
        <v>.0</v>
      </c>
      <c r="F541" s="32" t="str">
        <f t="shared" si="25"/>
        <v>.0</v>
      </c>
      <c r="G541" s="37" t="str">
        <f t="shared" si="26"/>
        <v/>
      </c>
    </row>
    <row r="542" spans="5:7" x14ac:dyDescent="0.45">
      <c r="E542" s="32" t="str">
        <f t="shared" ref="E542:E605" si="27">MID(B542,3,2)&amp;"."&amp;IF(C542&lt;10,"0"&amp;C542,C542)</f>
        <v>.0</v>
      </c>
      <c r="F542" s="32" t="str">
        <f t="shared" ref="F542:F605" si="28">MID(B542,3,2)&amp;"."&amp;IF(C542&lt;10,"0"&amp;C542,C542)</f>
        <v>.0</v>
      </c>
      <c r="G542" s="37" t="str">
        <f t="shared" ref="G542:G605" si="29">TEXT(D542,"#,###,")</f>
        <v/>
      </c>
    </row>
    <row r="543" spans="5:7" x14ac:dyDescent="0.45">
      <c r="E543" s="32" t="str">
        <f t="shared" si="27"/>
        <v>.0</v>
      </c>
      <c r="F543" s="32" t="str">
        <f t="shared" si="28"/>
        <v>.0</v>
      </c>
      <c r="G543" s="37" t="str">
        <f t="shared" si="29"/>
        <v/>
      </c>
    </row>
    <row r="544" spans="5:7" x14ac:dyDescent="0.45">
      <c r="E544" s="32" t="str">
        <f t="shared" si="27"/>
        <v>.0</v>
      </c>
      <c r="F544" s="32" t="str">
        <f t="shared" si="28"/>
        <v>.0</v>
      </c>
      <c r="G544" s="37" t="str">
        <f t="shared" si="29"/>
        <v/>
      </c>
    </row>
    <row r="545" spans="5:7" x14ac:dyDescent="0.45">
      <c r="E545" s="32" t="str">
        <f t="shared" si="27"/>
        <v>.0</v>
      </c>
      <c r="F545" s="32" t="str">
        <f t="shared" si="28"/>
        <v>.0</v>
      </c>
      <c r="G545" s="37" t="str">
        <f t="shared" si="29"/>
        <v/>
      </c>
    </row>
    <row r="546" spans="5:7" x14ac:dyDescent="0.45">
      <c r="E546" s="32" t="str">
        <f t="shared" si="27"/>
        <v>.0</v>
      </c>
      <c r="F546" s="32" t="str">
        <f t="shared" si="28"/>
        <v>.0</v>
      </c>
      <c r="G546" s="37" t="str">
        <f t="shared" si="29"/>
        <v/>
      </c>
    </row>
    <row r="547" spans="5:7" x14ac:dyDescent="0.45">
      <c r="E547" s="32" t="str">
        <f t="shared" si="27"/>
        <v>.0</v>
      </c>
      <c r="F547" s="32" t="str">
        <f t="shared" si="28"/>
        <v>.0</v>
      </c>
      <c r="G547" s="37" t="str">
        <f t="shared" si="29"/>
        <v/>
      </c>
    </row>
    <row r="548" spans="5:7" x14ac:dyDescent="0.45">
      <c r="E548" s="32" t="str">
        <f t="shared" si="27"/>
        <v>.0</v>
      </c>
      <c r="F548" s="32" t="str">
        <f t="shared" si="28"/>
        <v>.0</v>
      </c>
      <c r="G548" s="37" t="str">
        <f t="shared" si="29"/>
        <v/>
      </c>
    </row>
    <row r="549" spans="5:7" x14ac:dyDescent="0.45">
      <c r="E549" s="32" t="str">
        <f t="shared" si="27"/>
        <v>.0</v>
      </c>
      <c r="F549" s="32" t="str">
        <f t="shared" si="28"/>
        <v>.0</v>
      </c>
      <c r="G549" s="37" t="str">
        <f t="shared" si="29"/>
        <v/>
      </c>
    </row>
    <row r="550" spans="5:7" x14ac:dyDescent="0.45">
      <c r="E550" s="32" t="str">
        <f t="shared" si="27"/>
        <v>.0</v>
      </c>
      <c r="F550" s="32" t="str">
        <f t="shared" si="28"/>
        <v>.0</v>
      </c>
      <c r="G550" s="37" t="str">
        <f t="shared" si="29"/>
        <v/>
      </c>
    </row>
    <row r="551" spans="5:7" x14ac:dyDescent="0.45">
      <c r="E551" s="32" t="str">
        <f t="shared" si="27"/>
        <v>.0</v>
      </c>
      <c r="F551" s="32" t="str">
        <f t="shared" si="28"/>
        <v>.0</v>
      </c>
      <c r="G551" s="37" t="str">
        <f t="shared" si="29"/>
        <v/>
      </c>
    </row>
    <row r="552" spans="5:7" x14ac:dyDescent="0.45">
      <c r="E552" s="32" t="str">
        <f t="shared" si="27"/>
        <v>.0</v>
      </c>
      <c r="F552" s="32" t="str">
        <f t="shared" si="28"/>
        <v>.0</v>
      </c>
      <c r="G552" s="37" t="str">
        <f t="shared" si="29"/>
        <v/>
      </c>
    </row>
    <row r="553" spans="5:7" x14ac:dyDescent="0.45">
      <c r="E553" s="32" t="str">
        <f t="shared" si="27"/>
        <v>.0</v>
      </c>
      <c r="F553" s="32" t="str">
        <f t="shared" si="28"/>
        <v>.0</v>
      </c>
      <c r="G553" s="37" t="str">
        <f t="shared" si="29"/>
        <v/>
      </c>
    </row>
    <row r="554" spans="5:7" x14ac:dyDescent="0.45">
      <c r="E554" s="32" t="str">
        <f t="shared" si="27"/>
        <v>.0</v>
      </c>
      <c r="F554" s="32" t="str">
        <f t="shared" si="28"/>
        <v>.0</v>
      </c>
      <c r="G554" s="37" t="str">
        <f t="shared" si="29"/>
        <v/>
      </c>
    </row>
    <row r="555" spans="5:7" x14ac:dyDescent="0.45">
      <c r="E555" s="32" t="str">
        <f t="shared" si="27"/>
        <v>.0</v>
      </c>
      <c r="F555" s="32" t="str">
        <f t="shared" si="28"/>
        <v>.0</v>
      </c>
      <c r="G555" s="37" t="str">
        <f t="shared" si="29"/>
        <v/>
      </c>
    </row>
    <row r="556" spans="5:7" x14ac:dyDescent="0.45">
      <c r="E556" s="32" t="str">
        <f t="shared" si="27"/>
        <v>.0</v>
      </c>
      <c r="F556" s="32" t="str">
        <f t="shared" si="28"/>
        <v>.0</v>
      </c>
      <c r="G556" s="37" t="str">
        <f t="shared" si="29"/>
        <v/>
      </c>
    </row>
    <row r="557" spans="5:7" x14ac:dyDescent="0.45">
      <c r="E557" s="32" t="str">
        <f t="shared" si="27"/>
        <v>.0</v>
      </c>
      <c r="F557" s="32" t="str">
        <f t="shared" si="28"/>
        <v>.0</v>
      </c>
      <c r="G557" s="37" t="str">
        <f t="shared" si="29"/>
        <v/>
      </c>
    </row>
    <row r="558" spans="5:7" x14ac:dyDescent="0.45">
      <c r="E558" s="32" t="str">
        <f t="shared" si="27"/>
        <v>.0</v>
      </c>
      <c r="F558" s="32" t="str">
        <f t="shared" si="28"/>
        <v>.0</v>
      </c>
      <c r="G558" s="37" t="str">
        <f t="shared" si="29"/>
        <v/>
      </c>
    </row>
    <row r="559" spans="5:7" x14ac:dyDescent="0.45">
      <c r="E559" s="32" t="str">
        <f t="shared" si="27"/>
        <v>.0</v>
      </c>
      <c r="F559" s="32" t="str">
        <f t="shared" si="28"/>
        <v>.0</v>
      </c>
      <c r="G559" s="37" t="str">
        <f t="shared" si="29"/>
        <v/>
      </c>
    </row>
    <row r="560" spans="5:7" x14ac:dyDescent="0.45">
      <c r="E560" s="32" t="str">
        <f t="shared" si="27"/>
        <v>.0</v>
      </c>
      <c r="F560" s="32" t="str">
        <f t="shared" si="28"/>
        <v>.0</v>
      </c>
      <c r="G560" s="37" t="str">
        <f t="shared" si="29"/>
        <v/>
      </c>
    </row>
    <row r="561" spans="5:7" x14ac:dyDescent="0.45">
      <c r="E561" s="32" t="str">
        <f t="shared" si="27"/>
        <v>.0</v>
      </c>
      <c r="F561" s="32" t="str">
        <f t="shared" si="28"/>
        <v>.0</v>
      </c>
      <c r="G561" s="37" t="str">
        <f t="shared" si="29"/>
        <v/>
      </c>
    </row>
    <row r="562" spans="5:7" x14ac:dyDescent="0.45">
      <c r="E562" s="32" t="str">
        <f t="shared" si="27"/>
        <v>.0</v>
      </c>
      <c r="F562" s="32" t="str">
        <f t="shared" si="28"/>
        <v>.0</v>
      </c>
      <c r="G562" s="37" t="str">
        <f t="shared" si="29"/>
        <v/>
      </c>
    </row>
    <row r="563" spans="5:7" x14ac:dyDescent="0.45">
      <c r="E563" s="32" t="str">
        <f t="shared" si="27"/>
        <v>.0</v>
      </c>
      <c r="F563" s="32" t="str">
        <f t="shared" si="28"/>
        <v>.0</v>
      </c>
      <c r="G563" s="37" t="str">
        <f t="shared" si="29"/>
        <v/>
      </c>
    </row>
    <row r="564" spans="5:7" x14ac:dyDescent="0.45">
      <c r="E564" s="32" t="str">
        <f t="shared" si="27"/>
        <v>.0</v>
      </c>
      <c r="F564" s="32" t="str">
        <f t="shared" si="28"/>
        <v>.0</v>
      </c>
      <c r="G564" s="37" t="str">
        <f t="shared" si="29"/>
        <v/>
      </c>
    </row>
    <row r="565" spans="5:7" x14ac:dyDescent="0.45">
      <c r="E565" s="32" t="str">
        <f t="shared" si="27"/>
        <v>.0</v>
      </c>
      <c r="F565" s="32" t="str">
        <f t="shared" si="28"/>
        <v>.0</v>
      </c>
      <c r="G565" s="37" t="str">
        <f t="shared" si="29"/>
        <v/>
      </c>
    </row>
    <row r="566" spans="5:7" x14ac:dyDescent="0.45">
      <c r="E566" s="32" t="str">
        <f t="shared" si="27"/>
        <v>.0</v>
      </c>
      <c r="F566" s="32" t="str">
        <f t="shared" si="28"/>
        <v>.0</v>
      </c>
      <c r="G566" s="37" t="str">
        <f t="shared" si="29"/>
        <v/>
      </c>
    </row>
    <row r="567" spans="5:7" x14ac:dyDescent="0.45">
      <c r="E567" s="32" t="str">
        <f t="shared" si="27"/>
        <v>.0</v>
      </c>
      <c r="F567" s="32" t="str">
        <f t="shared" si="28"/>
        <v>.0</v>
      </c>
      <c r="G567" s="37" t="str">
        <f t="shared" si="29"/>
        <v/>
      </c>
    </row>
    <row r="568" spans="5:7" x14ac:dyDescent="0.45">
      <c r="E568" s="32" t="str">
        <f t="shared" si="27"/>
        <v>.0</v>
      </c>
      <c r="F568" s="32" t="str">
        <f t="shared" si="28"/>
        <v>.0</v>
      </c>
      <c r="G568" s="37" t="str">
        <f t="shared" si="29"/>
        <v/>
      </c>
    </row>
    <row r="569" spans="5:7" x14ac:dyDescent="0.45">
      <c r="E569" s="32" t="str">
        <f t="shared" si="27"/>
        <v>.0</v>
      </c>
      <c r="F569" s="32" t="str">
        <f t="shared" si="28"/>
        <v>.0</v>
      </c>
      <c r="G569" s="37" t="str">
        <f t="shared" si="29"/>
        <v/>
      </c>
    </row>
    <row r="570" spans="5:7" x14ac:dyDescent="0.45">
      <c r="E570" s="32" t="str">
        <f t="shared" si="27"/>
        <v>.0</v>
      </c>
      <c r="F570" s="32" t="str">
        <f t="shared" si="28"/>
        <v>.0</v>
      </c>
      <c r="G570" s="37" t="str">
        <f t="shared" si="29"/>
        <v/>
      </c>
    </row>
    <row r="571" spans="5:7" x14ac:dyDescent="0.45">
      <c r="E571" s="32" t="str">
        <f t="shared" si="27"/>
        <v>.0</v>
      </c>
      <c r="F571" s="32" t="str">
        <f t="shared" si="28"/>
        <v>.0</v>
      </c>
      <c r="G571" s="37" t="str">
        <f t="shared" si="29"/>
        <v/>
      </c>
    </row>
    <row r="572" spans="5:7" x14ac:dyDescent="0.45">
      <c r="E572" s="32" t="str">
        <f t="shared" si="27"/>
        <v>.0</v>
      </c>
      <c r="F572" s="32" t="str">
        <f t="shared" si="28"/>
        <v>.0</v>
      </c>
      <c r="G572" s="37" t="str">
        <f t="shared" si="29"/>
        <v/>
      </c>
    </row>
    <row r="573" spans="5:7" x14ac:dyDescent="0.45">
      <c r="E573" s="32" t="str">
        <f t="shared" si="27"/>
        <v>.0</v>
      </c>
      <c r="F573" s="32" t="str">
        <f t="shared" si="28"/>
        <v>.0</v>
      </c>
      <c r="G573" s="37" t="str">
        <f t="shared" si="29"/>
        <v/>
      </c>
    </row>
    <row r="574" spans="5:7" x14ac:dyDescent="0.45">
      <c r="E574" s="32" t="str">
        <f t="shared" si="27"/>
        <v>.0</v>
      </c>
      <c r="F574" s="32" t="str">
        <f t="shared" si="28"/>
        <v>.0</v>
      </c>
      <c r="G574" s="37" t="str">
        <f t="shared" si="29"/>
        <v/>
      </c>
    </row>
    <row r="575" spans="5:7" x14ac:dyDescent="0.45">
      <c r="E575" s="32" t="str">
        <f t="shared" si="27"/>
        <v>.0</v>
      </c>
      <c r="F575" s="32" t="str">
        <f t="shared" si="28"/>
        <v>.0</v>
      </c>
      <c r="G575" s="37" t="str">
        <f t="shared" si="29"/>
        <v/>
      </c>
    </row>
    <row r="576" spans="5:7" x14ac:dyDescent="0.45">
      <c r="E576" s="32" t="str">
        <f t="shared" si="27"/>
        <v>.0</v>
      </c>
      <c r="F576" s="32" t="str">
        <f t="shared" si="28"/>
        <v>.0</v>
      </c>
      <c r="G576" s="37" t="str">
        <f t="shared" si="29"/>
        <v/>
      </c>
    </row>
    <row r="577" spans="5:7" x14ac:dyDescent="0.45">
      <c r="E577" s="32" t="str">
        <f t="shared" si="27"/>
        <v>.0</v>
      </c>
      <c r="F577" s="32" t="str">
        <f t="shared" si="28"/>
        <v>.0</v>
      </c>
      <c r="G577" s="37" t="str">
        <f t="shared" si="29"/>
        <v/>
      </c>
    </row>
    <row r="578" spans="5:7" x14ac:dyDescent="0.45">
      <c r="E578" s="32" t="str">
        <f t="shared" si="27"/>
        <v>.0</v>
      </c>
      <c r="F578" s="32" t="str">
        <f t="shared" si="28"/>
        <v>.0</v>
      </c>
      <c r="G578" s="37" t="str">
        <f t="shared" si="29"/>
        <v/>
      </c>
    </row>
    <row r="579" spans="5:7" x14ac:dyDescent="0.45">
      <c r="E579" s="32" t="str">
        <f t="shared" si="27"/>
        <v>.0</v>
      </c>
      <c r="F579" s="32" t="str">
        <f t="shared" si="28"/>
        <v>.0</v>
      </c>
      <c r="G579" s="37" t="str">
        <f t="shared" si="29"/>
        <v/>
      </c>
    </row>
    <row r="580" spans="5:7" x14ac:dyDescent="0.45">
      <c r="E580" s="32" t="str">
        <f t="shared" si="27"/>
        <v>.0</v>
      </c>
      <c r="F580" s="32" t="str">
        <f t="shared" si="28"/>
        <v>.0</v>
      </c>
      <c r="G580" s="37" t="str">
        <f t="shared" si="29"/>
        <v/>
      </c>
    </row>
    <row r="581" spans="5:7" x14ac:dyDescent="0.45">
      <c r="E581" s="32" t="str">
        <f t="shared" si="27"/>
        <v>.0</v>
      </c>
      <c r="F581" s="32" t="str">
        <f t="shared" si="28"/>
        <v>.0</v>
      </c>
      <c r="G581" s="37" t="str">
        <f t="shared" si="29"/>
        <v/>
      </c>
    </row>
    <row r="582" spans="5:7" x14ac:dyDescent="0.45">
      <c r="E582" s="32" t="str">
        <f t="shared" si="27"/>
        <v>.0</v>
      </c>
      <c r="F582" s="32" t="str">
        <f t="shared" si="28"/>
        <v>.0</v>
      </c>
      <c r="G582" s="37" t="str">
        <f t="shared" si="29"/>
        <v/>
      </c>
    </row>
    <row r="583" spans="5:7" x14ac:dyDescent="0.45">
      <c r="E583" s="32" t="str">
        <f t="shared" si="27"/>
        <v>.0</v>
      </c>
      <c r="F583" s="32" t="str">
        <f t="shared" si="28"/>
        <v>.0</v>
      </c>
      <c r="G583" s="37" t="str">
        <f t="shared" si="29"/>
        <v/>
      </c>
    </row>
    <row r="584" spans="5:7" x14ac:dyDescent="0.45">
      <c r="E584" s="32" t="str">
        <f t="shared" si="27"/>
        <v>.0</v>
      </c>
      <c r="F584" s="32" t="str">
        <f t="shared" si="28"/>
        <v>.0</v>
      </c>
      <c r="G584" s="37" t="str">
        <f t="shared" si="29"/>
        <v/>
      </c>
    </row>
    <row r="585" spans="5:7" x14ac:dyDescent="0.45">
      <c r="E585" s="32" t="str">
        <f t="shared" si="27"/>
        <v>.0</v>
      </c>
      <c r="F585" s="32" t="str">
        <f t="shared" si="28"/>
        <v>.0</v>
      </c>
      <c r="G585" s="37" t="str">
        <f t="shared" si="29"/>
        <v/>
      </c>
    </row>
    <row r="586" spans="5:7" x14ac:dyDescent="0.45">
      <c r="E586" s="32" t="str">
        <f t="shared" si="27"/>
        <v>.0</v>
      </c>
      <c r="F586" s="32" t="str">
        <f t="shared" si="28"/>
        <v>.0</v>
      </c>
      <c r="G586" s="37" t="str">
        <f t="shared" si="29"/>
        <v/>
      </c>
    </row>
    <row r="587" spans="5:7" x14ac:dyDescent="0.45">
      <c r="E587" s="32" t="str">
        <f t="shared" si="27"/>
        <v>.0</v>
      </c>
      <c r="F587" s="32" t="str">
        <f t="shared" si="28"/>
        <v>.0</v>
      </c>
      <c r="G587" s="37" t="str">
        <f t="shared" si="29"/>
        <v/>
      </c>
    </row>
    <row r="588" spans="5:7" x14ac:dyDescent="0.45">
      <c r="E588" s="32" t="str">
        <f t="shared" si="27"/>
        <v>.0</v>
      </c>
      <c r="F588" s="32" t="str">
        <f t="shared" si="28"/>
        <v>.0</v>
      </c>
      <c r="G588" s="37" t="str">
        <f t="shared" si="29"/>
        <v/>
      </c>
    </row>
    <row r="589" spans="5:7" x14ac:dyDescent="0.45">
      <c r="E589" s="32" t="str">
        <f t="shared" si="27"/>
        <v>.0</v>
      </c>
      <c r="F589" s="32" t="str">
        <f t="shared" si="28"/>
        <v>.0</v>
      </c>
      <c r="G589" s="37" t="str">
        <f t="shared" si="29"/>
        <v/>
      </c>
    </row>
    <row r="590" spans="5:7" x14ac:dyDescent="0.45">
      <c r="E590" s="32" t="str">
        <f t="shared" si="27"/>
        <v>.0</v>
      </c>
      <c r="F590" s="32" t="str">
        <f t="shared" si="28"/>
        <v>.0</v>
      </c>
      <c r="G590" s="37" t="str">
        <f t="shared" si="29"/>
        <v/>
      </c>
    </row>
    <row r="591" spans="5:7" x14ac:dyDescent="0.45">
      <c r="E591" s="32" t="str">
        <f t="shared" si="27"/>
        <v>.0</v>
      </c>
      <c r="F591" s="32" t="str">
        <f t="shared" si="28"/>
        <v>.0</v>
      </c>
      <c r="G591" s="37" t="str">
        <f t="shared" si="29"/>
        <v/>
      </c>
    </row>
    <row r="592" spans="5:7" x14ac:dyDescent="0.45">
      <c r="E592" s="32" t="str">
        <f t="shared" si="27"/>
        <v>.0</v>
      </c>
      <c r="F592" s="32" t="str">
        <f t="shared" si="28"/>
        <v>.0</v>
      </c>
      <c r="G592" s="37" t="str">
        <f t="shared" si="29"/>
        <v/>
      </c>
    </row>
    <row r="593" spans="5:7" x14ac:dyDescent="0.45">
      <c r="E593" s="32" t="str">
        <f t="shared" si="27"/>
        <v>.0</v>
      </c>
      <c r="F593" s="32" t="str">
        <f t="shared" si="28"/>
        <v>.0</v>
      </c>
      <c r="G593" s="37" t="str">
        <f t="shared" si="29"/>
        <v/>
      </c>
    </row>
    <row r="594" spans="5:7" x14ac:dyDescent="0.45">
      <c r="E594" s="32" t="str">
        <f t="shared" si="27"/>
        <v>.0</v>
      </c>
      <c r="F594" s="32" t="str">
        <f t="shared" si="28"/>
        <v>.0</v>
      </c>
      <c r="G594" s="37" t="str">
        <f t="shared" si="29"/>
        <v/>
      </c>
    </row>
    <row r="595" spans="5:7" x14ac:dyDescent="0.45">
      <c r="E595" s="32" t="str">
        <f t="shared" si="27"/>
        <v>.0</v>
      </c>
      <c r="F595" s="32" t="str">
        <f t="shared" si="28"/>
        <v>.0</v>
      </c>
      <c r="G595" s="37" t="str">
        <f t="shared" si="29"/>
        <v/>
      </c>
    </row>
    <row r="596" spans="5:7" x14ac:dyDescent="0.45">
      <c r="E596" s="32" t="str">
        <f t="shared" si="27"/>
        <v>.0</v>
      </c>
      <c r="F596" s="32" t="str">
        <f t="shared" si="28"/>
        <v>.0</v>
      </c>
      <c r="G596" s="37" t="str">
        <f t="shared" si="29"/>
        <v/>
      </c>
    </row>
    <row r="597" spans="5:7" x14ac:dyDescent="0.45">
      <c r="E597" s="32" t="str">
        <f t="shared" si="27"/>
        <v>.0</v>
      </c>
      <c r="F597" s="32" t="str">
        <f t="shared" si="28"/>
        <v>.0</v>
      </c>
      <c r="G597" s="37" t="str">
        <f t="shared" si="29"/>
        <v/>
      </c>
    </row>
    <row r="598" spans="5:7" x14ac:dyDescent="0.45">
      <c r="E598" s="32" t="str">
        <f t="shared" si="27"/>
        <v>.0</v>
      </c>
      <c r="F598" s="32" t="str">
        <f t="shared" si="28"/>
        <v>.0</v>
      </c>
      <c r="G598" s="37" t="str">
        <f t="shared" si="29"/>
        <v/>
      </c>
    </row>
    <row r="599" spans="5:7" x14ac:dyDescent="0.45">
      <c r="E599" s="32" t="str">
        <f t="shared" si="27"/>
        <v>.0</v>
      </c>
      <c r="F599" s="32" t="str">
        <f t="shared" si="28"/>
        <v>.0</v>
      </c>
      <c r="G599" s="37" t="str">
        <f t="shared" si="29"/>
        <v/>
      </c>
    </row>
    <row r="600" spans="5:7" x14ac:dyDescent="0.45">
      <c r="E600" s="32" t="str">
        <f t="shared" si="27"/>
        <v>.0</v>
      </c>
      <c r="F600" s="32" t="str">
        <f t="shared" si="28"/>
        <v>.0</v>
      </c>
      <c r="G600" s="37" t="str">
        <f t="shared" si="29"/>
        <v/>
      </c>
    </row>
    <row r="601" spans="5:7" x14ac:dyDescent="0.45">
      <c r="E601" s="32" t="str">
        <f t="shared" si="27"/>
        <v>.0</v>
      </c>
      <c r="F601" s="32" t="str">
        <f t="shared" si="28"/>
        <v>.0</v>
      </c>
      <c r="G601" s="37" t="str">
        <f t="shared" si="29"/>
        <v/>
      </c>
    </row>
    <row r="602" spans="5:7" x14ac:dyDescent="0.45">
      <c r="E602" s="32" t="str">
        <f t="shared" si="27"/>
        <v>.0</v>
      </c>
      <c r="F602" s="32" t="str">
        <f t="shared" si="28"/>
        <v>.0</v>
      </c>
      <c r="G602" s="37" t="str">
        <f t="shared" si="29"/>
        <v/>
      </c>
    </row>
    <row r="603" spans="5:7" x14ac:dyDescent="0.45">
      <c r="E603" s="32" t="str">
        <f t="shared" si="27"/>
        <v>.0</v>
      </c>
      <c r="F603" s="32" t="str">
        <f t="shared" si="28"/>
        <v>.0</v>
      </c>
      <c r="G603" s="37" t="str">
        <f t="shared" si="29"/>
        <v/>
      </c>
    </row>
    <row r="604" spans="5:7" x14ac:dyDescent="0.45">
      <c r="E604" s="32" t="str">
        <f t="shared" si="27"/>
        <v>.0</v>
      </c>
      <c r="F604" s="32" t="str">
        <f t="shared" si="28"/>
        <v>.0</v>
      </c>
      <c r="G604" s="37" t="str">
        <f t="shared" si="29"/>
        <v/>
      </c>
    </row>
    <row r="605" spans="5:7" x14ac:dyDescent="0.45">
      <c r="E605" s="32" t="str">
        <f t="shared" si="27"/>
        <v>.0</v>
      </c>
      <c r="F605" s="32" t="str">
        <f t="shared" si="28"/>
        <v>.0</v>
      </c>
      <c r="G605" s="37" t="str">
        <f t="shared" si="29"/>
        <v/>
      </c>
    </row>
    <row r="606" spans="5:7" x14ac:dyDescent="0.45">
      <c r="E606" s="32" t="str">
        <f t="shared" ref="E606:E669" si="30">MID(B606,3,2)&amp;"."&amp;IF(C606&lt;10,"0"&amp;C606,C606)</f>
        <v>.0</v>
      </c>
      <c r="F606" s="32" t="str">
        <f t="shared" ref="F606:F669" si="31">MID(B606,3,2)&amp;"."&amp;IF(C606&lt;10,"0"&amp;C606,C606)</f>
        <v>.0</v>
      </c>
      <c r="G606" s="37" t="str">
        <f t="shared" ref="G606:G669" si="32">TEXT(D606,"#,###,")</f>
        <v/>
      </c>
    </row>
    <row r="607" spans="5:7" x14ac:dyDescent="0.45">
      <c r="E607" s="32" t="str">
        <f t="shared" si="30"/>
        <v>.0</v>
      </c>
      <c r="F607" s="32" t="str">
        <f t="shared" si="31"/>
        <v>.0</v>
      </c>
      <c r="G607" s="37" t="str">
        <f t="shared" si="32"/>
        <v/>
      </c>
    </row>
    <row r="608" spans="5:7" x14ac:dyDescent="0.45">
      <c r="E608" s="32" t="str">
        <f t="shared" si="30"/>
        <v>.0</v>
      </c>
      <c r="F608" s="32" t="str">
        <f t="shared" si="31"/>
        <v>.0</v>
      </c>
      <c r="G608" s="37" t="str">
        <f t="shared" si="32"/>
        <v/>
      </c>
    </row>
    <row r="609" spans="5:7" x14ac:dyDescent="0.45">
      <c r="E609" s="32" t="str">
        <f t="shared" si="30"/>
        <v>.0</v>
      </c>
      <c r="F609" s="32" t="str">
        <f t="shared" si="31"/>
        <v>.0</v>
      </c>
      <c r="G609" s="37" t="str">
        <f t="shared" si="32"/>
        <v/>
      </c>
    </row>
    <row r="610" spans="5:7" x14ac:dyDescent="0.45">
      <c r="E610" s="32" t="str">
        <f t="shared" si="30"/>
        <v>.0</v>
      </c>
      <c r="F610" s="32" t="str">
        <f t="shared" si="31"/>
        <v>.0</v>
      </c>
      <c r="G610" s="37" t="str">
        <f t="shared" si="32"/>
        <v/>
      </c>
    </row>
    <row r="611" spans="5:7" x14ac:dyDescent="0.45">
      <c r="E611" s="32" t="str">
        <f t="shared" si="30"/>
        <v>.0</v>
      </c>
      <c r="F611" s="32" t="str">
        <f t="shared" si="31"/>
        <v>.0</v>
      </c>
      <c r="G611" s="37" t="str">
        <f t="shared" si="32"/>
        <v/>
      </c>
    </row>
    <row r="612" spans="5:7" x14ac:dyDescent="0.45">
      <c r="E612" s="32" t="str">
        <f t="shared" si="30"/>
        <v>.0</v>
      </c>
      <c r="F612" s="32" t="str">
        <f t="shared" si="31"/>
        <v>.0</v>
      </c>
      <c r="G612" s="37" t="str">
        <f t="shared" si="32"/>
        <v/>
      </c>
    </row>
    <row r="613" spans="5:7" x14ac:dyDescent="0.45">
      <c r="E613" s="32" t="str">
        <f t="shared" si="30"/>
        <v>.0</v>
      </c>
      <c r="F613" s="32" t="str">
        <f t="shared" si="31"/>
        <v>.0</v>
      </c>
      <c r="G613" s="37" t="str">
        <f t="shared" si="32"/>
        <v/>
      </c>
    </row>
    <row r="614" spans="5:7" x14ac:dyDescent="0.45">
      <c r="E614" s="32" t="str">
        <f t="shared" si="30"/>
        <v>.0</v>
      </c>
      <c r="F614" s="32" t="str">
        <f t="shared" si="31"/>
        <v>.0</v>
      </c>
      <c r="G614" s="37" t="str">
        <f t="shared" si="32"/>
        <v/>
      </c>
    </row>
    <row r="615" spans="5:7" x14ac:dyDescent="0.45">
      <c r="E615" s="32" t="str">
        <f t="shared" si="30"/>
        <v>.0</v>
      </c>
      <c r="F615" s="32" t="str">
        <f t="shared" si="31"/>
        <v>.0</v>
      </c>
      <c r="G615" s="37" t="str">
        <f t="shared" si="32"/>
        <v/>
      </c>
    </row>
    <row r="616" spans="5:7" x14ac:dyDescent="0.45">
      <c r="E616" s="32" t="str">
        <f t="shared" si="30"/>
        <v>.0</v>
      </c>
      <c r="F616" s="32" t="str">
        <f t="shared" si="31"/>
        <v>.0</v>
      </c>
      <c r="G616" s="37" t="str">
        <f t="shared" si="32"/>
        <v/>
      </c>
    </row>
    <row r="617" spans="5:7" x14ac:dyDescent="0.45">
      <c r="E617" s="32" t="str">
        <f t="shared" si="30"/>
        <v>.0</v>
      </c>
      <c r="F617" s="32" t="str">
        <f t="shared" si="31"/>
        <v>.0</v>
      </c>
      <c r="G617" s="37" t="str">
        <f t="shared" si="32"/>
        <v/>
      </c>
    </row>
    <row r="618" spans="5:7" x14ac:dyDescent="0.45">
      <c r="E618" s="32" t="str">
        <f t="shared" si="30"/>
        <v>.0</v>
      </c>
      <c r="F618" s="32" t="str">
        <f t="shared" si="31"/>
        <v>.0</v>
      </c>
      <c r="G618" s="37" t="str">
        <f t="shared" si="32"/>
        <v/>
      </c>
    </row>
    <row r="619" spans="5:7" x14ac:dyDescent="0.45">
      <c r="E619" s="32" t="str">
        <f t="shared" si="30"/>
        <v>.0</v>
      </c>
      <c r="F619" s="32" t="str">
        <f t="shared" si="31"/>
        <v>.0</v>
      </c>
      <c r="G619" s="37" t="str">
        <f t="shared" si="32"/>
        <v/>
      </c>
    </row>
    <row r="620" spans="5:7" x14ac:dyDescent="0.45">
      <c r="E620" s="32" t="str">
        <f t="shared" si="30"/>
        <v>.0</v>
      </c>
      <c r="F620" s="32" t="str">
        <f t="shared" si="31"/>
        <v>.0</v>
      </c>
      <c r="G620" s="37" t="str">
        <f t="shared" si="32"/>
        <v/>
      </c>
    </row>
    <row r="621" spans="5:7" x14ac:dyDescent="0.45">
      <c r="E621" s="32" t="str">
        <f t="shared" si="30"/>
        <v>.0</v>
      </c>
      <c r="F621" s="32" t="str">
        <f t="shared" si="31"/>
        <v>.0</v>
      </c>
      <c r="G621" s="37" t="str">
        <f t="shared" si="32"/>
        <v/>
      </c>
    </row>
    <row r="622" spans="5:7" x14ac:dyDescent="0.45">
      <c r="E622" s="32" t="str">
        <f t="shared" si="30"/>
        <v>.0</v>
      </c>
      <c r="F622" s="32" t="str">
        <f t="shared" si="31"/>
        <v>.0</v>
      </c>
      <c r="G622" s="37" t="str">
        <f t="shared" si="32"/>
        <v/>
      </c>
    </row>
    <row r="623" spans="5:7" x14ac:dyDescent="0.45">
      <c r="E623" s="32" t="str">
        <f t="shared" si="30"/>
        <v>.0</v>
      </c>
      <c r="F623" s="32" t="str">
        <f t="shared" si="31"/>
        <v>.0</v>
      </c>
      <c r="G623" s="37" t="str">
        <f t="shared" si="32"/>
        <v/>
      </c>
    </row>
    <row r="624" spans="5:7" x14ac:dyDescent="0.45">
      <c r="E624" s="32" t="str">
        <f t="shared" si="30"/>
        <v>.0</v>
      </c>
      <c r="F624" s="32" t="str">
        <f t="shared" si="31"/>
        <v>.0</v>
      </c>
      <c r="G624" s="37" t="str">
        <f t="shared" si="32"/>
        <v/>
      </c>
    </row>
    <row r="625" spans="5:7" x14ac:dyDescent="0.45">
      <c r="E625" s="32" t="str">
        <f t="shared" si="30"/>
        <v>.0</v>
      </c>
      <c r="F625" s="32" t="str">
        <f t="shared" si="31"/>
        <v>.0</v>
      </c>
      <c r="G625" s="37" t="str">
        <f t="shared" si="32"/>
        <v/>
      </c>
    </row>
    <row r="626" spans="5:7" x14ac:dyDescent="0.45">
      <c r="E626" s="32" t="str">
        <f t="shared" si="30"/>
        <v>.0</v>
      </c>
      <c r="F626" s="32" t="str">
        <f t="shared" si="31"/>
        <v>.0</v>
      </c>
      <c r="G626" s="37" t="str">
        <f t="shared" si="32"/>
        <v/>
      </c>
    </row>
    <row r="627" spans="5:7" x14ac:dyDescent="0.45">
      <c r="E627" s="32" t="str">
        <f t="shared" si="30"/>
        <v>.0</v>
      </c>
      <c r="F627" s="32" t="str">
        <f t="shared" si="31"/>
        <v>.0</v>
      </c>
      <c r="G627" s="37" t="str">
        <f t="shared" si="32"/>
        <v/>
      </c>
    </row>
    <row r="628" spans="5:7" x14ac:dyDescent="0.45">
      <c r="E628" s="32" t="str">
        <f t="shared" si="30"/>
        <v>.0</v>
      </c>
      <c r="F628" s="32" t="str">
        <f t="shared" si="31"/>
        <v>.0</v>
      </c>
      <c r="G628" s="37" t="str">
        <f t="shared" si="32"/>
        <v/>
      </c>
    </row>
    <row r="629" spans="5:7" x14ac:dyDescent="0.45">
      <c r="E629" s="32" t="str">
        <f t="shared" si="30"/>
        <v>.0</v>
      </c>
      <c r="F629" s="32" t="str">
        <f t="shared" si="31"/>
        <v>.0</v>
      </c>
      <c r="G629" s="37" t="str">
        <f t="shared" si="32"/>
        <v/>
      </c>
    </row>
    <row r="630" spans="5:7" x14ac:dyDescent="0.45">
      <c r="E630" s="32" t="str">
        <f t="shared" si="30"/>
        <v>.0</v>
      </c>
      <c r="F630" s="32" t="str">
        <f t="shared" si="31"/>
        <v>.0</v>
      </c>
      <c r="G630" s="37" t="str">
        <f t="shared" si="32"/>
        <v/>
      </c>
    </row>
    <row r="631" spans="5:7" x14ac:dyDescent="0.45">
      <c r="E631" s="32" t="str">
        <f t="shared" si="30"/>
        <v>.0</v>
      </c>
      <c r="F631" s="32" t="str">
        <f t="shared" si="31"/>
        <v>.0</v>
      </c>
      <c r="G631" s="37" t="str">
        <f t="shared" si="32"/>
        <v/>
      </c>
    </row>
    <row r="632" spans="5:7" x14ac:dyDescent="0.45">
      <c r="E632" s="32" t="str">
        <f t="shared" si="30"/>
        <v>.0</v>
      </c>
      <c r="F632" s="32" t="str">
        <f t="shared" si="31"/>
        <v>.0</v>
      </c>
      <c r="G632" s="37" t="str">
        <f t="shared" si="32"/>
        <v/>
      </c>
    </row>
    <row r="633" spans="5:7" x14ac:dyDescent="0.45">
      <c r="E633" s="32" t="str">
        <f t="shared" si="30"/>
        <v>.0</v>
      </c>
      <c r="F633" s="32" t="str">
        <f t="shared" si="31"/>
        <v>.0</v>
      </c>
      <c r="G633" s="37" t="str">
        <f t="shared" si="32"/>
        <v/>
      </c>
    </row>
    <row r="634" spans="5:7" x14ac:dyDescent="0.45">
      <c r="E634" s="32" t="str">
        <f t="shared" si="30"/>
        <v>.0</v>
      </c>
      <c r="F634" s="32" t="str">
        <f t="shared" si="31"/>
        <v>.0</v>
      </c>
      <c r="G634" s="37" t="str">
        <f t="shared" si="32"/>
        <v/>
      </c>
    </row>
    <row r="635" spans="5:7" x14ac:dyDescent="0.45">
      <c r="E635" s="32" t="str">
        <f t="shared" si="30"/>
        <v>.0</v>
      </c>
      <c r="F635" s="32" t="str">
        <f t="shared" si="31"/>
        <v>.0</v>
      </c>
      <c r="G635" s="37" t="str">
        <f t="shared" si="32"/>
        <v/>
      </c>
    </row>
    <row r="636" spans="5:7" x14ac:dyDescent="0.45">
      <c r="E636" s="32" t="str">
        <f t="shared" si="30"/>
        <v>.0</v>
      </c>
      <c r="F636" s="32" t="str">
        <f t="shared" si="31"/>
        <v>.0</v>
      </c>
      <c r="G636" s="37" t="str">
        <f t="shared" si="32"/>
        <v/>
      </c>
    </row>
    <row r="637" spans="5:7" x14ac:dyDescent="0.45">
      <c r="E637" s="32" t="str">
        <f t="shared" si="30"/>
        <v>.0</v>
      </c>
      <c r="F637" s="32" t="str">
        <f t="shared" si="31"/>
        <v>.0</v>
      </c>
      <c r="G637" s="37" t="str">
        <f t="shared" si="32"/>
        <v/>
      </c>
    </row>
    <row r="638" spans="5:7" x14ac:dyDescent="0.45">
      <c r="E638" s="32" t="str">
        <f t="shared" si="30"/>
        <v>.0</v>
      </c>
      <c r="F638" s="32" t="str">
        <f t="shared" si="31"/>
        <v>.0</v>
      </c>
      <c r="G638" s="37" t="str">
        <f t="shared" si="32"/>
        <v/>
      </c>
    </row>
    <row r="639" spans="5:7" x14ac:dyDescent="0.45">
      <c r="E639" s="32" t="str">
        <f t="shared" si="30"/>
        <v>.0</v>
      </c>
      <c r="F639" s="32" t="str">
        <f t="shared" si="31"/>
        <v>.0</v>
      </c>
      <c r="G639" s="37" t="str">
        <f t="shared" si="32"/>
        <v/>
      </c>
    </row>
    <row r="640" spans="5:7" x14ac:dyDescent="0.45">
      <c r="E640" s="32" t="str">
        <f t="shared" si="30"/>
        <v>.0</v>
      </c>
      <c r="F640" s="32" t="str">
        <f t="shared" si="31"/>
        <v>.0</v>
      </c>
      <c r="G640" s="37" t="str">
        <f t="shared" si="32"/>
        <v/>
      </c>
    </row>
    <row r="641" spans="5:7" x14ac:dyDescent="0.45">
      <c r="E641" s="32" t="str">
        <f t="shared" si="30"/>
        <v>.0</v>
      </c>
      <c r="F641" s="32" t="str">
        <f t="shared" si="31"/>
        <v>.0</v>
      </c>
      <c r="G641" s="37" t="str">
        <f t="shared" si="32"/>
        <v/>
      </c>
    </row>
    <row r="642" spans="5:7" x14ac:dyDescent="0.45">
      <c r="E642" s="32" t="str">
        <f t="shared" si="30"/>
        <v>.0</v>
      </c>
      <c r="F642" s="32" t="str">
        <f t="shared" si="31"/>
        <v>.0</v>
      </c>
      <c r="G642" s="37" t="str">
        <f t="shared" si="32"/>
        <v/>
      </c>
    </row>
    <row r="643" spans="5:7" x14ac:dyDescent="0.45">
      <c r="E643" s="32" t="str">
        <f t="shared" si="30"/>
        <v>.0</v>
      </c>
      <c r="F643" s="32" t="str">
        <f t="shared" si="31"/>
        <v>.0</v>
      </c>
      <c r="G643" s="37" t="str">
        <f t="shared" si="32"/>
        <v/>
      </c>
    </row>
    <row r="644" spans="5:7" x14ac:dyDescent="0.45">
      <c r="E644" s="32" t="str">
        <f t="shared" si="30"/>
        <v>.0</v>
      </c>
      <c r="F644" s="32" t="str">
        <f t="shared" si="31"/>
        <v>.0</v>
      </c>
      <c r="G644" s="37" t="str">
        <f t="shared" si="32"/>
        <v/>
      </c>
    </row>
    <row r="645" spans="5:7" x14ac:dyDescent="0.45">
      <c r="E645" s="32" t="str">
        <f t="shared" si="30"/>
        <v>.0</v>
      </c>
      <c r="F645" s="32" t="str">
        <f t="shared" si="31"/>
        <v>.0</v>
      </c>
      <c r="G645" s="37" t="str">
        <f t="shared" si="32"/>
        <v/>
      </c>
    </row>
    <row r="646" spans="5:7" x14ac:dyDescent="0.45">
      <c r="E646" s="32" t="str">
        <f t="shared" si="30"/>
        <v>.0</v>
      </c>
      <c r="F646" s="32" t="str">
        <f t="shared" si="31"/>
        <v>.0</v>
      </c>
      <c r="G646" s="37" t="str">
        <f t="shared" si="32"/>
        <v/>
      </c>
    </row>
    <row r="647" spans="5:7" x14ac:dyDescent="0.45">
      <c r="E647" s="32" t="str">
        <f t="shared" si="30"/>
        <v>.0</v>
      </c>
      <c r="F647" s="32" t="str">
        <f t="shared" si="31"/>
        <v>.0</v>
      </c>
      <c r="G647" s="37" t="str">
        <f t="shared" si="32"/>
        <v/>
      </c>
    </row>
    <row r="648" spans="5:7" x14ac:dyDescent="0.45">
      <c r="E648" s="32" t="str">
        <f t="shared" si="30"/>
        <v>.0</v>
      </c>
      <c r="F648" s="32" t="str">
        <f t="shared" si="31"/>
        <v>.0</v>
      </c>
      <c r="G648" s="37" t="str">
        <f t="shared" si="32"/>
        <v/>
      </c>
    </row>
    <row r="649" spans="5:7" x14ac:dyDescent="0.45">
      <c r="E649" s="32" t="str">
        <f t="shared" si="30"/>
        <v>.0</v>
      </c>
      <c r="F649" s="32" t="str">
        <f t="shared" si="31"/>
        <v>.0</v>
      </c>
      <c r="G649" s="37" t="str">
        <f t="shared" si="32"/>
        <v/>
      </c>
    </row>
    <row r="650" spans="5:7" x14ac:dyDescent="0.45">
      <c r="E650" s="32" t="str">
        <f t="shared" si="30"/>
        <v>.0</v>
      </c>
      <c r="F650" s="32" t="str">
        <f t="shared" si="31"/>
        <v>.0</v>
      </c>
      <c r="G650" s="37" t="str">
        <f t="shared" si="32"/>
        <v/>
      </c>
    </row>
    <row r="651" spans="5:7" x14ac:dyDescent="0.45">
      <c r="E651" s="32" t="str">
        <f t="shared" si="30"/>
        <v>.0</v>
      </c>
      <c r="F651" s="32" t="str">
        <f t="shared" si="31"/>
        <v>.0</v>
      </c>
      <c r="G651" s="37" t="str">
        <f t="shared" si="32"/>
        <v/>
      </c>
    </row>
    <row r="652" spans="5:7" x14ac:dyDescent="0.45">
      <c r="E652" s="32" t="str">
        <f t="shared" si="30"/>
        <v>.0</v>
      </c>
      <c r="F652" s="32" t="str">
        <f t="shared" si="31"/>
        <v>.0</v>
      </c>
      <c r="G652" s="37" t="str">
        <f t="shared" si="32"/>
        <v/>
      </c>
    </row>
    <row r="653" spans="5:7" x14ac:dyDescent="0.45">
      <c r="E653" s="32" t="str">
        <f t="shared" si="30"/>
        <v>.0</v>
      </c>
      <c r="F653" s="32" t="str">
        <f t="shared" si="31"/>
        <v>.0</v>
      </c>
      <c r="G653" s="37" t="str">
        <f t="shared" si="32"/>
        <v/>
      </c>
    </row>
    <row r="654" spans="5:7" x14ac:dyDescent="0.45">
      <c r="E654" s="32" t="str">
        <f t="shared" si="30"/>
        <v>.0</v>
      </c>
      <c r="F654" s="32" t="str">
        <f t="shared" si="31"/>
        <v>.0</v>
      </c>
      <c r="G654" s="37" t="str">
        <f t="shared" si="32"/>
        <v/>
      </c>
    </row>
    <row r="655" spans="5:7" x14ac:dyDescent="0.45">
      <c r="E655" s="32" t="str">
        <f t="shared" si="30"/>
        <v>.0</v>
      </c>
      <c r="F655" s="32" t="str">
        <f t="shared" si="31"/>
        <v>.0</v>
      </c>
      <c r="G655" s="37" t="str">
        <f t="shared" si="32"/>
        <v/>
      </c>
    </row>
    <row r="656" spans="5:7" x14ac:dyDescent="0.45">
      <c r="E656" s="32" t="str">
        <f t="shared" si="30"/>
        <v>.0</v>
      </c>
      <c r="F656" s="32" t="str">
        <f t="shared" si="31"/>
        <v>.0</v>
      </c>
      <c r="G656" s="37" t="str">
        <f t="shared" si="32"/>
        <v/>
      </c>
    </row>
    <row r="657" spans="5:7" x14ac:dyDescent="0.45">
      <c r="E657" s="32" t="str">
        <f t="shared" si="30"/>
        <v>.0</v>
      </c>
      <c r="F657" s="32" t="str">
        <f t="shared" si="31"/>
        <v>.0</v>
      </c>
      <c r="G657" s="37" t="str">
        <f t="shared" si="32"/>
        <v/>
      </c>
    </row>
    <row r="658" spans="5:7" x14ac:dyDescent="0.45">
      <c r="E658" s="32" t="str">
        <f t="shared" si="30"/>
        <v>.0</v>
      </c>
      <c r="F658" s="32" t="str">
        <f t="shared" si="31"/>
        <v>.0</v>
      </c>
      <c r="G658" s="37" t="str">
        <f t="shared" si="32"/>
        <v/>
      </c>
    </row>
    <row r="659" spans="5:7" x14ac:dyDescent="0.45">
      <c r="E659" s="32" t="str">
        <f t="shared" si="30"/>
        <v>.0</v>
      </c>
      <c r="F659" s="32" t="str">
        <f t="shared" si="31"/>
        <v>.0</v>
      </c>
      <c r="G659" s="37" t="str">
        <f t="shared" si="32"/>
        <v/>
      </c>
    </row>
    <row r="660" spans="5:7" x14ac:dyDescent="0.45">
      <c r="E660" s="32" t="str">
        <f t="shared" si="30"/>
        <v>.0</v>
      </c>
      <c r="F660" s="32" t="str">
        <f t="shared" si="31"/>
        <v>.0</v>
      </c>
      <c r="G660" s="37" t="str">
        <f t="shared" si="32"/>
        <v/>
      </c>
    </row>
    <row r="661" spans="5:7" x14ac:dyDescent="0.45">
      <c r="E661" s="32" t="str">
        <f t="shared" si="30"/>
        <v>.0</v>
      </c>
      <c r="F661" s="32" t="str">
        <f t="shared" si="31"/>
        <v>.0</v>
      </c>
      <c r="G661" s="37" t="str">
        <f t="shared" si="32"/>
        <v/>
      </c>
    </row>
    <row r="662" spans="5:7" x14ac:dyDescent="0.45">
      <c r="E662" s="32" t="str">
        <f t="shared" si="30"/>
        <v>.0</v>
      </c>
      <c r="F662" s="32" t="str">
        <f t="shared" si="31"/>
        <v>.0</v>
      </c>
      <c r="G662" s="37" t="str">
        <f t="shared" si="32"/>
        <v/>
      </c>
    </row>
    <row r="663" spans="5:7" x14ac:dyDescent="0.45">
      <c r="E663" s="32" t="str">
        <f t="shared" si="30"/>
        <v>.0</v>
      </c>
      <c r="F663" s="32" t="str">
        <f t="shared" si="31"/>
        <v>.0</v>
      </c>
      <c r="G663" s="37" t="str">
        <f t="shared" si="32"/>
        <v/>
      </c>
    </row>
    <row r="664" spans="5:7" x14ac:dyDescent="0.45">
      <c r="E664" s="32" t="str">
        <f t="shared" si="30"/>
        <v>.0</v>
      </c>
      <c r="F664" s="32" t="str">
        <f t="shared" si="31"/>
        <v>.0</v>
      </c>
      <c r="G664" s="37" t="str">
        <f t="shared" si="32"/>
        <v/>
      </c>
    </row>
    <row r="665" spans="5:7" x14ac:dyDescent="0.45">
      <c r="E665" s="32" t="str">
        <f t="shared" si="30"/>
        <v>.0</v>
      </c>
      <c r="F665" s="32" t="str">
        <f t="shared" si="31"/>
        <v>.0</v>
      </c>
      <c r="G665" s="37" t="str">
        <f t="shared" si="32"/>
        <v/>
      </c>
    </row>
    <row r="666" spans="5:7" x14ac:dyDescent="0.45">
      <c r="E666" s="32" t="str">
        <f t="shared" si="30"/>
        <v>.0</v>
      </c>
      <c r="F666" s="32" t="str">
        <f t="shared" si="31"/>
        <v>.0</v>
      </c>
      <c r="G666" s="37" t="str">
        <f t="shared" si="32"/>
        <v/>
      </c>
    </row>
    <row r="667" spans="5:7" x14ac:dyDescent="0.45">
      <c r="E667" s="32" t="str">
        <f t="shared" si="30"/>
        <v>.0</v>
      </c>
      <c r="F667" s="32" t="str">
        <f t="shared" si="31"/>
        <v>.0</v>
      </c>
      <c r="G667" s="37" t="str">
        <f t="shared" si="32"/>
        <v/>
      </c>
    </row>
    <row r="668" spans="5:7" x14ac:dyDescent="0.45">
      <c r="E668" s="32" t="str">
        <f t="shared" si="30"/>
        <v>.0</v>
      </c>
      <c r="F668" s="32" t="str">
        <f t="shared" si="31"/>
        <v>.0</v>
      </c>
      <c r="G668" s="37" t="str">
        <f t="shared" si="32"/>
        <v/>
      </c>
    </row>
    <row r="669" spans="5:7" x14ac:dyDescent="0.45">
      <c r="E669" s="32" t="str">
        <f t="shared" si="30"/>
        <v>.0</v>
      </c>
      <c r="F669" s="32" t="str">
        <f t="shared" si="31"/>
        <v>.0</v>
      </c>
      <c r="G669" s="37" t="str">
        <f t="shared" si="32"/>
        <v/>
      </c>
    </row>
    <row r="670" spans="5:7" x14ac:dyDescent="0.45">
      <c r="E670" s="32" t="str">
        <f t="shared" ref="E670:E733" si="33">MID(B670,3,2)&amp;"."&amp;IF(C670&lt;10,"0"&amp;C670,C670)</f>
        <v>.0</v>
      </c>
      <c r="F670" s="32" t="str">
        <f t="shared" ref="F670:F733" si="34">MID(B670,3,2)&amp;"."&amp;IF(C670&lt;10,"0"&amp;C670,C670)</f>
        <v>.0</v>
      </c>
      <c r="G670" s="37" t="str">
        <f t="shared" ref="G670:G733" si="35">TEXT(D670,"#,###,")</f>
        <v/>
      </c>
    </row>
    <row r="671" spans="5:7" x14ac:dyDescent="0.45">
      <c r="E671" s="32" t="str">
        <f t="shared" si="33"/>
        <v>.0</v>
      </c>
      <c r="F671" s="32" t="str">
        <f t="shared" si="34"/>
        <v>.0</v>
      </c>
      <c r="G671" s="37" t="str">
        <f t="shared" si="35"/>
        <v/>
      </c>
    </row>
    <row r="672" spans="5:7" x14ac:dyDescent="0.45">
      <c r="E672" s="32" t="str">
        <f t="shared" si="33"/>
        <v>.0</v>
      </c>
      <c r="F672" s="32" t="str">
        <f t="shared" si="34"/>
        <v>.0</v>
      </c>
      <c r="G672" s="37" t="str">
        <f t="shared" si="35"/>
        <v/>
      </c>
    </row>
    <row r="673" spans="5:7" x14ac:dyDescent="0.45">
      <c r="E673" s="32" t="str">
        <f t="shared" si="33"/>
        <v>.0</v>
      </c>
      <c r="F673" s="32" t="str">
        <f t="shared" si="34"/>
        <v>.0</v>
      </c>
      <c r="G673" s="37" t="str">
        <f t="shared" si="35"/>
        <v/>
      </c>
    </row>
    <row r="674" spans="5:7" x14ac:dyDescent="0.45">
      <c r="E674" s="32" t="str">
        <f t="shared" si="33"/>
        <v>.0</v>
      </c>
      <c r="F674" s="32" t="str">
        <f t="shared" si="34"/>
        <v>.0</v>
      </c>
      <c r="G674" s="37" t="str">
        <f t="shared" si="35"/>
        <v/>
      </c>
    </row>
    <row r="675" spans="5:7" x14ac:dyDescent="0.45">
      <c r="E675" s="32" t="str">
        <f t="shared" si="33"/>
        <v>.0</v>
      </c>
      <c r="F675" s="32" t="str">
        <f t="shared" si="34"/>
        <v>.0</v>
      </c>
      <c r="G675" s="37" t="str">
        <f t="shared" si="35"/>
        <v/>
      </c>
    </row>
    <row r="676" spans="5:7" x14ac:dyDescent="0.45">
      <c r="E676" s="32" t="str">
        <f t="shared" si="33"/>
        <v>.0</v>
      </c>
      <c r="F676" s="32" t="str">
        <f t="shared" si="34"/>
        <v>.0</v>
      </c>
      <c r="G676" s="37" t="str">
        <f t="shared" si="35"/>
        <v/>
      </c>
    </row>
    <row r="677" spans="5:7" x14ac:dyDescent="0.45">
      <c r="E677" s="32" t="str">
        <f t="shared" si="33"/>
        <v>.0</v>
      </c>
      <c r="F677" s="32" t="str">
        <f t="shared" si="34"/>
        <v>.0</v>
      </c>
      <c r="G677" s="37" t="str">
        <f t="shared" si="35"/>
        <v/>
      </c>
    </row>
    <row r="678" spans="5:7" x14ac:dyDescent="0.45">
      <c r="E678" s="32" t="str">
        <f t="shared" si="33"/>
        <v>.0</v>
      </c>
      <c r="F678" s="32" t="str">
        <f t="shared" si="34"/>
        <v>.0</v>
      </c>
      <c r="G678" s="37" t="str">
        <f t="shared" si="35"/>
        <v/>
      </c>
    </row>
    <row r="679" spans="5:7" x14ac:dyDescent="0.45">
      <c r="E679" s="32" t="str">
        <f t="shared" si="33"/>
        <v>.0</v>
      </c>
      <c r="F679" s="32" t="str">
        <f t="shared" si="34"/>
        <v>.0</v>
      </c>
      <c r="G679" s="37" t="str">
        <f t="shared" si="35"/>
        <v/>
      </c>
    </row>
    <row r="680" spans="5:7" x14ac:dyDescent="0.45">
      <c r="E680" s="32" t="str">
        <f t="shared" si="33"/>
        <v>.0</v>
      </c>
      <c r="F680" s="32" t="str">
        <f t="shared" si="34"/>
        <v>.0</v>
      </c>
      <c r="G680" s="37" t="str">
        <f t="shared" si="35"/>
        <v/>
      </c>
    </row>
    <row r="681" spans="5:7" x14ac:dyDescent="0.45">
      <c r="E681" s="32" t="str">
        <f t="shared" si="33"/>
        <v>.0</v>
      </c>
      <c r="F681" s="32" t="str">
        <f t="shared" si="34"/>
        <v>.0</v>
      </c>
      <c r="G681" s="37" t="str">
        <f t="shared" si="35"/>
        <v/>
      </c>
    </row>
    <row r="682" spans="5:7" x14ac:dyDescent="0.45">
      <c r="E682" s="32" t="str">
        <f t="shared" si="33"/>
        <v>.0</v>
      </c>
      <c r="F682" s="32" t="str">
        <f t="shared" si="34"/>
        <v>.0</v>
      </c>
      <c r="G682" s="37" t="str">
        <f t="shared" si="35"/>
        <v/>
      </c>
    </row>
    <row r="683" spans="5:7" x14ac:dyDescent="0.45">
      <c r="E683" s="32" t="str">
        <f t="shared" si="33"/>
        <v>.0</v>
      </c>
      <c r="F683" s="32" t="str">
        <f t="shared" si="34"/>
        <v>.0</v>
      </c>
      <c r="G683" s="37" t="str">
        <f t="shared" si="35"/>
        <v/>
      </c>
    </row>
    <row r="684" spans="5:7" x14ac:dyDescent="0.45">
      <c r="E684" s="32" t="str">
        <f t="shared" si="33"/>
        <v>.0</v>
      </c>
      <c r="F684" s="32" t="str">
        <f t="shared" si="34"/>
        <v>.0</v>
      </c>
      <c r="G684" s="37" t="str">
        <f t="shared" si="35"/>
        <v/>
      </c>
    </row>
    <row r="685" spans="5:7" x14ac:dyDescent="0.45">
      <c r="E685" s="32" t="str">
        <f t="shared" si="33"/>
        <v>.0</v>
      </c>
      <c r="F685" s="32" t="str">
        <f t="shared" si="34"/>
        <v>.0</v>
      </c>
      <c r="G685" s="37" t="str">
        <f t="shared" si="35"/>
        <v/>
      </c>
    </row>
    <row r="686" spans="5:7" x14ac:dyDescent="0.45">
      <c r="E686" s="32" t="str">
        <f t="shared" si="33"/>
        <v>.0</v>
      </c>
      <c r="F686" s="32" t="str">
        <f t="shared" si="34"/>
        <v>.0</v>
      </c>
      <c r="G686" s="37" t="str">
        <f t="shared" si="35"/>
        <v/>
      </c>
    </row>
    <row r="687" spans="5:7" x14ac:dyDescent="0.45">
      <c r="E687" s="32" t="str">
        <f t="shared" si="33"/>
        <v>.0</v>
      </c>
      <c r="F687" s="32" t="str">
        <f t="shared" si="34"/>
        <v>.0</v>
      </c>
      <c r="G687" s="37" t="str">
        <f t="shared" si="35"/>
        <v/>
      </c>
    </row>
    <row r="688" spans="5:7" x14ac:dyDescent="0.45">
      <c r="E688" s="32" t="str">
        <f t="shared" si="33"/>
        <v>.0</v>
      </c>
      <c r="F688" s="32" t="str">
        <f t="shared" si="34"/>
        <v>.0</v>
      </c>
      <c r="G688" s="37" t="str">
        <f t="shared" si="35"/>
        <v/>
      </c>
    </row>
    <row r="689" spans="5:7" x14ac:dyDescent="0.45">
      <c r="E689" s="32" t="str">
        <f t="shared" si="33"/>
        <v>.0</v>
      </c>
      <c r="F689" s="32" t="str">
        <f t="shared" si="34"/>
        <v>.0</v>
      </c>
      <c r="G689" s="37" t="str">
        <f t="shared" si="35"/>
        <v/>
      </c>
    </row>
    <row r="690" spans="5:7" x14ac:dyDescent="0.45">
      <c r="E690" s="32" t="str">
        <f t="shared" si="33"/>
        <v>.0</v>
      </c>
      <c r="F690" s="32" t="str">
        <f t="shared" si="34"/>
        <v>.0</v>
      </c>
      <c r="G690" s="37" t="str">
        <f t="shared" si="35"/>
        <v/>
      </c>
    </row>
    <row r="691" spans="5:7" x14ac:dyDescent="0.45">
      <c r="E691" s="32" t="str">
        <f t="shared" si="33"/>
        <v>.0</v>
      </c>
      <c r="F691" s="32" t="str">
        <f t="shared" si="34"/>
        <v>.0</v>
      </c>
      <c r="G691" s="37" t="str">
        <f t="shared" si="35"/>
        <v/>
      </c>
    </row>
    <row r="692" spans="5:7" x14ac:dyDescent="0.45">
      <c r="E692" s="32" t="str">
        <f t="shared" si="33"/>
        <v>.0</v>
      </c>
      <c r="F692" s="32" t="str">
        <f t="shared" si="34"/>
        <v>.0</v>
      </c>
      <c r="G692" s="37" t="str">
        <f t="shared" si="35"/>
        <v/>
      </c>
    </row>
    <row r="693" spans="5:7" x14ac:dyDescent="0.45">
      <c r="E693" s="32" t="str">
        <f t="shared" si="33"/>
        <v>.0</v>
      </c>
      <c r="F693" s="32" t="str">
        <f t="shared" si="34"/>
        <v>.0</v>
      </c>
      <c r="G693" s="37" t="str">
        <f t="shared" si="35"/>
        <v/>
      </c>
    </row>
    <row r="694" spans="5:7" x14ac:dyDescent="0.45">
      <c r="E694" s="32" t="str">
        <f t="shared" si="33"/>
        <v>.0</v>
      </c>
      <c r="F694" s="32" t="str">
        <f t="shared" si="34"/>
        <v>.0</v>
      </c>
      <c r="G694" s="37" t="str">
        <f t="shared" si="35"/>
        <v/>
      </c>
    </row>
    <row r="695" spans="5:7" x14ac:dyDescent="0.45">
      <c r="E695" s="32" t="str">
        <f t="shared" si="33"/>
        <v>.0</v>
      </c>
      <c r="F695" s="32" t="str">
        <f t="shared" si="34"/>
        <v>.0</v>
      </c>
      <c r="G695" s="37" t="str">
        <f t="shared" si="35"/>
        <v/>
      </c>
    </row>
    <row r="696" spans="5:7" x14ac:dyDescent="0.45">
      <c r="E696" s="32" t="str">
        <f t="shared" si="33"/>
        <v>.0</v>
      </c>
      <c r="F696" s="32" t="str">
        <f t="shared" si="34"/>
        <v>.0</v>
      </c>
      <c r="G696" s="37" t="str">
        <f t="shared" si="35"/>
        <v/>
      </c>
    </row>
    <row r="697" spans="5:7" x14ac:dyDescent="0.45">
      <c r="E697" s="32" t="str">
        <f t="shared" si="33"/>
        <v>.0</v>
      </c>
      <c r="F697" s="32" t="str">
        <f t="shared" si="34"/>
        <v>.0</v>
      </c>
      <c r="G697" s="37" t="str">
        <f t="shared" si="35"/>
        <v/>
      </c>
    </row>
    <row r="698" spans="5:7" x14ac:dyDescent="0.45">
      <c r="E698" s="32" t="str">
        <f t="shared" si="33"/>
        <v>.0</v>
      </c>
      <c r="F698" s="32" t="str">
        <f t="shared" si="34"/>
        <v>.0</v>
      </c>
      <c r="G698" s="37" t="str">
        <f t="shared" si="35"/>
        <v/>
      </c>
    </row>
    <row r="699" spans="5:7" x14ac:dyDescent="0.45">
      <c r="E699" s="32" t="str">
        <f t="shared" si="33"/>
        <v>.0</v>
      </c>
      <c r="F699" s="32" t="str">
        <f t="shared" si="34"/>
        <v>.0</v>
      </c>
      <c r="G699" s="37" t="str">
        <f t="shared" si="35"/>
        <v/>
      </c>
    </row>
    <row r="700" spans="5:7" x14ac:dyDescent="0.45">
      <c r="E700" s="32" t="str">
        <f t="shared" si="33"/>
        <v>.0</v>
      </c>
      <c r="F700" s="32" t="str">
        <f t="shared" si="34"/>
        <v>.0</v>
      </c>
      <c r="G700" s="37" t="str">
        <f t="shared" si="35"/>
        <v/>
      </c>
    </row>
    <row r="701" spans="5:7" x14ac:dyDescent="0.45">
      <c r="E701" s="32" t="str">
        <f t="shared" si="33"/>
        <v>.0</v>
      </c>
      <c r="F701" s="32" t="str">
        <f t="shared" si="34"/>
        <v>.0</v>
      </c>
      <c r="G701" s="37" t="str">
        <f t="shared" si="35"/>
        <v/>
      </c>
    </row>
    <row r="702" spans="5:7" x14ac:dyDescent="0.45">
      <c r="E702" s="32" t="str">
        <f t="shared" si="33"/>
        <v>.0</v>
      </c>
      <c r="F702" s="32" t="str">
        <f t="shared" si="34"/>
        <v>.0</v>
      </c>
      <c r="G702" s="37" t="str">
        <f t="shared" si="35"/>
        <v/>
      </c>
    </row>
    <row r="703" spans="5:7" x14ac:dyDescent="0.45">
      <c r="E703" s="32" t="str">
        <f t="shared" si="33"/>
        <v>.0</v>
      </c>
      <c r="F703" s="32" t="str">
        <f t="shared" si="34"/>
        <v>.0</v>
      </c>
      <c r="G703" s="37" t="str">
        <f t="shared" si="35"/>
        <v/>
      </c>
    </row>
    <row r="704" spans="5:7" x14ac:dyDescent="0.45">
      <c r="E704" s="32" t="str">
        <f t="shared" si="33"/>
        <v>.0</v>
      </c>
      <c r="F704" s="32" t="str">
        <f t="shared" si="34"/>
        <v>.0</v>
      </c>
      <c r="G704" s="37" t="str">
        <f t="shared" si="35"/>
        <v/>
      </c>
    </row>
    <row r="705" spans="5:7" x14ac:dyDescent="0.45">
      <c r="E705" s="32" t="str">
        <f t="shared" si="33"/>
        <v>.0</v>
      </c>
      <c r="F705" s="32" t="str">
        <f t="shared" si="34"/>
        <v>.0</v>
      </c>
      <c r="G705" s="37" t="str">
        <f t="shared" si="35"/>
        <v/>
      </c>
    </row>
    <row r="706" spans="5:7" x14ac:dyDescent="0.45">
      <c r="E706" s="32" t="str">
        <f t="shared" si="33"/>
        <v>.0</v>
      </c>
      <c r="F706" s="32" t="str">
        <f t="shared" si="34"/>
        <v>.0</v>
      </c>
      <c r="G706" s="37" t="str">
        <f t="shared" si="35"/>
        <v/>
      </c>
    </row>
    <row r="707" spans="5:7" x14ac:dyDescent="0.45">
      <c r="E707" s="32" t="str">
        <f t="shared" si="33"/>
        <v>.0</v>
      </c>
      <c r="F707" s="32" t="str">
        <f t="shared" si="34"/>
        <v>.0</v>
      </c>
      <c r="G707" s="37" t="str">
        <f t="shared" si="35"/>
        <v/>
      </c>
    </row>
    <row r="708" spans="5:7" x14ac:dyDescent="0.45">
      <c r="E708" s="32" t="str">
        <f t="shared" si="33"/>
        <v>.0</v>
      </c>
      <c r="F708" s="32" t="str">
        <f t="shared" si="34"/>
        <v>.0</v>
      </c>
      <c r="G708" s="37" t="str">
        <f t="shared" si="35"/>
        <v/>
      </c>
    </row>
    <row r="709" spans="5:7" x14ac:dyDescent="0.45">
      <c r="E709" s="32" t="str">
        <f t="shared" si="33"/>
        <v>.0</v>
      </c>
      <c r="F709" s="32" t="str">
        <f t="shared" si="34"/>
        <v>.0</v>
      </c>
      <c r="G709" s="37" t="str">
        <f t="shared" si="35"/>
        <v/>
      </c>
    </row>
    <row r="710" spans="5:7" x14ac:dyDescent="0.45">
      <c r="E710" s="32" t="str">
        <f t="shared" si="33"/>
        <v>.0</v>
      </c>
      <c r="F710" s="32" t="str">
        <f t="shared" si="34"/>
        <v>.0</v>
      </c>
      <c r="G710" s="37" t="str">
        <f t="shared" si="35"/>
        <v/>
      </c>
    </row>
    <row r="711" spans="5:7" x14ac:dyDescent="0.45">
      <c r="E711" s="32" t="str">
        <f t="shared" si="33"/>
        <v>.0</v>
      </c>
      <c r="F711" s="32" t="str">
        <f t="shared" si="34"/>
        <v>.0</v>
      </c>
      <c r="G711" s="37" t="str">
        <f t="shared" si="35"/>
        <v/>
      </c>
    </row>
    <row r="712" spans="5:7" x14ac:dyDescent="0.45">
      <c r="E712" s="32" t="str">
        <f t="shared" si="33"/>
        <v>.0</v>
      </c>
      <c r="F712" s="32" t="str">
        <f t="shared" si="34"/>
        <v>.0</v>
      </c>
      <c r="G712" s="37" t="str">
        <f t="shared" si="35"/>
        <v/>
      </c>
    </row>
    <row r="713" spans="5:7" x14ac:dyDescent="0.45">
      <c r="E713" s="32" t="str">
        <f t="shared" si="33"/>
        <v>.0</v>
      </c>
      <c r="F713" s="32" t="str">
        <f t="shared" si="34"/>
        <v>.0</v>
      </c>
      <c r="G713" s="37" t="str">
        <f t="shared" si="35"/>
        <v/>
      </c>
    </row>
    <row r="714" spans="5:7" x14ac:dyDescent="0.45">
      <c r="E714" s="32" t="str">
        <f t="shared" si="33"/>
        <v>.0</v>
      </c>
      <c r="F714" s="32" t="str">
        <f t="shared" si="34"/>
        <v>.0</v>
      </c>
      <c r="G714" s="37" t="str">
        <f t="shared" si="35"/>
        <v/>
      </c>
    </row>
    <row r="715" spans="5:7" x14ac:dyDescent="0.45">
      <c r="E715" s="32" t="str">
        <f t="shared" si="33"/>
        <v>.0</v>
      </c>
      <c r="F715" s="32" t="str">
        <f t="shared" si="34"/>
        <v>.0</v>
      </c>
      <c r="G715" s="37" t="str">
        <f t="shared" si="35"/>
        <v/>
      </c>
    </row>
    <row r="716" spans="5:7" x14ac:dyDescent="0.45">
      <c r="E716" s="32" t="str">
        <f t="shared" si="33"/>
        <v>.0</v>
      </c>
      <c r="F716" s="32" t="str">
        <f t="shared" si="34"/>
        <v>.0</v>
      </c>
      <c r="G716" s="37" t="str">
        <f t="shared" si="35"/>
        <v/>
      </c>
    </row>
    <row r="717" spans="5:7" x14ac:dyDescent="0.45">
      <c r="E717" s="32" t="str">
        <f t="shared" si="33"/>
        <v>.0</v>
      </c>
      <c r="F717" s="32" t="str">
        <f t="shared" si="34"/>
        <v>.0</v>
      </c>
      <c r="G717" s="37" t="str">
        <f t="shared" si="35"/>
        <v/>
      </c>
    </row>
    <row r="718" spans="5:7" x14ac:dyDescent="0.45">
      <c r="E718" s="32" t="str">
        <f t="shared" si="33"/>
        <v>.0</v>
      </c>
      <c r="F718" s="32" t="str">
        <f t="shared" si="34"/>
        <v>.0</v>
      </c>
      <c r="G718" s="37" t="str">
        <f t="shared" si="35"/>
        <v/>
      </c>
    </row>
    <row r="719" spans="5:7" x14ac:dyDescent="0.45">
      <c r="E719" s="32" t="str">
        <f t="shared" si="33"/>
        <v>.0</v>
      </c>
      <c r="F719" s="32" t="str">
        <f t="shared" si="34"/>
        <v>.0</v>
      </c>
      <c r="G719" s="37" t="str">
        <f t="shared" si="35"/>
        <v/>
      </c>
    </row>
    <row r="720" spans="5:7" x14ac:dyDescent="0.45">
      <c r="E720" s="32" t="str">
        <f t="shared" si="33"/>
        <v>.0</v>
      </c>
      <c r="F720" s="32" t="str">
        <f t="shared" si="34"/>
        <v>.0</v>
      </c>
      <c r="G720" s="37" t="str">
        <f t="shared" si="35"/>
        <v/>
      </c>
    </row>
    <row r="721" spans="5:7" x14ac:dyDescent="0.45">
      <c r="E721" s="32" t="str">
        <f t="shared" si="33"/>
        <v>.0</v>
      </c>
      <c r="F721" s="32" t="str">
        <f t="shared" si="34"/>
        <v>.0</v>
      </c>
      <c r="G721" s="37" t="str">
        <f t="shared" si="35"/>
        <v/>
      </c>
    </row>
    <row r="722" spans="5:7" x14ac:dyDescent="0.45">
      <c r="E722" s="32" t="str">
        <f t="shared" si="33"/>
        <v>.0</v>
      </c>
      <c r="F722" s="32" t="str">
        <f t="shared" si="34"/>
        <v>.0</v>
      </c>
      <c r="G722" s="37" t="str">
        <f t="shared" si="35"/>
        <v/>
      </c>
    </row>
    <row r="723" spans="5:7" x14ac:dyDescent="0.45">
      <c r="E723" s="32" t="str">
        <f t="shared" si="33"/>
        <v>.0</v>
      </c>
      <c r="F723" s="32" t="str">
        <f t="shared" si="34"/>
        <v>.0</v>
      </c>
      <c r="G723" s="37" t="str">
        <f t="shared" si="35"/>
        <v/>
      </c>
    </row>
    <row r="724" spans="5:7" x14ac:dyDescent="0.45">
      <c r="E724" s="32" t="str">
        <f t="shared" si="33"/>
        <v>.0</v>
      </c>
      <c r="F724" s="32" t="str">
        <f t="shared" si="34"/>
        <v>.0</v>
      </c>
      <c r="G724" s="37" t="str">
        <f t="shared" si="35"/>
        <v/>
      </c>
    </row>
    <row r="725" spans="5:7" x14ac:dyDescent="0.45">
      <c r="E725" s="32" t="str">
        <f t="shared" si="33"/>
        <v>.0</v>
      </c>
      <c r="F725" s="32" t="str">
        <f t="shared" si="34"/>
        <v>.0</v>
      </c>
      <c r="G725" s="37" t="str">
        <f t="shared" si="35"/>
        <v/>
      </c>
    </row>
    <row r="726" spans="5:7" x14ac:dyDescent="0.45">
      <c r="E726" s="32" t="str">
        <f t="shared" si="33"/>
        <v>.0</v>
      </c>
      <c r="F726" s="32" t="str">
        <f t="shared" si="34"/>
        <v>.0</v>
      </c>
      <c r="G726" s="37" t="str">
        <f t="shared" si="35"/>
        <v/>
      </c>
    </row>
    <row r="727" spans="5:7" x14ac:dyDescent="0.45">
      <c r="E727" s="32" t="str">
        <f t="shared" si="33"/>
        <v>.0</v>
      </c>
      <c r="F727" s="32" t="str">
        <f t="shared" si="34"/>
        <v>.0</v>
      </c>
      <c r="G727" s="37" t="str">
        <f t="shared" si="35"/>
        <v/>
      </c>
    </row>
    <row r="728" spans="5:7" x14ac:dyDescent="0.45">
      <c r="E728" s="32" t="str">
        <f t="shared" si="33"/>
        <v>.0</v>
      </c>
      <c r="F728" s="32" t="str">
        <f t="shared" si="34"/>
        <v>.0</v>
      </c>
      <c r="G728" s="37" t="str">
        <f t="shared" si="35"/>
        <v/>
      </c>
    </row>
    <row r="729" spans="5:7" x14ac:dyDescent="0.45">
      <c r="E729" s="32" t="str">
        <f t="shared" si="33"/>
        <v>.0</v>
      </c>
      <c r="F729" s="32" t="str">
        <f t="shared" si="34"/>
        <v>.0</v>
      </c>
      <c r="G729" s="37" t="str">
        <f t="shared" si="35"/>
        <v/>
      </c>
    </row>
    <row r="730" spans="5:7" x14ac:dyDescent="0.45">
      <c r="E730" s="32" t="str">
        <f t="shared" si="33"/>
        <v>.0</v>
      </c>
      <c r="F730" s="32" t="str">
        <f t="shared" si="34"/>
        <v>.0</v>
      </c>
      <c r="G730" s="37" t="str">
        <f t="shared" si="35"/>
        <v/>
      </c>
    </row>
    <row r="731" spans="5:7" x14ac:dyDescent="0.45">
      <c r="E731" s="32" t="str">
        <f t="shared" si="33"/>
        <v>.0</v>
      </c>
      <c r="F731" s="32" t="str">
        <f t="shared" si="34"/>
        <v>.0</v>
      </c>
      <c r="G731" s="37" t="str">
        <f t="shared" si="35"/>
        <v/>
      </c>
    </row>
    <row r="732" spans="5:7" x14ac:dyDescent="0.45">
      <c r="E732" s="32" t="str">
        <f t="shared" si="33"/>
        <v>.0</v>
      </c>
      <c r="F732" s="32" t="str">
        <f t="shared" si="34"/>
        <v>.0</v>
      </c>
      <c r="G732" s="37" t="str">
        <f t="shared" si="35"/>
        <v/>
      </c>
    </row>
    <row r="733" spans="5:7" x14ac:dyDescent="0.45">
      <c r="E733" s="32" t="str">
        <f t="shared" si="33"/>
        <v>.0</v>
      </c>
      <c r="F733" s="32" t="str">
        <f t="shared" si="34"/>
        <v>.0</v>
      </c>
      <c r="G733" s="37" t="str">
        <f t="shared" si="35"/>
        <v/>
      </c>
    </row>
    <row r="734" spans="5:7" x14ac:dyDescent="0.45">
      <c r="E734" s="32" t="str">
        <f t="shared" ref="E734:E797" si="36">MID(B734,3,2)&amp;"."&amp;IF(C734&lt;10,"0"&amp;C734,C734)</f>
        <v>.0</v>
      </c>
      <c r="F734" s="32" t="str">
        <f t="shared" ref="F734:F797" si="37">MID(B734,3,2)&amp;"."&amp;IF(C734&lt;10,"0"&amp;C734,C734)</f>
        <v>.0</v>
      </c>
      <c r="G734" s="37" t="str">
        <f t="shared" ref="G734:G797" si="38">TEXT(D734,"#,###,")</f>
        <v/>
      </c>
    </row>
    <row r="735" spans="5:7" x14ac:dyDescent="0.45">
      <c r="E735" s="32" t="str">
        <f t="shared" si="36"/>
        <v>.0</v>
      </c>
      <c r="F735" s="32" t="str">
        <f t="shared" si="37"/>
        <v>.0</v>
      </c>
      <c r="G735" s="37" t="str">
        <f t="shared" si="38"/>
        <v/>
      </c>
    </row>
    <row r="736" spans="5:7" x14ac:dyDescent="0.45">
      <c r="E736" s="32" t="str">
        <f t="shared" si="36"/>
        <v>.0</v>
      </c>
      <c r="F736" s="32" t="str">
        <f t="shared" si="37"/>
        <v>.0</v>
      </c>
      <c r="G736" s="37" t="str">
        <f t="shared" si="38"/>
        <v/>
      </c>
    </row>
    <row r="737" spans="5:7" x14ac:dyDescent="0.45">
      <c r="E737" s="32" t="str">
        <f t="shared" si="36"/>
        <v>.0</v>
      </c>
      <c r="F737" s="32" t="str">
        <f t="shared" si="37"/>
        <v>.0</v>
      </c>
      <c r="G737" s="37" t="str">
        <f t="shared" si="38"/>
        <v/>
      </c>
    </row>
    <row r="738" spans="5:7" x14ac:dyDescent="0.45">
      <c r="E738" s="32" t="str">
        <f t="shared" si="36"/>
        <v>.0</v>
      </c>
      <c r="F738" s="32" t="str">
        <f t="shared" si="37"/>
        <v>.0</v>
      </c>
      <c r="G738" s="37" t="str">
        <f t="shared" si="38"/>
        <v/>
      </c>
    </row>
    <row r="739" spans="5:7" x14ac:dyDescent="0.45">
      <c r="E739" s="32" t="str">
        <f t="shared" si="36"/>
        <v>.0</v>
      </c>
      <c r="F739" s="32" t="str">
        <f t="shared" si="37"/>
        <v>.0</v>
      </c>
      <c r="G739" s="37" t="str">
        <f t="shared" si="38"/>
        <v/>
      </c>
    </row>
    <row r="740" spans="5:7" x14ac:dyDescent="0.45">
      <c r="E740" s="32" t="str">
        <f t="shared" si="36"/>
        <v>.0</v>
      </c>
      <c r="F740" s="32" t="str">
        <f t="shared" si="37"/>
        <v>.0</v>
      </c>
      <c r="G740" s="37" t="str">
        <f t="shared" si="38"/>
        <v/>
      </c>
    </row>
    <row r="741" spans="5:7" x14ac:dyDescent="0.45">
      <c r="E741" s="32" t="str">
        <f t="shared" si="36"/>
        <v>.0</v>
      </c>
      <c r="F741" s="32" t="str">
        <f t="shared" si="37"/>
        <v>.0</v>
      </c>
      <c r="G741" s="37" t="str">
        <f t="shared" si="38"/>
        <v/>
      </c>
    </row>
    <row r="742" spans="5:7" x14ac:dyDescent="0.45">
      <c r="E742" s="32" t="str">
        <f t="shared" si="36"/>
        <v>.0</v>
      </c>
      <c r="F742" s="32" t="str">
        <f t="shared" si="37"/>
        <v>.0</v>
      </c>
      <c r="G742" s="37" t="str">
        <f t="shared" si="38"/>
        <v/>
      </c>
    </row>
    <row r="743" spans="5:7" x14ac:dyDescent="0.45">
      <c r="E743" s="32" t="str">
        <f t="shared" si="36"/>
        <v>.0</v>
      </c>
      <c r="F743" s="32" t="str">
        <f t="shared" si="37"/>
        <v>.0</v>
      </c>
      <c r="G743" s="37" t="str">
        <f t="shared" si="38"/>
        <v/>
      </c>
    </row>
    <row r="744" spans="5:7" x14ac:dyDescent="0.45">
      <c r="E744" s="32" t="str">
        <f t="shared" si="36"/>
        <v>.0</v>
      </c>
      <c r="F744" s="32" t="str">
        <f t="shared" si="37"/>
        <v>.0</v>
      </c>
      <c r="G744" s="37" t="str">
        <f t="shared" si="38"/>
        <v/>
      </c>
    </row>
    <row r="745" spans="5:7" x14ac:dyDescent="0.45">
      <c r="E745" s="32" t="str">
        <f t="shared" si="36"/>
        <v>.0</v>
      </c>
      <c r="F745" s="32" t="str">
        <f t="shared" si="37"/>
        <v>.0</v>
      </c>
      <c r="G745" s="37" t="str">
        <f t="shared" si="38"/>
        <v/>
      </c>
    </row>
    <row r="746" spans="5:7" x14ac:dyDescent="0.45">
      <c r="E746" s="32" t="str">
        <f t="shared" si="36"/>
        <v>.0</v>
      </c>
      <c r="F746" s="32" t="str">
        <f t="shared" si="37"/>
        <v>.0</v>
      </c>
      <c r="G746" s="37" t="str">
        <f t="shared" si="38"/>
        <v/>
      </c>
    </row>
    <row r="747" spans="5:7" x14ac:dyDescent="0.45">
      <c r="E747" s="32" t="str">
        <f t="shared" si="36"/>
        <v>.0</v>
      </c>
      <c r="F747" s="32" t="str">
        <f t="shared" si="37"/>
        <v>.0</v>
      </c>
      <c r="G747" s="37" t="str">
        <f t="shared" si="38"/>
        <v/>
      </c>
    </row>
    <row r="748" spans="5:7" x14ac:dyDescent="0.45">
      <c r="E748" s="32" t="str">
        <f t="shared" si="36"/>
        <v>.0</v>
      </c>
      <c r="F748" s="32" t="str">
        <f t="shared" si="37"/>
        <v>.0</v>
      </c>
      <c r="G748" s="37" t="str">
        <f t="shared" si="38"/>
        <v/>
      </c>
    </row>
    <row r="749" spans="5:7" x14ac:dyDescent="0.45">
      <c r="E749" s="32" t="str">
        <f t="shared" si="36"/>
        <v>.0</v>
      </c>
      <c r="F749" s="32" t="str">
        <f t="shared" si="37"/>
        <v>.0</v>
      </c>
      <c r="G749" s="37" t="str">
        <f t="shared" si="38"/>
        <v/>
      </c>
    </row>
    <row r="750" spans="5:7" x14ac:dyDescent="0.45">
      <c r="E750" s="32" t="str">
        <f t="shared" si="36"/>
        <v>.0</v>
      </c>
      <c r="F750" s="32" t="str">
        <f t="shared" si="37"/>
        <v>.0</v>
      </c>
      <c r="G750" s="37" t="str">
        <f t="shared" si="38"/>
        <v/>
      </c>
    </row>
    <row r="751" spans="5:7" x14ac:dyDescent="0.45">
      <c r="E751" s="32" t="str">
        <f t="shared" si="36"/>
        <v>.0</v>
      </c>
      <c r="F751" s="32" t="str">
        <f t="shared" si="37"/>
        <v>.0</v>
      </c>
      <c r="G751" s="37" t="str">
        <f t="shared" si="38"/>
        <v/>
      </c>
    </row>
    <row r="752" spans="5:7" x14ac:dyDescent="0.45">
      <c r="E752" s="32" t="str">
        <f t="shared" si="36"/>
        <v>.0</v>
      </c>
      <c r="F752" s="32" t="str">
        <f t="shared" si="37"/>
        <v>.0</v>
      </c>
      <c r="G752" s="37" t="str">
        <f t="shared" si="38"/>
        <v/>
      </c>
    </row>
    <row r="753" spans="5:7" x14ac:dyDescent="0.45">
      <c r="E753" s="32" t="str">
        <f t="shared" si="36"/>
        <v>.0</v>
      </c>
      <c r="F753" s="32" t="str">
        <f t="shared" si="37"/>
        <v>.0</v>
      </c>
      <c r="G753" s="37" t="str">
        <f t="shared" si="38"/>
        <v/>
      </c>
    </row>
    <row r="754" spans="5:7" x14ac:dyDescent="0.45">
      <c r="E754" s="32" t="str">
        <f t="shared" si="36"/>
        <v>.0</v>
      </c>
      <c r="F754" s="32" t="str">
        <f t="shared" si="37"/>
        <v>.0</v>
      </c>
      <c r="G754" s="37" t="str">
        <f t="shared" si="38"/>
        <v/>
      </c>
    </row>
    <row r="755" spans="5:7" x14ac:dyDescent="0.45">
      <c r="E755" s="32" t="str">
        <f t="shared" si="36"/>
        <v>.0</v>
      </c>
      <c r="F755" s="32" t="str">
        <f t="shared" si="37"/>
        <v>.0</v>
      </c>
      <c r="G755" s="37" t="str">
        <f t="shared" si="38"/>
        <v/>
      </c>
    </row>
    <row r="756" spans="5:7" x14ac:dyDescent="0.45">
      <c r="E756" s="32" t="str">
        <f t="shared" si="36"/>
        <v>.0</v>
      </c>
      <c r="F756" s="32" t="str">
        <f t="shared" si="37"/>
        <v>.0</v>
      </c>
      <c r="G756" s="37" t="str">
        <f t="shared" si="38"/>
        <v/>
      </c>
    </row>
    <row r="757" spans="5:7" x14ac:dyDescent="0.45">
      <c r="E757" s="32" t="str">
        <f t="shared" si="36"/>
        <v>.0</v>
      </c>
      <c r="F757" s="32" t="str">
        <f t="shared" si="37"/>
        <v>.0</v>
      </c>
      <c r="G757" s="37" t="str">
        <f t="shared" si="38"/>
        <v/>
      </c>
    </row>
    <row r="758" spans="5:7" x14ac:dyDescent="0.45">
      <c r="E758" s="32" t="str">
        <f t="shared" si="36"/>
        <v>.0</v>
      </c>
      <c r="F758" s="32" t="str">
        <f t="shared" si="37"/>
        <v>.0</v>
      </c>
      <c r="G758" s="37" t="str">
        <f t="shared" si="38"/>
        <v/>
      </c>
    </row>
    <row r="759" spans="5:7" x14ac:dyDescent="0.45">
      <c r="E759" s="32" t="str">
        <f t="shared" si="36"/>
        <v>.0</v>
      </c>
      <c r="F759" s="32" t="str">
        <f t="shared" si="37"/>
        <v>.0</v>
      </c>
      <c r="G759" s="37" t="str">
        <f t="shared" si="38"/>
        <v/>
      </c>
    </row>
    <row r="760" spans="5:7" x14ac:dyDescent="0.45">
      <c r="E760" s="32" t="str">
        <f t="shared" si="36"/>
        <v>.0</v>
      </c>
      <c r="F760" s="32" t="str">
        <f t="shared" si="37"/>
        <v>.0</v>
      </c>
      <c r="G760" s="37" t="str">
        <f t="shared" si="38"/>
        <v/>
      </c>
    </row>
    <row r="761" spans="5:7" x14ac:dyDescent="0.45">
      <c r="E761" s="32" t="str">
        <f t="shared" si="36"/>
        <v>.0</v>
      </c>
      <c r="F761" s="32" t="str">
        <f t="shared" si="37"/>
        <v>.0</v>
      </c>
      <c r="G761" s="37" t="str">
        <f t="shared" si="38"/>
        <v/>
      </c>
    </row>
    <row r="762" spans="5:7" x14ac:dyDescent="0.45">
      <c r="E762" s="32" t="str">
        <f t="shared" si="36"/>
        <v>.0</v>
      </c>
      <c r="F762" s="32" t="str">
        <f t="shared" si="37"/>
        <v>.0</v>
      </c>
      <c r="G762" s="37" t="str">
        <f t="shared" si="38"/>
        <v/>
      </c>
    </row>
    <row r="763" spans="5:7" x14ac:dyDescent="0.45">
      <c r="E763" s="32" t="str">
        <f t="shared" si="36"/>
        <v>.0</v>
      </c>
      <c r="F763" s="32" t="str">
        <f t="shared" si="37"/>
        <v>.0</v>
      </c>
      <c r="G763" s="37" t="str">
        <f t="shared" si="38"/>
        <v/>
      </c>
    </row>
    <row r="764" spans="5:7" x14ac:dyDescent="0.45">
      <c r="E764" s="32" t="str">
        <f t="shared" si="36"/>
        <v>.0</v>
      </c>
      <c r="F764" s="32" t="str">
        <f t="shared" si="37"/>
        <v>.0</v>
      </c>
      <c r="G764" s="37" t="str">
        <f t="shared" si="38"/>
        <v/>
      </c>
    </row>
    <row r="765" spans="5:7" x14ac:dyDescent="0.45">
      <c r="E765" s="32" t="str">
        <f t="shared" si="36"/>
        <v>.0</v>
      </c>
      <c r="F765" s="32" t="str">
        <f t="shared" si="37"/>
        <v>.0</v>
      </c>
      <c r="G765" s="37" t="str">
        <f t="shared" si="38"/>
        <v/>
      </c>
    </row>
    <row r="766" spans="5:7" x14ac:dyDescent="0.45">
      <c r="E766" s="32" t="str">
        <f t="shared" si="36"/>
        <v>.0</v>
      </c>
      <c r="F766" s="32" t="str">
        <f t="shared" si="37"/>
        <v>.0</v>
      </c>
      <c r="G766" s="37" t="str">
        <f t="shared" si="38"/>
        <v/>
      </c>
    </row>
    <row r="767" spans="5:7" x14ac:dyDescent="0.45">
      <c r="E767" s="32" t="str">
        <f t="shared" si="36"/>
        <v>.0</v>
      </c>
      <c r="F767" s="32" t="str">
        <f t="shared" si="37"/>
        <v>.0</v>
      </c>
      <c r="G767" s="37" t="str">
        <f t="shared" si="38"/>
        <v/>
      </c>
    </row>
    <row r="768" spans="5:7" x14ac:dyDescent="0.45">
      <c r="E768" s="32" t="str">
        <f t="shared" si="36"/>
        <v>.0</v>
      </c>
      <c r="F768" s="32" t="str">
        <f t="shared" si="37"/>
        <v>.0</v>
      </c>
      <c r="G768" s="37" t="str">
        <f t="shared" si="38"/>
        <v/>
      </c>
    </row>
    <row r="769" spans="5:7" x14ac:dyDescent="0.45">
      <c r="E769" s="32" t="str">
        <f t="shared" si="36"/>
        <v>.0</v>
      </c>
      <c r="F769" s="32" t="str">
        <f t="shared" si="37"/>
        <v>.0</v>
      </c>
      <c r="G769" s="37" t="str">
        <f t="shared" si="38"/>
        <v/>
      </c>
    </row>
    <row r="770" spans="5:7" x14ac:dyDescent="0.45">
      <c r="E770" s="32" t="str">
        <f t="shared" si="36"/>
        <v>.0</v>
      </c>
      <c r="F770" s="32" t="str">
        <f t="shared" si="37"/>
        <v>.0</v>
      </c>
      <c r="G770" s="37" t="str">
        <f t="shared" si="38"/>
        <v/>
      </c>
    </row>
    <row r="771" spans="5:7" x14ac:dyDescent="0.45">
      <c r="E771" s="32" t="str">
        <f t="shared" si="36"/>
        <v>.0</v>
      </c>
      <c r="F771" s="32" t="str">
        <f t="shared" si="37"/>
        <v>.0</v>
      </c>
      <c r="G771" s="37" t="str">
        <f t="shared" si="38"/>
        <v/>
      </c>
    </row>
    <row r="772" spans="5:7" x14ac:dyDescent="0.45">
      <c r="E772" s="32" t="str">
        <f t="shared" si="36"/>
        <v>.0</v>
      </c>
      <c r="F772" s="32" t="str">
        <f t="shared" si="37"/>
        <v>.0</v>
      </c>
      <c r="G772" s="37" t="str">
        <f t="shared" si="38"/>
        <v/>
      </c>
    </row>
    <row r="773" spans="5:7" x14ac:dyDescent="0.45">
      <c r="E773" s="32" t="str">
        <f t="shared" si="36"/>
        <v>.0</v>
      </c>
      <c r="F773" s="32" t="str">
        <f t="shared" si="37"/>
        <v>.0</v>
      </c>
      <c r="G773" s="37" t="str">
        <f t="shared" si="38"/>
        <v/>
      </c>
    </row>
    <row r="774" spans="5:7" x14ac:dyDescent="0.45">
      <c r="E774" s="32" t="str">
        <f t="shared" si="36"/>
        <v>.0</v>
      </c>
      <c r="F774" s="32" t="str">
        <f t="shared" si="37"/>
        <v>.0</v>
      </c>
      <c r="G774" s="37" t="str">
        <f t="shared" si="38"/>
        <v/>
      </c>
    </row>
    <row r="775" spans="5:7" x14ac:dyDescent="0.45">
      <c r="E775" s="32" t="str">
        <f t="shared" si="36"/>
        <v>.0</v>
      </c>
      <c r="F775" s="32" t="str">
        <f t="shared" si="37"/>
        <v>.0</v>
      </c>
      <c r="G775" s="37" t="str">
        <f t="shared" si="38"/>
        <v/>
      </c>
    </row>
    <row r="776" spans="5:7" x14ac:dyDescent="0.45">
      <c r="E776" s="32" t="str">
        <f t="shared" si="36"/>
        <v>.0</v>
      </c>
      <c r="F776" s="32" t="str">
        <f t="shared" si="37"/>
        <v>.0</v>
      </c>
      <c r="G776" s="37" t="str">
        <f t="shared" si="38"/>
        <v/>
      </c>
    </row>
    <row r="777" spans="5:7" x14ac:dyDescent="0.45">
      <c r="E777" s="32" t="str">
        <f t="shared" si="36"/>
        <v>.0</v>
      </c>
      <c r="F777" s="32" t="str">
        <f t="shared" si="37"/>
        <v>.0</v>
      </c>
      <c r="G777" s="37" t="str">
        <f t="shared" si="38"/>
        <v/>
      </c>
    </row>
    <row r="778" spans="5:7" x14ac:dyDescent="0.45">
      <c r="E778" s="32" t="str">
        <f t="shared" si="36"/>
        <v>.0</v>
      </c>
      <c r="F778" s="32" t="str">
        <f t="shared" si="37"/>
        <v>.0</v>
      </c>
      <c r="G778" s="37" t="str">
        <f t="shared" si="38"/>
        <v/>
      </c>
    </row>
    <row r="779" spans="5:7" x14ac:dyDescent="0.45">
      <c r="E779" s="32" t="str">
        <f t="shared" si="36"/>
        <v>.0</v>
      </c>
      <c r="F779" s="32" t="str">
        <f t="shared" si="37"/>
        <v>.0</v>
      </c>
      <c r="G779" s="37" t="str">
        <f t="shared" si="38"/>
        <v/>
      </c>
    </row>
    <row r="780" spans="5:7" x14ac:dyDescent="0.45">
      <c r="E780" s="32" t="str">
        <f t="shared" si="36"/>
        <v>.0</v>
      </c>
      <c r="F780" s="32" t="str">
        <f t="shared" si="37"/>
        <v>.0</v>
      </c>
      <c r="G780" s="37" t="str">
        <f t="shared" si="38"/>
        <v/>
      </c>
    </row>
    <row r="781" spans="5:7" x14ac:dyDescent="0.45">
      <c r="E781" s="32" t="str">
        <f t="shared" si="36"/>
        <v>.0</v>
      </c>
      <c r="F781" s="32" t="str">
        <f t="shared" si="37"/>
        <v>.0</v>
      </c>
      <c r="G781" s="37" t="str">
        <f t="shared" si="38"/>
        <v/>
      </c>
    </row>
    <row r="782" spans="5:7" x14ac:dyDescent="0.45">
      <c r="E782" s="32" t="str">
        <f t="shared" si="36"/>
        <v>.0</v>
      </c>
      <c r="F782" s="32" t="str">
        <f t="shared" si="37"/>
        <v>.0</v>
      </c>
      <c r="G782" s="37" t="str">
        <f t="shared" si="38"/>
        <v/>
      </c>
    </row>
    <row r="783" spans="5:7" x14ac:dyDescent="0.45">
      <c r="E783" s="32" t="str">
        <f t="shared" si="36"/>
        <v>.0</v>
      </c>
      <c r="F783" s="32" t="str">
        <f t="shared" si="37"/>
        <v>.0</v>
      </c>
      <c r="G783" s="37" t="str">
        <f t="shared" si="38"/>
        <v/>
      </c>
    </row>
    <row r="784" spans="5:7" x14ac:dyDescent="0.45">
      <c r="E784" s="32" t="str">
        <f t="shared" si="36"/>
        <v>.0</v>
      </c>
      <c r="F784" s="32" t="str">
        <f t="shared" si="37"/>
        <v>.0</v>
      </c>
      <c r="G784" s="37" t="str">
        <f t="shared" si="38"/>
        <v/>
      </c>
    </row>
    <row r="785" spans="5:7" x14ac:dyDescent="0.45">
      <c r="E785" s="32" t="str">
        <f t="shared" si="36"/>
        <v>.0</v>
      </c>
      <c r="F785" s="32" t="str">
        <f t="shared" si="37"/>
        <v>.0</v>
      </c>
      <c r="G785" s="37" t="str">
        <f t="shared" si="38"/>
        <v/>
      </c>
    </row>
    <row r="786" spans="5:7" x14ac:dyDescent="0.45">
      <c r="E786" s="32" t="str">
        <f t="shared" si="36"/>
        <v>.0</v>
      </c>
      <c r="F786" s="32" t="str">
        <f t="shared" si="37"/>
        <v>.0</v>
      </c>
      <c r="G786" s="37" t="str">
        <f t="shared" si="38"/>
        <v/>
      </c>
    </row>
    <row r="787" spans="5:7" x14ac:dyDescent="0.45">
      <c r="E787" s="32" t="str">
        <f t="shared" si="36"/>
        <v>.0</v>
      </c>
      <c r="F787" s="32" t="str">
        <f t="shared" si="37"/>
        <v>.0</v>
      </c>
      <c r="G787" s="37" t="str">
        <f t="shared" si="38"/>
        <v/>
      </c>
    </row>
    <row r="788" spans="5:7" x14ac:dyDescent="0.45">
      <c r="E788" s="32" t="str">
        <f t="shared" si="36"/>
        <v>.0</v>
      </c>
      <c r="F788" s="32" t="str">
        <f t="shared" si="37"/>
        <v>.0</v>
      </c>
      <c r="G788" s="37" t="str">
        <f t="shared" si="38"/>
        <v/>
      </c>
    </row>
    <row r="789" spans="5:7" x14ac:dyDescent="0.45">
      <c r="E789" s="32" t="str">
        <f t="shared" si="36"/>
        <v>.0</v>
      </c>
      <c r="F789" s="32" t="str">
        <f t="shared" si="37"/>
        <v>.0</v>
      </c>
      <c r="G789" s="37" t="str">
        <f t="shared" si="38"/>
        <v/>
      </c>
    </row>
    <row r="790" spans="5:7" x14ac:dyDescent="0.45">
      <c r="E790" s="32" t="str">
        <f t="shared" si="36"/>
        <v>.0</v>
      </c>
      <c r="F790" s="32" t="str">
        <f t="shared" si="37"/>
        <v>.0</v>
      </c>
      <c r="G790" s="37" t="str">
        <f t="shared" si="38"/>
        <v/>
      </c>
    </row>
    <row r="791" spans="5:7" x14ac:dyDescent="0.45">
      <c r="E791" s="32" t="str">
        <f t="shared" si="36"/>
        <v>.0</v>
      </c>
      <c r="F791" s="32" t="str">
        <f t="shared" si="37"/>
        <v>.0</v>
      </c>
      <c r="G791" s="37" t="str">
        <f t="shared" si="38"/>
        <v/>
      </c>
    </row>
    <row r="792" spans="5:7" x14ac:dyDescent="0.45">
      <c r="E792" s="32" t="str">
        <f t="shared" si="36"/>
        <v>.0</v>
      </c>
      <c r="F792" s="32" t="str">
        <f t="shared" si="37"/>
        <v>.0</v>
      </c>
      <c r="G792" s="37" t="str">
        <f t="shared" si="38"/>
        <v/>
      </c>
    </row>
    <row r="793" spans="5:7" x14ac:dyDescent="0.45">
      <c r="E793" s="32" t="str">
        <f t="shared" si="36"/>
        <v>.0</v>
      </c>
      <c r="F793" s="32" t="str">
        <f t="shared" si="37"/>
        <v>.0</v>
      </c>
      <c r="G793" s="37" t="str">
        <f t="shared" si="38"/>
        <v/>
      </c>
    </row>
    <row r="794" spans="5:7" x14ac:dyDescent="0.45">
      <c r="E794" s="32" t="str">
        <f t="shared" si="36"/>
        <v>.0</v>
      </c>
      <c r="F794" s="32" t="str">
        <f t="shared" si="37"/>
        <v>.0</v>
      </c>
      <c r="G794" s="37" t="str">
        <f t="shared" si="38"/>
        <v/>
      </c>
    </row>
    <row r="795" spans="5:7" x14ac:dyDescent="0.45">
      <c r="E795" s="32" t="str">
        <f t="shared" si="36"/>
        <v>.0</v>
      </c>
      <c r="F795" s="32" t="str">
        <f t="shared" si="37"/>
        <v>.0</v>
      </c>
      <c r="G795" s="37" t="str">
        <f t="shared" si="38"/>
        <v/>
      </c>
    </row>
    <row r="796" spans="5:7" x14ac:dyDescent="0.45">
      <c r="E796" s="32" t="str">
        <f t="shared" si="36"/>
        <v>.0</v>
      </c>
      <c r="F796" s="32" t="str">
        <f t="shared" si="37"/>
        <v>.0</v>
      </c>
      <c r="G796" s="37" t="str">
        <f t="shared" si="38"/>
        <v/>
      </c>
    </row>
    <row r="797" spans="5:7" x14ac:dyDescent="0.45">
      <c r="E797" s="32" t="str">
        <f t="shared" si="36"/>
        <v>.0</v>
      </c>
      <c r="F797" s="32" t="str">
        <f t="shared" si="37"/>
        <v>.0</v>
      </c>
      <c r="G797" s="37" t="str">
        <f t="shared" si="38"/>
        <v/>
      </c>
    </row>
    <row r="798" spans="5:7" x14ac:dyDescent="0.45">
      <c r="E798" s="32" t="str">
        <f t="shared" ref="E798:E861" si="39">MID(B798,3,2)&amp;"."&amp;IF(C798&lt;10,"0"&amp;C798,C798)</f>
        <v>.0</v>
      </c>
      <c r="F798" s="32" t="str">
        <f t="shared" ref="F798:F861" si="40">MID(B798,3,2)&amp;"."&amp;IF(C798&lt;10,"0"&amp;C798,C798)</f>
        <v>.0</v>
      </c>
      <c r="G798" s="37" t="str">
        <f t="shared" ref="G798:G861" si="41">TEXT(D798,"#,###,")</f>
        <v/>
      </c>
    </row>
    <row r="799" spans="5:7" x14ac:dyDescent="0.45">
      <c r="E799" s="32" t="str">
        <f t="shared" si="39"/>
        <v>.0</v>
      </c>
      <c r="F799" s="32" t="str">
        <f t="shared" si="40"/>
        <v>.0</v>
      </c>
      <c r="G799" s="37" t="str">
        <f t="shared" si="41"/>
        <v/>
      </c>
    </row>
    <row r="800" spans="5:7" x14ac:dyDescent="0.45">
      <c r="E800" s="32" t="str">
        <f t="shared" si="39"/>
        <v>.0</v>
      </c>
      <c r="F800" s="32" t="str">
        <f t="shared" si="40"/>
        <v>.0</v>
      </c>
      <c r="G800" s="37" t="str">
        <f t="shared" si="41"/>
        <v/>
      </c>
    </row>
    <row r="801" spans="5:7" x14ac:dyDescent="0.45">
      <c r="E801" s="32" t="str">
        <f t="shared" si="39"/>
        <v>.0</v>
      </c>
      <c r="F801" s="32" t="str">
        <f t="shared" si="40"/>
        <v>.0</v>
      </c>
      <c r="G801" s="37" t="str">
        <f t="shared" si="41"/>
        <v/>
      </c>
    </row>
    <row r="802" spans="5:7" x14ac:dyDescent="0.45">
      <c r="E802" s="32" t="str">
        <f t="shared" si="39"/>
        <v>.0</v>
      </c>
      <c r="F802" s="32" t="str">
        <f t="shared" si="40"/>
        <v>.0</v>
      </c>
      <c r="G802" s="37" t="str">
        <f t="shared" si="41"/>
        <v/>
      </c>
    </row>
    <row r="803" spans="5:7" x14ac:dyDescent="0.45">
      <c r="E803" s="32" t="str">
        <f t="shared" si="39"/>
        <v>.0</v>
      </c>
      <c r="F803" s="32" t="str">
        <f t="shared" si="40"/>
        <v>.0</v>
      </c>
      <c r="G803" s="37" t="str">
        <f t="shared" si="41"/>
        <v/>
      </c>
    </row>
    <row r="804" spans="5:7" x14ac:dyDescent="0.45">
      <c r="E804" s="32" t="str">
        <f t="shared" si="39"/>
        <v>.0</v>
      </c>
      <c r="F804" s="32" t="str">
        <f t="shared" si="40"/>
        <v>.0</v>
      </c>
      <c r="G804" s="37" t="str">
        <f t="shared" si="41"/>
        <v/>
      </c>
    </row>
    <row r="805" spans="5:7" x14ac:dyDescent="0.45">
      <c r="E805" s="32" t="str">
        <f t="shared" si="39"/>
        <v>.0</v>
      </c>
      <c r="F805" s="32" t="str">
        <f t="shared" si="40"/>
        <v>.0</v>
      </c>
      <c r="G805" s="37" t="str">
        <f t="shared" si="41"/>
        <v/>
      </c>
    </row>
    <row r="806" spans="5:7" x14ac:dyDescent="0.45">
      <c r="E806" s="32" t="str">
        <f t="shared" si="39"/>
        <v>.0</v>
      </c>
      <c r="F806" s="32" t="str">
        <f t="shared" si="40"/>
        <v>.0</v>
      </c>
      <c r="G806" s="37" t="str">
        <f t="shared" si="41"/>
        <v/>
      </c>
    </row>
    <row r="807" spans="5:7" x14ac:dyDescent="0.45">
      <c r="E807" s="32" t="str">
        <f t="shared" si="39"/>
        <v>.0</v>
      </c>
      <c r="F807" s="32" t="str">
        <f t="shared" si="40"/>
        <v>.0</v>
      </c>
      <c r="G807" s="37" t="str">
        <f t="shared" si="41"/>
        <v/>
      </c>
    </row>
    <row r="808" spans="5:7" x14ac:dyDescent="0.45">
      <c r="E808" s="32" t="str">
        <f t="shared" si="39"/>
        <v>.0</v>
      </c>
      <c r="F808" s="32" t="str">
        <f t="shared" si="40"/>
        <v>.0</v>
      </c>
      <c r="G808" s="37" t="str">
        <f t="shared" si="41"/>
        <v/>
      </c>
    </row>
    <row r="809" spans="5:7" x14ac:dyDescent="0.45">
      <c r="E809" s="32" t="str">
        <f t="shared" si="39"/>
        <v>.0</v>
      </c>
      <c r="F809" s="32" t="str">
        <f t="shared" si="40"/>
        <v>.0</v>
      </c>
      <c r="G809" s="37" t="str">
        <f t="shared" si="41"/>
        <v/>
      </c>
    </row>
    <row r="810" spans="5:7" x14ac:dyDescent="0.45">
      <c r="E810" s="32" t="str">
        <f t="shared" si="39"/>
        <v>.0</v>
      </c>
      <c r="F810" s="32" t="str">
        <f t="shared" si="40"/>
        <v>.0</v>
      </c>
      <c r="G810" s="37" t="str">
        <f t="shared" si="41"/>
        <v/>
      </c>
    </row>
    <row r="811" spans="5:7" x14ac:dyDescent="0.45">
      <c r="E811" s="32" t="str">
        <f t="shared" si="39"/>
        <v>.0</v>
      </c>
      <c r="F811" s="32" t="str">
        <f t="shared" si="40"/>
        <v>.0</v>
      </c>
      <c r="G811" s="37" t="str">
        <f t="shared" si="41"/>
        <v/>
      </c>
    </row>
    <row r="812" spans="5:7" x14ac:dyDescent="0.45">
      <c r="E812" s="32" t="str">
        <f t="shared" si="39"/>
        <v>.0</v>
      </c>
      <c r="F812" s="32" t="str">
        <f t="shared" si="40"/>
        <v>.0</v>
      </c>
      <c r="G812" s="37" t="str">
        <f t="shared" si="41"/>
        <v/>
      </c>
    </row>
    <row r="813" spans="5:7" x14ac:dyDescent="0.45">
      <c r="E813" s="32" t="str">
        <f t="shared" si="39"/>
        <v>.0</v>
      </c>
      <c r="F813" s="32" t="str">
        <f t="shared" si="40"/>
        <v>.0</v>
      </c>
      <c r="G813" s="37" t="str">
        <f t="shared" si="41"/>
        <v/>
      </c>
    </row>
    <row r="814" spans="5:7" x14ac:dyDescent="0.45">
      <c r="E814" s="32" t="str">
        <f t="shared" si="39"/>
        <v>.0</v>
      </c>
      <c r="F814" s="32" t="str">
        <f t="shared" si="40"/>
        <v>.0</v>
      </c>
      <c r="G814" s="37" t="str">
        <f t="shared" si="41"/>
        <v/>
      </c>
    </row>
    <row r="815" spans="5:7" x14ac:dyDescent="0.45">
      <c r="E815" s="32" t="str">
        <f t="shared" si="39"/>
        <v>.0</v>
      </c>
      <c r="F815" s="32" t="str">
        <f t="shared" si="40"/>
        <v>.0</v>
      </c>
      <c r="G815" s="37" t="str">
        <f t="shared" si="41"/>
        <v/>
      </c>
    </row>
    <row r="816" spans="5:7" x14ac:dyDescent="0.45">
      <c r="E816" s="32" t="str">
        <f t="shared" si="39"/>
        <v>.0</v>
      </c>
      <c r="F816" s="32" t="str">
        <f t="shared" si="40"/>
        <v>.0</v>
      </c>
      <c r="G816" s="37" t="str">
        <f t="shared" si="41"/>
        <v/>
      </c>
    </row>
    <row r="817" spans="5:7" x14ac:dyDescent="0.45">
      <c r="E817" s="32" t="str">
        <f t="shared" si="39"/>
        <v>.0</v>
      </c>
      <c r="F817" s="32" t="str">
        <f t="shared" si="40"/>
        <v>.0</v>
      </c>
      <c r="G817" s="37" t="str">
        <f t="shared" si="41"/>
        <v/>
      </c>
    </row>
    <row r="818" spans="5:7" x14ac:dyDescent="0.45">
      <c r="E818" s="32" t="str">
        <f t="shared" si="39"/>
        <v>.0</v>
      </c>
      <c r="F818" s="32" t="str">
        <f t="shared" si="40"/>
        <v>.0</v>
      </c>
      <c r="G818" s="37" t="str">
        <f t="shared" si="41"/>
        <v/>
      </c>
    </row>
    <row r="819" spans="5:7" x14ac:dyDescent="0.45">
      <c r="E819" s="32" t="str">
        <f t="shared" si="39"/>
        <v>.0</v>
      </c>
      <c r="F819" s="32" t="str">
        <f t="shared" si="40"/>
        <v>.0</v>
      </c>
      <c r="G819" s="37" t="str">
        <f t="shared" si="41"/>
        <v/>
      </c>
    </row>
    <row r="820" spans="5:7" x14ac:dyDescent="0.45">
      <c r="E820" s="32" t="str">
        <f t="shared" si="39"/>
        <v>.0</v>
      </c>
      <c r="F820" s="32" t="str">
        <f t="shared" si="40"/>
        <v>.0</v>
      </c>
      <c r="G820" s="37" t="str">
        <f t="shared" si="41"/>
        <v/>
      </c>
    </row>
    <row r="821" spans="5:7" x14ac:dyDescent="0.45">
      <c r="E821" s="32" t="str">
        <f t="shared" si="39"/>
        <v>.0</v>
      </c>
      <c r="F821" s="32" t="str">
        <f t="shared" si="40"/>
        <v>.0</v>
      </c>
      <c r="G821" s="37" t="str">
        <f t="shared" si="41"/>
        <v/>
      </c>
    </row>
    <row r="822" spans="5:7" x14ac:dyDescent="0.45">
      <c r="E822" s="32" t="str">
        <f t="shared" si="39"/>
        <v>.0</v>
      </c>
      <c r="F822" s="32" t="str">
        <f t="shared" si="40"/>
        <v>.0</v>
      </c>
      <c r="G822" s="37" t="str">
        <f t="shared" si="41"/>
        <v/>
      </c>
    </row>
    <row r="823" spans="5:7" x14ac:dyDescent="0.45">
      <c r="E823" s="32" t="str">
        <f t="shared" si="39"/>
        <v>.0</v>
      </c>
      <c r="F823" s="32" t="str">
        <f t="shared" si="40"/>
        <v>.0</v>
      </c>
      <c r="G823" s="37" t="str">
        <f t="shared" si="41"/>
        <v/>
      </c>
    </row>
    <row r="824" spans="5:7" x14ac:dyDescent="0.45">
      <c r="E824" s="32" t="str">
        <f t="shared" si="39"/>
        <v>.0</v>
      </c>
      <c r="F824" s="32" t="str">
        <f t="shared" si="40"/>
        <v>.0</v>
      </c>
      <c r="G824" s="37" t="str">
        <f t="shared" si="41"/>
        <v/>
      </c>
    </row>
    <row r="825" spans="5:7" x14ac:dyDescent="0.45">
      <c r="E825" s="32" t="str">
        <f t="shared" si="39"/>
        <v>.0</v>
      </c>
      <c r="F825" s="32" t="str">
        <f t="shared" si="40"/>
        <v>.0</v>
      </c>
      <c r="G825" s="37" t="str">
        <f t="shared" si="41"/>
        <v/>
      </c>
    </row>
    <row r="826" spans="5:7" x14ac:dyDescent="0.45">
      <c r="E826" s="32" t="str">
        <f t="shared" si="39"/>
        <v>.0</v>
      </c>
      <c r="F826" s="32" t="str">
        <f t="shared" si="40"/>
        <v>.0</v>
      </c>
      <c r="G826" s="37" t="str">
        <f t="shared" si="41"/>
        <v/>
      </c>
    </row>
    <row r="827" spans="5:7" x14ac:dyDescent="0.45">
      <c r="E827" s="32" t="str">
        <f t="shared" si="39"/>
        <v>.0</v>
      </c>
      <c r="F827" s="32" t="str">
        <f t="shared" si="40"/>
        <v>.0</v>
      </c>
      <c r="G827" s="37" t="str">
        <f t="shared" si="41"/>
        <v/>
      </c>
    </row>
    <row r="828" spans="5:7" x14ac:dyDescent="0.45">
      <c r="E828" s="32" t="str">
        <f t="shared" si="39"/>
        <v>.0</v>
      </c>
      <c r="F828" s="32" t="str">
        <f t="shared" si="40"/>
        <v>.0</v>
      </c>
      <c r="G828" s="37" t="str">
        <f t="shared" si="41"/>
        <v/>
      </c>
    </row>
    <row r="829" spans="5:7" x14ac:dyDescent="0.45">
      <c r="E829" s="32" t="str">
        <f t="shared" si="39"/>
        <v>.0</v>
      </c>
      <c r="F829" s="32" t="str">
        <f t="shared" si="40"/>
        <v>.0</v>
      </c>
      <c r="G829" s="37" t="str">
        <f t="shared" si="41"/>
        <v/>
      </c>
    </row>
    <row r="830" spans="5:7" x14ac:dyDescent="0.45">
      <c r="E830" s="32" t="str">
        <f t="shared" si="39"/>
        <v>.0</v>
      </c>
      <c r="F830" s="32" t="str">
        <f t="shared" si="40"/>
        <v>.0</v>
      </c>
      <c r="G830" s="37" t="str">
        <f t="shared" si="41"/>
        <v/>
      </c>
    </row>
    <row r="831" spans="5:7" x14ac:dyDescent="0.45">
      <c r="E831" s="32" t="str">
        <f t="shared" si="39"/>
        <v>.0</v>
      </c>
      <c r="F831" s="32" t="str">
        <f t="shared" si="40"/>
        <v>.0</v>
      </c>
      <c r="G831" s="37" t="str">
        <f t="shared" si="41"/>
        <v/>
      </c>
    </row>
    <row r="832" spans="5:7" x14ac:dyDescent="0.45">
      <c r="E832" s="32" t="str">
        <f t="shared" si="39"/>
        <v>.0</v>
      </c>
      <c r="F832" s="32" t="str">
        <f t="shared" si="40"/>
        <v>.0</v>
      </c>
      <c r="G832" s="37" t="str">
        <f t="shared" si="41"/>
        <v/>
      </c>
    </row>
    <row r="833" spans="5:7" x14ac:dyDescent="0.45">
      <c r="E833" s="32" t="str">
        <f t="shared" si="39"/>
        <v>.0</v>
      </c>
      <c r="F833" s="32" t="str">
        <f t="shared" si="40"/>
        <v>.0</v>
      </c>
      <c r="G833" s="37" t="str">
        <f t="shared" si="41"/>
        <v/>
      </c>
    </row>
    <row r="834" spans="5:7" x14ac:dyDescent="0.45">
      <c r="E834" s="32" t="str">
        <f t="shared" si="39"/>
        <v>.0</v>
      </c>
      <c r="F834" s="32" t="str">
        <f t="shared" si="40"/>
        <v>.0</v>
      </c>
      <c r="G834" s="37" t="str">
        <f t="shared" si="41"/>
        <v/>
      </c>
    </row>
    <row r="835" spans="5:7" x14ac:dyDescent="0.45">
      <c r="E835" s="32" t="str">
        <f t="shared" si="39"/>
        <v>.0</v>
      </c>
      <c r="F835" s="32" t="str">
        <f t="shared" si="40"/>
        <v>.0</v>
      </c>
      <c r="G835" s="37" t="str">
        <f t="shared" si="41"/>
        <v/>
      </c>
    </row>
    <row r="836" spans="5:7" x14ac:dyDescent="0.45">
      <c r="E836" s="32" t="str">
        <f t="shared" si="39"/>
        <v>.0</v>
      </c>
      <c r="F836" s="32" t="str">
        <f t="shared" si="40"/>
        <v>.0</v>
      </c>
      <c r="G836" s="37" t="str">
        <f t="shared" si="41"/>
        <v/>
      </c>
    </row>
    <row r="837" spans="5:7" x14ac:dyDescent="0.45">
      <c r="E837" s="32" t="str">
        <f t="shared" si="39"/>
        <v>.0</v>
      </c>
      <c r="F837" s="32" t="str">
        <f t="shared" si="40"/>
        <v>.0</v>
      </c>
      <c r="G837" s="37" t="str">
        <f t="shared" si="41"/>
        <v/>
      </c>
    </row>
    <row r="838" spans="5:7" x14ac:dyDescent="0.45">
      <c r="E838" s="32" t="str">
        <f t="shared" si="39"/>
        <v>.0</v>
      </c>
      <c r="F838" s="32" t="str">
        <f t="shared" si="40"/>
        <v>.0</v>
      </c>
      <c r="G838" s="37" t="str">
        <f t="shared" si="41"/>
        <v/>
      </c>
    </row>
    <row r="839" spans="5:7" x14ac:dyDescent="0.45">
      <c r="E839" s="32" t="str">
        <f t="shared" si="39"/>
        <v>.0</v>
      </c>
      <c r="F839" s="32" t="str">
        <f t="shared" si="40"/>
        <v>.0</v>
      </c>
      <c r="G839" s="37" t="str">
        <f t="shared" si="41"/>
        <v/>
      </c>
    </row>
    <row r="840" spans="5:7" x14ac:dyDescent="0.45">
      <c r="E840" s="32" t="str">
        <f t="shared" si="39"/>
        <v>.0</v>
      </c>
      <c r="F840" s="32" t="str">
        <f t="shared" si="40"/>
        <v>.0</v>
      </c>
      <c r="G840" s="37" t="str">
        <f t="shared" si="41"/>
        <v/>
      </c>
    </row>
    <row r="841" spans="5:7" x14ac:dyDescent="0.45">
      <c r="E841" s="32" t="str">
        <f t="shared" si="39"/>
        <v>.0</v>
      </c>
      <c r="F841" s="32" t="str">
        <f t="shared" si="40"/>
        <v>.0</v>
      </c>
      <c r="G841" s="37" t="str">
        <f t="shared" si="41"/>
        <v/>
      </c>
    </row>
    <row r="842" spans="5:7" x14ac:dyDescent="0.45">
      <c r="E842" s="32" t="str">
        <f t="shared" si="39"/>
        <v>.0</v>
      </c>
      <c r="F842" s="32" t="str">
        <f t="shared" si="40"/>
        <v>.0</v>
      </c>
      <c r="G842" s="37" t="str">
        <f t="shared" si="41"/>
        <v/>
      </c>
    </row>
    <row r="843" spans="5:7" x14ac:dyDescent="0.45">
      <c r="E843" s="32" t="str">
        <f t="shared" si="39"/>
        <v>.0</v>
      </c>
      <c r="F843" s="32" t="str">
        <f t="shared" si="40"/>
        <v>.0</v>
      </c>
      <c r="G843" s="37" t="str">
        <f t="shared" si="41"/>
        <v/>
      </c>
    </row>
    <row r="844" spans="5:7" x14ac:dyDescent="0.45">
      <c r="E844" s="32" t="str">
        <f t="shared" si="39"/>
        <v>.0</v>
      </c>
      <c r="F844" s="32" t="str">
        <f t="shared" si="40"/>
        <v>.0</v>
      </c>
      <c r="G844" s="37" t="str">
        <f t="shared" si="41"/>
        <v/>
      </c>
    </row>
    <row r="845" spans="5:7" x14ac:dyDescent="0.45">
      <c r="E845" s="32" t="str">
        <f t="shared" si="39"/>
        <v>.0</v>
      </c>
      <c r="F845" s="32" t="str">
        <f t="shared" si="40"/>
        <v>.0</v>
      </c>
      <c r="G845" s="37" t="str">
        <f t="shared" si="41"/>
        <v/>
      </c>
    </row>
    <row r="846" spans="5:7" x14ac:dyDescent="0.45">
      <c r="E846" s="32" t="str">
        <f t="shared" si="39"/>
        <v>.0</v>
      </c>
      <c r="F846" s="32" t="str">
        <f t="shared" si="40"/>
        <v>.0</v>
      </c>
      <c r="G846" s="37" t="str">
        <f t="shared" si="41"/>
        <v/>
      </c>
    </row>
    <row r="847" spans="5:7" x14ac:dyDescent="0.45">
      <c r="E847" s="32" t="str">
        <f t="shared" si="39"/>
        <v>.0</v>
      </c>
      <c r="F847" s="32" t="str">
        <f t="shared" si="40"/>
        <v>.0</v>
      </c>
      <c r="G847" s="37" t="str">
        <f t="shared" si="41"/>
        <v/>
      </c>
    </row>
    <row r="848" spans="5:7" x14ac:dyDescent="0.45">
      <c r="E848" s="32" t="str">
        <f t="shared" si="39"/>
        <v>.0</v>
      </c>
      <c r="F848" s="32" t="str">
        <f t="shared" si="40"/>
        <v>.0</v>
      </c>
      <c r="G848" s="37" t="str">
        <f t="shared" si="41"/>
        <v/>
      </c>
    </row>
    <row r="849" spans="5:7" x14ac:dyDescent="0.45">
      <c r="E849" s="32" t="str">
        <f t="shared" si="39"/>
        <v>.0</v>
      </c>
      <c r="F849" s="32" t="str">
        <f t="shared" si="40"/>
        <v>.0</v>
      </c>
      <c r="G849" s="37" t="str">
        <f t="shared" si="41"/>
        <v/>
      </c>
    </row>
    <row r="850" spans="5:7" x14ac:dyDescent="0.45">
      <c r="E850" s="32" t="str">
        <f t="shared" si="39"/>
        <v>.0</v>
      </c>
      <c r="F850" s="32" t="str">
        <f t="shared" si="40"/>
        <v>.0</v>
      </c>
      <c r="G850" s="37" t="str">
        <f t="shared" si="41"/>
        <v/>
      </c>
    </row>
    <row r="851" spans="5:7" x14ac:dyDescent="0.45">
      <c r="E851" s="32" t="str">
        <f t="shared" si="39"/>
        <v>.0</v>
      </c>
      <c r="F851" s="32" t="str">
        <f t="shared" si="40"/>
        <v>.0</v>
      </c>
      <c r="G851" s="37" t="str">
        <f t="shared" si="41"/>
        <v/>
      </c>
    </row>
    <row r="852" spans="5:7" x14ac:dyDescent="0.45">
      <c r="E852" s="32" t="str">
        <f t="shared" si="39"/>
        <v>.0</v>
      </c>
      <c r="F852" s="32" t="str">
        <f t="shared" si="40"/>
        <v>.0</v>
      </c>
      <c r="G852" s="37" t="str">
        <f t="shared" si="41"/>
        <v/>
      </c>
    </row>
    <row r="853" spans="5:7" x14ac:dyDescent="0.45">
      <c r="E853" s="32" t="str">
        <f t="shared" si="39"/>
        <v>.0</v>
      </c>
      <c r="F853" s="32" t="str">
        <f t="shared" si="40"/>
        <v>.0</v>
      </c>
      <c r="G853" s="37" t="str">
        <f t="shared" si="41"/>
        <v/>
      </c>
    </row>
    <row r="854" spans="5:7" x14ac:dyDescent="0.45">
      <c r="E854" s="32" t="str">
        <f t="shared" si="39"/>
        <v>.0</v>
      </c>
      <c r="F854" s="32" t="str">
        <f t="shared" si="40"/>
        <v>.0</v>
      </c>
      <c r="G854" s="37" t="str">
        <f t="shared" si="41"/>
        <v/>
      </c>
    </row>
    <row r="855" spans="5:7" x14ac:dyDescent="0.45">
      <c r="E855" s="32" t="str">
        <f t="shared" si="39"/>
        <v>.0</v>
      </c>
      <c r="F855" s="32" t="str">
        <f t="shared" si="40"/>
        <v>.0</v>
      </c>
      <c r="G855" s="37" t="str">
        <f t="shared" si="41"/>
        <v/>
      </c>
    </row>
    <row r="856" spans="5:7" x14ac:dyDescent="0.45">
      <c r="E856" s="32" t="str">
        <f t="shared" si="39"/>
        <v>.0</v>
      </c>
      <c r="F856" s="32" t="str">
        <f t="shared" si="40"/>
        <v>.0</v>
      </c>
      <c r="G856" s="37" t="str">
        <f t="shared" si="41"/>
        <v/>
      </c>
    </row>
    <row r="857" spans="5:7" x14ac:dyDescent="0.45">
      <c r="E857" s="32" t="str">
        <f t="shared" si="39"/>
        <v>.0</v>
      </c>
      <c r="F857" s="32" t="str">
        <f t="shared" si="40"/>
        <v>.0</v>
      </c>
      <c r="G857" s="37" t="str">
        <f t="shared" si="41"/>
        <v/>
      </c>
    </row>
    <row r="858" spans="5:7" x14ac:dyDescent="0.45">
      <c r="E858" s="32" t="str">
        <f t="shared" si="39"/>
        <v>.0</v>
      </c>
      <c r="F858" s="32" t="str">
        <f t="shared" si="40"/>
        <v>.0</v>
      </c>
      <c r="G858" s="37" t="str">
        <f t="shared" si="41"/>
        <v/>
      </c>
    </row>
    <row r="859" spans="5:7" x14ac:dyDescent="0.45">
      <c r="E859" s="32" t="str">
        <f t="shared" si="39"/>
        <v>.0</v>
      </c>
      <c r="F859" s="32" t="str">
        <f t="shared" si="40"/>
        <v>.0</v>
      </c>
      <c r="G859" s="37" t="str">
        <f t="shared" si="41"/>
        <v/>
      </c>
    </row>
    <row r="860" spans="5:7" x14ac:dyDescent="0.45">
      <c r="E860" s="32" t="str">
        <f t="shared" si="39"/>
        <v>.0</v>
      </c>
      <c r="F860" s="32" t="str">
        <f t="shared" si="40"/>
        <v>.0</v>
      </c>
      <c r="G860" s="37" t="str">
        <f t="shared" si="41"/>
        <v/>
      </c>
    </row>
    <row r="861" spans="5:7" x14ac:dyDescent="0.45">
      <c r="E861" s="32" t="str">
        <f t="shared" si="39"/>
        <v>.0</v>
      </c>
      <c r="F861" s="32" t="str">
        <f t="shared" si="40"/>
        <v>.0</v>
      </c>
      <c r="G861" s="37" t="str">
        <f t="shared" si="41"/>
        <v/>
      </c>
    </row>
    <row r="862" spans="5:7" x14ac:dyDescent="0.45">
      <c r="E862" s="32" t="str">
        <f t="shared" ref="E862:E925" si="42">MID(B862,3,2)&amp;"."&amp;IF(C862&lt;10,"0"&amp;C862,C862)</f>
        <v>.0</v>
      </c>
      <c r="F862" s="32" t="str">
        <f t="shared" ref="F862:F925" si="43">MID(B862,3,2)&amp;"."&amp;IF(C862&lt;10,"0"&amp;C862,C862)</f>
        <v>.0</v>
      </c>
      <c r="G862" s="37" t="str">
        <f t="shared" ref="G862:G925" si="44">TEXT(D862,"#,###,")</f>
        <v/>
      </c>
    </row>
    <row r="863" spans="5:7" x14ac:dyDescent="0.45">
      <c r="E863" s="32" t="str">
        <f t="shared" si="42"/>
        <v>.0</v>
      </c>
      <c r="F863" s="32" t="str">
        <f t="shared" si="43"/>
        <v>.0</v>
      </c>
      <c r="G863" s="37" t="str">
        <f t="shared" si="44"/>
        <v/>
      </c>
    </row>
    <row r="864" spans="5:7" x14ac:dyDescent="0.45">
      <c r="E864" s="32" t="str">
        <f t="shared" si="42"/>
        <v>.0</v>
      </c>
      <c r="F864" s="32" t="str">
        <f t="shared" si="43"/>
        <v>.0</v>
      </c>
      <c r="G864" s="37" t="str">
        <f t="shared" si="44"/>
        <v/>
      </c>
    </row>
    <row r="865" spans="5:7" x14ac:dyDescent="0.45">
      <c r="E865" s="32" t="str">
        <f t="shared" si="42"/>
        <v>.0</v>
      </c>
      <c r="F865" s="32" t="str">
        <f t="shared" si="43"/>
        <v>.0</v>
      </c>
      <c r="G865" s="37" t="str">
        <f t="shared" si="44"/>
        <v/>
      </c>
    </row>
    <row r="866" spans="5:7" x14ac:dyDescent="0.45">
      <c r="E866" s="32" t="str">
        <f t="shared" si="42"/>
        <v>.0</v>
      </c>
      <c r="F866" s="32" t="str">
        <f t="shared" si="43"/>
        <v>.0</v>
      </c>
      <c r="G866" s="37" t="str">
        <f t="shared" si="44"/>
        <v/>
      </c>
    </row>
    <row r="867" spans="5:7" x14ac:dyDescent="0.45">
      <c r="E867" s="32" t="str">
        <f t="shared" si="42"/>
        <v>.0</v>
      </c>
      <c r="F867" s="32" t="str">
        <f t="shared" si="43"/>
        <v>.0</v>
      </c>
      <c r="G867" s="37" t="str">
        <f t="shared" si="44"/>
        <v/>
      </c>
    </row>
    <row r="868" spans="5:7" x14ac:dyDescent="0.45">
      <c r="E868" s="32" t="str">
        <f t="shared" si="42"/>
        <v>.0</v>
      </c>
      <c r="F868" s="32" t="str">
        <f t="shared" si="43"/>
        <v>.0</v>
      </c>
      <c r="G868" s="37" t="str">
        <f t="shared" si="44"/>
        <v/>
      </c>
    </row>
    <row r="869" spans="5:7" x14ac:dyDescent="0.45">
      <c r="E869" s="32" t="str">
        <f t="shared" si="42"/>
        <v>.0</v>
      </c>
      <c r="F869" s="32" t="str">
        <f t="shared" si="43"/>
        <v>.0</v>
      </c>
      <c r="G869" s="37" t="str">
        <f t="shared" si="44"/>
        <v/>
      </c>
    </row>
    <row r="870" spans="5:7" x14ac:dyDescent="0.45">
      <c r="E870" s="32" t="str">
        <f t="shared" si="42"/>
        <v>.0</v>
      </c>
      <c r="F870" s="32" t="str">
        <f t="shared" si="43"/>
        <v>.0</v>
      </c>
      <c r="G870" s="37" t="str">
        <f t="shared" si="44"/>
        <v/>
      </c>
    </row>
    <row r="871" spans="5:7" x14ac:dyDescent="0.45">
      <c r="E871" s="32" t="str">
        <f t="shared" si="42"/>
        <v>.0</v>
      </c>
      <c r="F871" s="32" t="str">
        <f t="shared" si="43"/>
        <v>.0</v>
      </c>
      <c r="G871" s="37" t="str">
        <f t="shared" si="44"/>
        <v/>
      </c>
    </row>
    <row r="872" spans="5:7" x14ac:dyDescent="0.45">
      <c r="E872" s="32" t="str">
        <f t="shared" si="42"/>
        <v>.0</v>
      </c>
      <c r="F872" s="32" t="str">
        <f t="shared" si="43"/>
        <v>.0</v>
      </c>
      <c r="G872" s="37" t="str">
        <f t="shared" si="44"/>
        <v/>
      </c>
    </row>
    <row r="873" spans="5:7" x14ac:dyDescent="0.45">
      <c r="E873" s="32" t="str">
        <f t="shared" si="42"/>
        <v>.0</v>
      </c>
      <c r="F873" s="32" t="str">
        <f t="shared" si="43"/>
        <v>.0</v>
      </c>
      <c r="G873" s="37" t="str">
        <f t="shared" si="44"/>
        <v/>
      </c>
    </row>
    <row r="874" spans="5:7" x14ac:dyDescent="0.45">
      <c r="E874" s="32" t="str">
        <f t="shared" si="42"/>
        <v>.0</v>
      </c>
      <c r="F874" s="32" t="str">
        <f t="shared" si="43"/>
        <v>.0</v>
      </c>
      <c r="G874" s="37" t="str">
        <f t="shared" si="44"/>
        <v/>
      </c>
    </row>
    <row r="875" spans="5:7" x14ac:dyDescent="0.45">
      <c r="E875" s="32" t="str">
        <f t="shared" si="42"/>
        <v>.0</v>
      </c>
      <c r="F875" s="32" t="str">
        <f t="shared" si="43"/>
        <v>.0</v>
      </c>
      <c r="G875" s="37" t="str">
        <f t="shared" si="44"/>
        <v/>
      </c>
    </row>
    <row r="876" spans="5:7" x14ac:dyDescent="0.45">
      <c r="E876" s="32" t="str">
        <f t="shared" si="42"/>
        <v>.0</v>
      </c>
      <c r="F876" s="32" t="str">
        <f t="shared" si="43"/>
        <v>.0</v>
      </c>
      <c r="G876" s="37" t="str">
        <f t="shared" si="44"/>
        <v/>
      </c>
    </row>
    <row r="877" spans="5:7" x14ac:dyDescent="0.45">
      <c r="E877" s="32" t="str">
        <f t="shared" si="42"/>
        <v>.0</v>
      </c>
      <c r="F877" s="32" t="str">
        <f t="shared" si="43"/>
        <v>.0</v>
      </c>
      <c r="G877" s="37" t="str">
        <f t="shared" si="44"/>
        <v/>
      </c>
    </row>
    <row r="878" spans="5:7" x14ac:dyDescent="0.45">
      <c r="E878" s="32" t="str">
        <f t="shared" si="42"/>
        <v>.0</v>
      </c>
      <c r="F878" s="32" t="str">
        <f t="shared" si="43"/>
        <v>.0</v>
      </c>
      <c r="G878" s="37" t="str">
        <f t="shared" si="44"/>
        <v/>
      </c>
    </row>
    <row r="879" spans="5:7" x14ac:dyDescent="0.45">
      <c r="E879" s="32" t="str">
        <f t="shared" si="42"/>
        <v>.0</v>
      </c>
      <c r="F879" s="32" t="str">
        <f t="shared" si="43"/>
        <v>.0</v>
      </c>
      <c r="G879" s="37" t="str">
        <f t="shared" si="44"/>
        <v/>
      </c>
    </row>
    <row r="880" spans="5:7" x14ac:dyDescent="0.45">
      <c r="E880" s="32" t="str">
        <f t="shared" si="42"/>
        <v>.0</v>
      </c>
      <c r="F880" s="32" t="str">
        <f t="shared" si="43"/>
        <v>.0</v>
      </c>
      <c r="G880" s="37" t="str">
        <f t="shared" si="44"/>
        <v/>
      </c>
    </row>
    <row r="881" spans="5:7" x14ac:dyDescent="0.45">
      <c r="E881" s="32" t="str">
        <f t="shared" si="42"/>
        <v>.0</v>
      </c>
      <c r="F881" s="32" t="str">
        <f t="shared" si="43"/>
        <v>.0</v>
      </c>
      <c r="G881" s="37" t="str">
        <f t="shared" si="44"/>
        <v/>
      </c>
    </row>
    <row r="882" spans="5:7" x14ac:dyDescent="0.45">
      <c r="E882" s="32" t="str">
        <f t="shared" si="42"/>
        <v>.0</v>
      </c>
      <c r="F882" s="32" t="str">
        <f t="shared" si="43"/>
        <v>.0</v>
      </c>
      <c r="G882" s="37" t="str">
        <f t="shared" si="44"/>
        <v/>
      </c>
    </row>
    <row r="883" spans="5:7" x14ac:dyDescent="0.45">
      <c r="E883" s="32" t="str">
        <f t="shared" si="42"/>
        <v>.0</v>
      </c>
      <c r="F883" s="32" t="str">
        <f t="shared" si="43"/>
        <v>.0</v>
      </c>
      <c r="G883" s="37" t="str">
        <f t="shared" si="44"/>
        <v/>
      </c>
    </row>
    <row r="884" spans="5:7" x14ac:dyDescent="0.45">
      <c r="E884" s="32" t="str">
        <f t="shared" si="42"/>
        <v>.0</v>
      </c>
      <c r="F884" s="32" t="str">
        <f t="shared" si="43"/>
        <v>.0</v>
      </c>
      <c r="G884" s="37" t="str">
        <f t="shared" si="44"/>
        <v/>
      </c>
    </row>
    <row r="885" spans="5:7" x14ac:dyDescent="0.45">
      <c r="E885" s="32" t="str">
        <f t="shared" si="42"/>
        <v>.0</v>
      </c>
      <c r="F885" s="32" t="str">
        <f t="shared" si="43"/>
        <v>.0</v>
      </c>
      <c r="G885" s="37" t="str">
        <f t="shared" si="44"/>
        <v/>
      </c>
    </row>
    <row r="886" spans="5:7" x14ac:dyDescent="0.45">
      <c r="E886" s="32" t="str">
        <f t="shared" si="42"/>
        <v>.0</v>
      </c>
      <c r="F886" s="32" t="str">
        <f t="shared" si="43"/>
        <v>.0</v>
      </c>
      <c r="G886" s="37" t="str">
        <f t="shared" si="44"/>
        <v/>
      </c>
    </row>
    <row r="887" spans="5:7" x14ac:dyDescent="0.45">
      <c r="E887" s="32" t="str">
        <f t="shared" si="42"/>
        <v>.0</v>
      </c>
      <c r="F887" s="32" t="str">
        <f t="shared" si="43"/>
        <v>.0</v>
      </c>
      <c r="G887" s="37" t="str">
        <f t="shared" si="44"/>
        <v/>
      </c>
    </row>
    <row r="888" spans="5:7" x14ac:dyDescent="0.45">
      <c r="E888" s="32" t="str">
        <f t="shared" si="42"/>
        <v>.0</v>
      </c>
      <c r="F888" s="32" t="str">
        <f t="shared" si="43"/>
        <v>.0</v>
      </c>
      <c r="G888" s="37" t="str">
        <f t="shared" si="44"/>
        <v/>
      </c>
    </row>
    <row r="889" spans="5:7" x14ac:dyDescent="0.45">
      <c r="E889" s="32" t="str">
        <f t="shared" si="42"/>
        <v>.0</v>
      </c>
      <c r="F889" s="32" t="str">
        <f t="shared" si="43"/>
        <v>.0</v>
      </c>
      <c r="G889" s="37" t="str">
        <f t="shared" si="44"/>
        <v/>
      </c>
    </row>
    <row r="890" spans="5:7" x14ac:dyDescent="0.45">
      <c r="E890" s="32" t="str">
        <f t="shared" si="42"/>
        <v>.0</v>
      </c>
      <c r="F890" s="32" t="str">
        <f t="shared" si="43"/>
        <v>.0</v>
      </c>
      <c r="G890" s="37" t="str">
        <f t="shared" si="44"/>
        <v/>
      </c>
    </row>
    <row r="891" spans="5:7" x14ac:dyDescent="0.45">
      <c r="E891" s="32" t="str">
        <f t="shared" si="42"/>
        <v>.0</v>
      </c>
      <c r="F891" s="32" t="str">
        <f t="shared" si="43"/>
        <v>.0</v>
      </c>
      <c r="G891" s="37" t="str">
        <f t="shared" si="44"/>
        <v/>
      </c>
    </row>
    <row r="892" spans="5:7" x14ac:dyDescent="0.45">
      <c r="E892" s="32" t="str">
        <f t="shared" si="42"/>
        <v>.0</v>
      </c>
      <c r="F892" s="32" t="str">
        <f t="shared" si="43"/>
        <v>.0</v>
      </c>
      <c r="G892" s="37" t="str">
        <f t="shared" si="44"/>
        <v/>
      </c>
    </row>
    <row r="893" spans="5:7" x14ac:dyDescent="0.45">
      <c r="E893" s="32" t="str">
        <f t="shared" si="42"/>
        <v>.0</v>
      </c>
      <c r="F893" s="32" t="str">
        <f t="shared" si="43"/>
        <v>.0</v>
      </c>
      <c r="G893" s="37" t="str">
        <f t="shared" si="44"/>
        <v/>
      </c>
    </row>
    <row r="894" spans="5:7" x14ac:dyDescent="0.45">
      <c r="E894" s="32" t="str">
        <f t="shared" si="42"/>
        <v>.0</v>
      </c>
      <c r="F894" s="32" t="str">
        <f t="shared" si="43"/>
        <v>.0</v>
      </c>
      <c r="G894" s="37" t="str">
        <f t="shared" si="44"/>
        <v/>
      </c>
    </row>
    <row r="895" spans="5:7" x14ac:dyDescent="0.45">
      <c r="E895" s="32" t="str">
        <f t="shared" si="42"/>
        <v>.0</v>
      </c>
      <c r="F895" s="32" t="str">
        <f t="shared" si="43"/>
        <v>.0</v>
      </c>
      <c r="G895" s="37" t="str">
        <f t="shared" si="44"/>
        <v/>
      </c>
    </row>
    <row r="896" spans="5:7" x14ac:dyDescent="0.45">
      <c r="E896" s="32" t="str">
        <f t="shared" si="42"/>
        <v>.0</v>
      </c>
      <c r="F896" s="32" t="str">
        <f t="shared" si="43"/>
        <v>.0</v>
      </c>
      <c r="G896" s="37" t="str">
        <f t="shared" si="44"/>
        <v/>
      </c>
    </row>
    <row r="897" spans="5:7" x14ac:dyDescent="0.45">
      <c r="E897" s="32" t="str">
        <f t="shared" si="42"/>
        <v>.0</v>
      </c>
      <c r="F897" s="32" t="str">
        <f t="shared" si="43"/>
        <v>.0</v>
      </c>
      <c r="G897" s="37" t="str">
        <f t="shared" si="44"/>
        <v/>
      </c>
    </row>
    <row r="898" spans="5:7" x14ac:dyDescent="0.45">
      <c r="E898" s="32" t="str">
        <f t="shared" si="42"/>
        <v>.0</v>
      </c>
      <c r="F898" s="32" t="str">
        <f t="shared" si="43"/>
        <v>.0</v>
      </c>
      <c r="G898" s="37" t="str">
        <f t="shared" si="44"/>
        <v/>
      </c>
    </row>
    <row r="899" spans="5:7" x14ac:dyDescent="0.45">
      <c r="E899" s="32" t="str">
        <f t="shared" si="42"/>
        <v>.0</v>
      </c>
      <c r="F899" s="32" t="str">
        <f t="shared" si="43"/>
        <v>.0</v>
      </c>
      <c r="G899" s="37" t="str">
        <f t="shared" si="44"/>
        <v/>
      </c>
    </row>
    <row r="900" spans="5:7" x14ac:dyDescent="0.45">
      <c r="E900" s="32" t="str">
        <f t="shared" si="42"/>
        <v>.0</v>
      </c>
      <c r="F900" s="32" t="str">
        <f t="shared" si="43"/>
        <v>.0</v>
      </c>
      <c r="G900" s="37" t="str">
        <f t="shared" si="44"/>
        <v/>
      </c>
    </row>
    <row r="901" spans="5:7" x14ac:dyDescent="0.45">
      <c r="E901" s="32" t="str">
        <f t="shared" si="42"/>
        <v>.0</v>
      </c>
      <c r="F901" s="32" t="str">
        <f t="shared" si="43"/>
        <v>.0</v>
      </c>
      <c r="G901" s="37" t="str">
        <f t="shared" si="44"/>
        <v/>
      </c>
    </row>
    <row r="902" spans="5:7" x14ac:dyDescent="0.45">
      <c r="E902" s="32" t="str">
        <f t="shared" si="42"/>
        <v>.0</v>
      </c>
      <c r="F902" s="32" t="str">
        <f t="shared" si="43"/>
        <v>.0</v>
      </c>
      <c r="G902" s="37" t="str">
        <f t="shared" si="44"/>
        <v/>
      </c>
    </row>
    <row r="903" spans="5:7" x14ac:dyDescent="0.45">
      <c r="E903" s="32" t="str">
        <f t="shared" si="42"/>
        <v>.0</v>
      </c>
      <c r="F903" s="32" t="str">
        <f t="shared" si="43"/>
        <v>.0</v>
      </c>
      <c r="G903" s="37" t="str">
        <f t="shared" si="44"/>
        <v/>
      </c>
    </row>
    <row r="904" spans="5:7" x14ac:dyDescent="0.45">
      <c r="E904" s="32" t="str">
        <f t="shared" si="42"/>
        <v>.0</v>
      </c>
      <c r="F904" s="32" t="str">
        <f t="shared" si="43"/>
        <v>.0</v>
      </c>
      <c r="G904" s="37" t="str">
        <f t="shared" si="44"/>
        <v/>
      </c>
    </row>
    <row r="905" spans="5:7" x14ac:dyDescent="0.45">
      <c r="E905" s="32" t="str">
        <f t="shared" si="42"/>
        <v>.0</v>
      </c>
      <c r="F905" s="32" t="str">
        <f t="shared" si="43"/>
        <v>.0</v>
      </c>
      <c r="G905" s="37" t="str">
        <f t="shared" si="44"/>
        <v/>
      </c>
    </row>
    <row r="906" spans="5:7" x14ac:dyDescent="0.45">
      <c r="E906" s="32" t="str">
        <f t="shared" si="42"/>
        <v>.0</v>
      </c>
      <c r="F906" s="32" t="str">
        <f t="shared" si="43"/>
        <v>.0</v>
      </c>
      <c r="G906" s="37" t="str">
        <f t="shared" si="44"/>
        <v/>
      </c>
    </row>
    <row r="907" spans="5:7" x14ac:dyDescent="0.45">
      <c r="E907" s="32" t="str">
        <f t="shared" si="42"/>
        <v>.0</v>
      </c>
      <c r="F907" s="32" t="str">
        <f t="shared" si="43"/>
        <v>.0</v>
      </c>
      <c r="G907" s="37" t="str">
        <f t="shared" si="44"/>
        <v/>
      </c>
    </row>
    <row r="908" spans="5:7" x14ac:dyDescent="0.45">
      <c r="E908" s="32" t="str">
        <f t="shared" si="42"/>
        <v>.0</v>
      </c>
      <c r="F908" s="32" t="str">
        <f t="shared" si="43"/>
        <v>.0</v>
      </c>
      <c r="G908" s="37" t="str">
        <f t="shared" si="44"/>
        <v/>
      </c>
    </row>
    <row r="909" spans="5:7" x14ac:dyDescent="0.45">
      <c r="E909" s="32" t="str">
        <f t="shared" si="42"/>
        <v>.0</v>
      </c>
      <c r="F909" s="32" t="str">
        <f t="shared" si="43"/>
        <v>.0</v>
      </c>
      <c r="G909" s="37" t="str">
        <f t="shared" si="44"/>
        <v/>
      </c>
    </row>
    <row r="910" spans="5:7" x14ac:dyDescent="0.45">
      <c r="E910" s="32" t="str">
        <f t="shared" si="42"/>
        <v>.0</v>
      </c>
      <c r="F910" s="32" t="str">
        <f t="shared" si="43"/>
        <v>.0</v>
      </c>
      <c r="G910" s="37" t="str">
        <f t="shared" si="44"/>
        <v/>
      </c>
    </row>
    <row r="911" spans="5:7" x14ac:dyDescent="0.45">
      <c r="E911" s="32" t="str">
        <f t="shared" si="42"/>
        <v>.0</v>
      </c>
      <c r="F911" s="32" t="str">
        <f t="shared" si="43"/>
        <v>.0</v>
      </c>
      <c r="G911" s="37" t="str">
        <f t="shared" si="44"/>
        <v/>
      </c>
    </row>
    <row r="912" spans="5:7" x14ac:dyDescent="0.45">
      <c r="E912" s="32" t="str">
        <f t="shared" si="42"/>
        <v>.0</v>
      </c>
      <c r="F912" s="32" t="str">
        <f t="shared" si="43"/>
        <v>.0</v>
      </c>
      <c r="G912" s="37" t="str">
        <f t="shared" si="44"/>
        <v/>
      </c>
    </row>
    <row r="913" spans="5:7" x14ac:dyDescent="0.45">
      <c r="E913" s="32" t="str">
        <f t="shared" si="42"/>
        <v>.0</v>
      </c>
      <c r="F913" s="32" t="str">
        <f t="shared" si="43"/>
        <v>.0</v>
      </c>
      <c r="G913" s="37" t="str">
        <f t="shared" si="44"/>
        <v/>
      </c>
    </row>
    <row r="914" spans="5:7" x14ac:dyDescent="0.45">
      <c r="E914" s="32" t="str">
        <f t="shared" si="42"/>
        <v>.0</v>
      </c>
      <c r="F914" s="32" t="str">
        <f t="shared" si="43"/>
        <v>.0</v>
      </c>
      <c r="G914" s="37" t="str">
        <f t="shared" si="44"/>
        <v/>
      </c>
    </row>
    <row r="915" spans="5:7" x14ac:dyDescent="0.45">
      <c r="E915" s="32" t="str">
        <f t="shared" si="42"/>
        <v>.0</v>
      </c>
      <c r="F915" s="32" t="str">
        <f t="shared" si="43"/>
        <v>.0</v>
      </c>
      <c r="G915" s="37" t="str">
        <f t="shared" si="44"/>
        <v/>
      </c>
    </row>
    <row r="916" spans="5:7" x14ac:dyDescent="0.45">
      <c r="E916" s="32" t="str">
        <f t="shared" si="42"/>
        <v>.0</v>
      </c>
      <c r="F916" s="32" t="str">
        <f t="shared" si="43"/>
        <v>.0</v>
      </c>
      <c r="G916" s="37" t="str">
        <f t="shared" si="44"/>
        <v/>
      </c>
    </row>
    <row r="917" spans="5:7" x14ac:dyDescent="0.45">
      <c r="E917" s="32" t="str">
        <f t="shared" si="42"/>
        <v>.0</v>
      </c>
      <c r="F917" s="32" t="str">
        <f t="shared" si="43"/>
        <v>.0</v>
      </c>
      <c r="G917" s="37" t="str">
        <f t="shared" si="44"/>
        <v/>
      </c>
    </row>
    <row r="918" spans="5:7" x14ac:dyDescent="0.45">
      <c r="E918" s="32" t="str">
        <f t="shared" si="42"/>
        <v>.0</v>
      </c>
      <c r="F918" s="32" t="str">
        <f t="shared" si="43"/>
        <v>.0</v>
      </c>
      <c r="G918" s="37" t="str">
        <f t="shared" si="44"/>
        <v/>
      </c>
    </row>
    <row r="919" spans="5:7" x14ac:dyDescent="0.45">
      <c r="E919" s="32" t="str">
        <f t="shared" si="42"/>
        <v>.0</v>
      </c>
      <c r="F919" s="32" t="str">
        <f t="shared" si="43"/>
        <v>.0</v>
      </c>
      <c r="G919" s="37" t="str">
        <f t="shared" si="44"/>
        <v/>
      </c>
    </row>
    <row r="920" spans="5:7" x14ac:dyDescent="0.45">
      <c r="E920" s="32" t="str">
        <f t="shared" si="42"/>
        <v>.0</v>
      </c>
      <c r="F920" s="32" t="str">
        <f t="shared" si="43"/>
        <v>.0</v>
      </c>
      <c r="G920" s="37" t="str">
        <f t="shared" si="44"/>
        <v/>
      </c>
    </row>
    <row r="921" spans="5:7" x14ac:dyDescent="0.45">
      <c r="E921" s="32" t="str">
        <f t="shared" si="42"/>
        <v>.0</v>
      </c>
      <c r="F921" s="32" t="str">
        <f t="shared" si="43"/>
        <v>.0</v>
      </c>
      <c r="G921" s="37" t="str">
        <f t="shared" si="44"/>
        <v/>
      </c>
    </row>
    <row r="922" spans="5:7" x14ac:dyDescent="0.45">
      <c r="E922" s="32" t="str">
        <f t="shared" si="42"/>
        <v>.0</v>
      </c>
      <c r="F922" s="32" t="str">
        <f t="shared" si="43"/>
        <v>.0</v>
      </c>
      <c r="G922" s="37" t="str">
        <f t="shared" si="44"/>
        <v/>
      </c>
    </row>
    <row r="923" spans="5:7" x14ac:dyDescent="0.45">
      <c r="E923" s="32" t="str">
        <f t="shared" si="42"/>
        <v>.0</v>
      </c>
      <c r="F923" s="32" t="str">
        <f t="shared" si="43"/>
        <v>.0</v>
      </c>
      <c r="G923" s="37" t="str">
        <f t="shared" si="44"/>
        <v/>
      </c>
    </row>
    <row r="924" spans="5:7" x14ac:dyDescent="0.45">
      <c r="E924" s="32" t="str">
        <f t="shared" si="42"/>
        <v>.0</v>
      </c>
      <c r="F924" s="32" t="str">
        <f t="shared" si="43"/>
        <v>.0</v>
      </c>
      <c r="G924" s="37" t="str">
        <f t="shared" si="44"/>
        <v/>
      </c>
    </row>
    <row r="925" spans="5:7" x14ac:dyDescent="0.45">
      <c r="E925" s="32" t="str">
        <f t="shared" si="42"/>
        <v>.0</v>
      </c>
      <c r="F925" s="32" t="str">
        <f t="shared" si="43"/>
        <v>.0</v>
      </c>
      <c r="G925" s="37" t="str">
        <f t="shared" si="44"/>
        <v/>
      </c>
    </row>
    <row r="926" spans="5:7" x14ac:dyDescent="0.45">
      <c r="E926" s="32" t="str">
        <f t="shared" ref="E926:E989" si="45">MID(B926,3,2)&amp;"."&amp;IF(C926&lt;10,"0"&amp;C926,C926)</f>
        <v>.0</v>
      </c>
      <c r="F926" s="32" t="str">
        <f t="shared" ref="F926:F989" si="46">MID(B926,3,2)&amp;"."&amp;IF(C926&lt;10,"0"&amp;C926,C926)</f>
        <v>.0</v>
      </c>
      <c r="G926" s="37" t="str">
        <f t="shared" ref="G926:G989" si="47">TEXT(D926,"#,###,")</f>
        <v/>
      </c>
    </row>
    <row r="927" spans="5:7" x14ac:dyDescent="0.45">
      <c r="E927" s="32" t="str">
        <f t="shared" si="45"/>
        <v>.0</v>
      </c>
      <c r="F927" s="32" t="str">
        <f t="shared" si="46"/>
        <v>.0</v>
      </c>
      <c r="G927" s="37" t="str">
        <f t="shared" si="47"/>
        <v/>
      </c>
    </row>
    <row r="928" spans="5:7" x14ac:dyDescent="0.45">
      <c r="E928" s="32" t="str">
        <f t="shared" si="45"/>
        <v>.0</v>
      </c>
      <c r="F928" s="32" t="str">
        <f t="shared" si="46"/>
        <v>.0</v>
      </c>
      <c r="G928" s="37" t="str">
        <f t="shared" si="47"/>
        <v/>
      </c>
    </row>
    <row r="929" spans="5:7" x14ac:dyDescent="0.45">
      <c r="E929" s="32" t="str">
        <f t="shared" si="45"/>
        <v>.0</v>
      </c>
      <c r="F929" s="32" t="str">
        <f t="shared" si="46"/>
        <v>.0</v>
      </c>
      <c r="G929" s="37" t="str">
        <f t="shared" si="47"/>
        <v/>
      </c>
    </row>
    <row r="930" spans="5:7" x14ac:dyDescent="0.45">
      <c r="E930" s="32" t="str">
        <f t="shared" si="45"/>
        <v>.0</v>
      </c>
      <c r="F930" s="32" t="str">
        <f t="shared" si="46"/>
        <v>.0</v>
      </c>
      <c r="G930" s="37" t="str">
        <f t="shared" si="47"/>
        <v/>
      </c>
    </row>
    <row r="931" spans="5:7" x14ac:dyDescent="0.45">
      <c r="E931" s="32" t="str">
        <f t="shared" si="45"/>
        <v>.0</v>
      </c>
      <c r="F931" s="32" t="str">
        <f t="shared" si="46"/>
        <v>.0</v>
      </c>
      <c r="G931" s="37" t="str">
        <f t="shared" si="47"/>
        <v/>
      </c>
    </row>
    <row r="932" spans="5:7" x14ac:dyDescent="0.45">
      <c r="E932" s="32" t="str">
        <f t="shared" si="45"/>
        <v>.0</v>
      </c>
      <c r="F932" s="32" t="str">
        <f t="shared" si="46"/>
        <v>.0</v>
      </c>
      <c r="G932" s="37" t="str">
        <f t="shared" si="47"/>
        <v/>
      </c>
    </row>
    <row r="933" spans="5:7" x14ac:dyDescent="0.45">
      <c r="E933" s="32" t="str">
        <f t="shared" si="45"/>
        <v>.0</v>
      </c>
      <c r="F933" s="32" t="str">
        <f t="shared" si="46"/>
        <v>.0</v>
      </c>
      <c r="G933" s="37" t="str">
        <f t="shared" si="47"/>
        <v/>
      </c>
    </row>
    <row r="934" spans="5:7" x14ac:dyDescent="0.45">
      <c r="E934" s="32" t="str">
        <f t="shared" si="45"/>
        <v>.0</v>
      </c>
      <c r="F934" s="32" t="str">
        <f t="shared" si="46"/>
        <v>.0</v>
      </c>
      <c r="G934" s="37" t="str">
        <f t="shared" si="47"/>
        <v/>
      </c>
    </row>
    <row r="935" spans="5:7" x14ac:dyDescent="0.45">
      <c r="E935" s="32" t="str">
        <f t="shared" si="45"/>
        <v>.0</v>
      </c>
      <c r="F935" s="32" t="str">
        <f t="shared" si="46"/>
        <v>.0</v>
      </c>
      <c r="G935" s="37" t="str">
        <f t="shared" si="47"/>
        <v/>
      </c>
    </row>
    <row r="936" spans="5:7" x14ac:dyDescent="0.45">
      <c r="E936" s="32" t="str">
        <f t="shared" si="45"/>
        <v>.0</v>
      </c>
      <c r="F936" s="32" t="str">
        <f t="shared" si="46"/>
        <v>.0</v>
      </c>
      <c r="G936" s="37" t="str">
        <f t="shared" si="47"/>
        <v/>
      </c>
    </row>
    <row r="937" spans="5:7" x14ac:dyDescent="0.45">
      <c r="E937" s="32" t="str">
        <f t="shared" si="45"/>
        <v>.0</v>
      </c>
      <c r="F937" s="32" t="str">
        <f t="shared" si="46"/>
        <v>.0</v>
      </c>
      <c r="G937" s="37" t="str">
        <f t="shared" si="47"/>
        <v/>
      </c>
    </row>
    <row r="938" spans="5:7" x14ac:dyDescent="0.45">
      <c r="E938" s="32" t="str">
        <f t="shared" si="45"/>
        <v>.0</v>
      </c>
      <c r="F938" s="32" t="str">
        <f t="shared" si="46"/>
        <v>.0</v>
      </c>
      <c r="G938" s="37" t="str">
        <f t="shared" si="47"/>
        <v/>
      </c>
    </row>
    <row r="939" spans="5:7" x14ac:dyDescent="0.45">
      <c r="E939" s="32" t="str">
        <f t="shared" si="45"/>
        <v>.0</v>
      </c>
      <c r="F939" s="32" t="str">
        <f t="shared" si="46"/>
        <v>.0</v>
      </c>
      <c r="G939" s="37" t="str">
        <f t="shared" si="47"/>
        <v/>
      </c>
    </row>
    <row r="940" spans="5:7" x14ac:dyDescent="0.45">
      <c r="E940" s="32" t="str">
        <f t="shared" si="45"/>
        <v>.0</v>
      </c>
      <c r="F940" s="32" t="str">
        <f t="shared" si="46"/>
        <v>.0</v>
      </c>
      <c r="G940" s="37" t="str">
        <f t="shared" si="47"/>
        <v/>
      </c>
    </row>
    <row r="941" spans="5:7" x14ac:dyDescent="0.45">
      <c r="E941" s="32" t="str">
        <f t="shared" si="45"/>
        <v>.0</v>
      </c>
      <c r="F941" s="32" t="str">
        <f t="shared" si="46"/>
        <v>.0</v>
      </c>
      <c r="G941" s="37" t="str">
        <f t="shared" si="47"/>
        <v/>
      </c>
    </row>
    <row r="942" spans="5:7" x14ac:dyDescent="0.45">
      <c r="E942" s="32" t="str">
        <f t="shared" si="45"/>
        <v>.0</v>
      </c>
      <c r="F942" s="32" t="str">
        <f t="shared" si="46"/>
        <v>.0</v>
      </c>
      <c r="G942" s="37" t="str">
        <f t="shared" si="47"/>
        <v/>
      </c>
    </row>
    <row r="943" spans="5:7" x14ac:dyDescent="0.45">
      <c r="E943" s="32" t="str">
        <f t="shared" si="45"/>
        <v>.0</v>
      </c>
      <c r="F943" s="32" t="str">
        <f t="shared" si="46"/>
        <v>.0</v>
      </c>
      <c r="G943" s="37" t="str">
        <f t="shared" si="47"/>
        <v/>
      </c>
    </row>
    <row r="944" spans="5:7" x14ac:dyDescent="0.45">
      <c r="E944" s="32" t="str">
        <f t="shared" si="45"/>
        <v>.0</v>
      </c>
      <c r="F944" s="32" t="str">
        <f t="shared" si="46"/>
        <v>.0</v>
      </c>
      <c r="G944" s="37" t="str">
        <f t="shared" si="47"/>
        <v/>
      </c>
    </row>
    <row r="945" spans="5:7" x14ac:dyDescent="0.45">
      <c r="E945" s="32" t="str">
        <f t="shared" si="45"/>
        <v>.0</v>
      </c>
      <c r="F945" s="32" t="str">
        <f t="shared" si="46"/>
        <v>.0</v>
      </c>
      <c r="G945" s="37" t="str">
        <f t="shared" si="47"/>
        <v/>
      </c>
    </row>
    <row r="946" spans="5:7" x14ac:dyDescent="0.45">
      <c r="E946" s="32" t="str">
        <f t="shared" si="45"/>
        <v>.0</v>
      </c>
      <c r="F946" s="32" t="str">
        <f t="shared" si="46"/>
        <v>.0</v>
      </c>
      <c r="G946" s="37" t="str">
        <f t="shared" si="47"/>
        <v/>
      </c>
    </row>
    <row r="947" spans="5:7" x14ac:dyDescent="0.45">
      <c r="E947" s="32" t="str">
        <f t="shared" si="45"/>
        <v>.0</v>
      </c>
      <c r="F947" s="32" t="str">
        <f t="shared" si="46"/>
        <v>.0</v>
      </c>
      <c r="G947" s="37" t="str">
        <f t="shared" si="47"/>
        <v/>
      </c>
    </row>
    <row r="948" spans="5:7" x14ac:dyDescent="0.45">
      <c r="E948" s="32" t="str">
        <f t="shared" si="45"/>
        <v>.0</v>
      </c>
      <c r="F948" s="32" t="str">
        <f t="shared" si="46"/>
        <v>.0</v>
      </c>
      <c r="G948" s="37" t="str">
        <f t="shared" si="47"/>
        <v/>
      </c>
    </row>
    <row r="949" spans="5:7" x14ac:dyDescent="0.45">
      <c r="E949" s="32" t="str">
        <f t="shared" si="45"/>
        <v>.0</v>
      </c>
      <c r="F949" s="32" t="str">
        <f t="shared" si="46"/>
        <v>.0</v>
      </c>
      <c r="G949" s="37" t="str">
        <f t="shared" si="47"/>
        <v/>
      </c>
    </row>
    <row r="950" spans="5:7" x14ac:dyDescent="0.45">
      <c r="E950" s="32" t="str">
        <f t="shared" si="45"/>
        <v>.0</v>
      </c>
      <c r="F950" s="32" t="str">
        <f t="shared" si="46"/>
        <v>.0</v>
      </c>
      <c r="G950" s="37" t="str">
        <f t="shared" si="47"/>
        <v/>
      </c>
    </row>
    <row r="951" spans="5:7" x14ac:dyDescent="0.45">
      <c r="E951" s="32" t="str">
        <f t="shared" si="45"/>
        <v>.0</v>
      </c>
      <c r="F951" s="32" t="str">
        <f t="shared" si="46"/>
        <v>.0</v>
      </c>
      <c r="G951" s="37" t="str">
        <f t="shared" si="47"/>
        <v/>
      </c>
    </row>
    <row r="952" spans="5:7" x14ac:dyDescent="0.45">
      <c r="E952" s="32" t="str">
        <f t="shared" si="45"/>
        <v>.0</v>
      </c>
      <c r="F952" s="32" t="str">
        <f t="shared" si="46"/>
        <v>.0</v>
      </c>
      <c r="G952" s="37" t="str">
        <f t="shared" si="47"/>
        <v/>
      </c>
    </row>
    <row r="953" spans="5:7" x14ac:dyDescent="0.45">
      <c r="E953" s="32" t="str">
        <f t="shared" si="45"/>
        <v>.0</v>
      </c>
      <c r="F953" s="32" t="str">
        <f t="shared" si="46"/>
        <v>.0</v>
      </c>
      <c r="G953" s="37" t="str">
        <f t="shared" si="47"/>
        <v/>
      </c>
    </row>
    <row r="954" spans="5:7" x14ac:dyDescent="0.45">
      <c r="E954" s="32" t="str">
        <f t="shared" si="45"/>
        <v>.0</v>
      </c>
      <c r="F954" s="32" t="str">
        <f t="shared" si="46"/>
        <v>.0</v>
      </c>
      <c r="G954" s="37" t="str">
        <f t="shared" si="47"/>
        <v/>
      </c>
    </row>
    <row r="955" spans="5:7" x14ac:dyDescent="0.45">
      <c r="E955" s="32" t="str">
        <f t="shared" si="45"/>
        <v>.0</v>
      </c>
      <c r="F955" s="32" t="str">
        <f t="shared" si="46"/>
        <v>.0</v>
      </c>
      <c r="G955" s="37" t="str">
        <f t="shared" si="47"/>
        <v/>
      </c>
    </row>
    <row r="956" spans="5:7" x14ac:dyDescent="0.45">
      <c r="E956" s="32" t="str">
        <f t="shared" si="45"/>
        <v>.0</v>
      </c>
      <c r="F956" s="32" t="str">
        <f t="shared" si="46"/>
        <v>.0</v>
      </c>
      <c r="G956" s="37" t="str">
        <f t="shared" si="47"/>
        <v/>
      </c>
    </row>
    <row r="957" spans="5:7" x14ac:dyDescent="0.45">
      <c r="E957" s="32" t="str">
        <f t="shared" si="45"/>
        <v>.0</v>
      </c>
      <c r="F957" s="32" t="str">
        <f t="shared" si="46"/>
        <v>.0</v>
      </c>
      <c r="G957" s="37" t="str">
        <f t="shared" si="47"/>
        <v/>
      </c>
    </row>
    <row r="958" spans="5:7" x14ac:dyDescent="0.45">
      <c r="E958" s="32" t="str">
        <f t="shared" si="45"/>
        <v>.0</v>
      </c>
      <c r="F958" s="32" t="str">
        <f t="shared" si="46"/>
        <v>.0</v>
      </c>
      <c r="G958" s="37" t="str">
        <f t="shared" si="47"/>
        <v/>
      </c>
    </row>
    <row r="959" spans="5:7" x14ac:dyDescent="0.45">
      <c r="E959" s="32" t="str">
        <f t="shared" si="45"/>
        <v>.0</v>
      </c>
      <c r="F959" s="32" t="str">
        <f t="shared" si="46"/>
        <v>.0</v>
      </c>
      <c r="G959" s="37" t="str">
        <f t="shared" si="47"/>
        <v/>
      </c>
    </row>
    <row r="960" spans="5:7" x14ac:dyDescent="0.45">
      <c r="E960" s="32" t="str">
        <f t="shared" si="45"/>
        <v>.0</v>
      </c>
      <c r="F960" s="32" t="str">
        <f t="shared" si="46"/>
        <v>.0</v>
      </c>
      <c r="G960" s="37" t="str">
        <f t="shared" si="47"/>
        <v/>
      </c>
    </row>
    <row r="961" spans="5:7" x14ac:dyDescent="0.45">
      <c r="E961" s="32" t="str">
        <f t="shared" si="45"/>
        <v>.0</v>
      </c>
      <c r="F961" s="32" t="str">
        <f t="shared" si="46"/>
        <v>.0</v>
      </c>
      <c r="G961" s="37" t="str">
        <f t="shared" si="47"/>
        <v/>
      </c>
    </row>
    <row r="962" spans="5:7" x14ac:dyDescent="0.45">
      <c r="E962" s="32" t="str">
        <f t="shared" si="45"/>
        <v>.0</v>
      </c>
      <c r="F962" s="32" t="str">
        <f t="shared" si="46"/>
        <v>.0</v>
      </c>
      <c r="G962" s="37" t="str">
        <f t="shared" si="47"/>
        <v/>
      </c>
    </row>
    <row r="963" spans="5:7" x14ac:dyDescent="0.45">
      <c r="E963" s="32" t="str">
        <f t="shared" si="45"/>
        <v>.0</v>
      </c>
      <c r="F963" s="32" t="str">
        <f t="shared" si="46"/>
        <v>.0</v>
      </c>
      <c r="G963" s="37" t="str">
        <f t="shared" si="47"/>
        <v/>
      </c>
    </row>
    <row r="964" spans="5:7" x14ac:dyDescent="0.45">
      <c r="E964" s="32" t="str">
        <f t="shared" si="45"/>
        <v>.0</v>
      </c>
      <c r="F964" s="32" t="str">
        <f t="shared" si="46"/>
        <v>.0</v>
      </c>
      <c r="G964" s="37" t="str">
        <f t="shared" si="47"/>
        <v/>
      </c>
    </row>
    <row r="965" spans="5:7" x14ac:dyDescent="0.45">
      <c r="E965" s="32" t="str">
        <f t="shared" si="45"/>
        <v>.0</v>
      </c>
      <c r="F965" s="32" t="str">
        <f t="shared" si="46"/>
        <v>.0</v>
      </c>
      <c r="G965" s="37" t="str">
        <f t="shared" si="47"/>
        <v/>
      </c>
    </row>
    <row r="966" spans="5:7" x14ac:dyDescent="0.45">
      <c r="E966" s="32" t="str">
        <f t="shared" si="45"/>
        <v>.0</v>
      </c>
      <c r="F966" s="32" t="str">
        <f t="shared" si="46"/>
        <v>.0</v>
      </c>
      <c r="G966" s="37" t="str">
        <f t="shared" si="47"/>
        <v/>
      </c>
    </row>
    <row r="967" spans="5:7" x14ac:dyDescent="0.45">
      <c r="E967" s="32" t="str">
        <f t="shared" si="45"/>
        <v>.0</v>
      </c>
      <c r="F967" s="32" t="str">
        <f t="shared" si="46"/>
        <v>.0</v>
      </c>
      <c r="G967" s="37" t="str">
        <f t="shared" si="47"/>
        <v/>
      </c>
    </row>
    <row r="968" spans="5:7" x14ac:dyDescent="0.45">
      <c r="E968" s="32" t="str">
        <f t="shared" si="45"/>
        <v>.0</v>
      </c>
      <c r="F968" s="32" t="str">
        <f t="shared" si="46"/>
        <v>.0</v>
      </c>
      <c r="G968" s="37" t="str">
        <f t="shared" si="47"/>
        <v/>
      </c>
    </row>
    <row r="969" spans="5:7" x14ac:dyDescent="0.45">
      <c r="E969" s="32" t="str">
        <f t="shared" si="45"/>
        <v>.0</v>
      </c>
      <c r="F969" s="32" t="str">
        <f t="shared" si="46"/>
        <v>.0</v>
      </c>
      <c r="G969" s="37" t="str">
        <f t="shared" si="47"/>
        <v/>
      </c>
    </row>
    <row r="970" spans="5:7" x14ac:dyDescent="0.45">
      <c r="E970" s="32" t="str">
        <f t="shared" si="45"/>
        <v>.0</v>
      </c>
      <c r="F970" s="32" t="str">
        <f t="shared" si="46"/>
        <v>.0</v>
      </c>
      <c r="G970" s="37" t="str">
        <f t="shared" si="47"/>
        <v/>
      </c>
    </row>
    <row r="971" spans="5:7" x14ac:dyDescent="0.45">
      <c r="E971" s="32" t="str">
        <f t="shared" si="45"/>
        <v>.0</v>
      </c>
      <c r="F971" s="32" t="str">
        <f t="shared" si="46"/>
        <v>.0</v>
      </c>
      <c r="G971" s="37" t="str">
        <f t="shared" si="47"/>
        <v/>
      </c>
    </row>
    <row r="972" spans="5:7" x14ac:dyDescent="0.45">
      <c r="E972" s="32" t="str">
        <f t="shared" si="45"/>
        <v>.0</v>
      </c>
      <c r="F972" s="32" t="str">
        <f t="shared" si="46"/>
        <v>.0</v>
      </c>
      <c r="G972" s="37" t="str">
        <f t="shared" si="47"/>
        <v/>
      </c>
    </row>
    <row r="973" spans="5:7" x14ac:dyDescent="0.45">
      <c r="E973" s="32" t="str">
        <f t="shared" si="45"/>
        <v>.0</v>
      </c>
      <c r="F973" s="32" t="str">
        <f t="shared" si="46"/>
        <v>.0</v>
      </c>
      <c r="G973" s="37" t="str">
        <f t="shared" si="47"/>
        <v/>
      </c>
    </row>
    <row r="974" spans="5:7" x14ac:dyDescent="0.45">
      <c r="E974" s="32" t="str">
        <f t="shared" si="45"/>
        <v>.0</v>
      </c>
      <c r="F974" s="32" t="str">
        <f t="shared" si="46"/>
        <v>.0</v>
      </c>
      <c r="G974" s="37" t="str">
        <f t="shared" si="47"/>
        <v/>
      </c>
    </row>
    <row r="975" spans="5:7" x14ac:dyDescent="0.45">
      <c r="E975" s="32" t="str">
        <f t="shared" si="45"/>
        <v>.0</v>
      </c>
      <c r="F975" s="32" t="str">
        <f t="shared" si="46"/>
        <v>.0</v>
      </c>
      <c r="G975" s="37" t="str">
        <f t="shared" si="47"/>
        <v/>
      </c>
    </row>
    <row r="976" spans="5:7" x14ac:dyDescent="0.45">
      <c r="E976" s="32" t="str">
        <f t="shared" si="45"/>
        <v>.0</v>
      </c>
      <c r="F976" s="32" t="str">
        <f t="shared" si="46"/>
        <v>.0</v>
      </c>
      <c r="G976" s="37" t="str">
        <f t="shared" si="47"/>
        <v/>
      </c>
    </row>
    <row r="977" spans="5:7" x14ac:dyDescent="0.45">
      <c r="E977" s="32" t="str">
        <f t="shared" si="45"/>
        <v>.0</v>
      </c>
      <c r="F977" s="32" t="str">
        <f t="shared" si="46"/>
        <v>.0</v>
      </c>
      <c r="G977" s="37" t="str">
        <f t="shared" si="47"/>
        <v/>
      </c>
    </row>
    <row r="978" spans="5:7" x14ac:dyDescent="0.45">
      <c r="E978" s="32" t="str">
        <f t="shared" si="45"/>
        <v>.0</v>
      </c>
      <c r="F978" s="32" t="str">
        <f t="shared" si="46"/>
        <v>.0</v>
      </c>
      <c r="G978" s="37" t="str">
        <f t="shared" si="47"/>
        <v/>
      </c>
    </row>
    <row r="979" spans="5:7" x14ac:dyDescent="0.45">
      <c r="E979" s="32" t="str">
        <f t="shared" si="45"/>
        <v>.0</v>
      </c>
      <c r="F979" s="32" t="str">
        <f t="shared" si="46"/>
        <v>.0</v>
      </c>
      <c r="G979" s="37" t="str">
        <f t="shared" si="47"/>
        <v/>
      </c>
    </row>
    <row r="980" spans="5:7" x14ac:dyDescent="0.45">
      <c r="E980" s="32" t="str">
        <f t="shared" si="45"/>
        <v>.0</v>
      </c>
      <c r="F980" s="32" t="str">
        <f t="shared" si="46"/>
        <v>.0</v>
      </c>
      <c r="G980" s="37" t="str">
        <f t="shared" si="47"/>
        <v/>
      </c>
    </row>
    <row r="981" spans="5:7" x14ac:dyDescent="0.45">
      <c r="E981" s="32" t="str">
        <f t="shared" si="45"/>
        <v>.0</v>
      </c>
      <c r="F981" s="32" t="str">
        <f t="shared" si="46"/>
        <v>.0</v>
      </c>
      <c r="G981" s="37" t="str">
        <f t="shared" si="47"/>
        <v/>
      </c>
    </row>
    <row r="982" spans="5:7" x14ac:dyDescent="0.45">
      <c r="E982" s="32" t="str">
        <f t="shared" si="45"/>
        <v>.0</v>
      </c>
      <c r="F982" s="32" t="str">
        <f t="shared" si="46"/>
        <v>.0</v>
      </c>
      <c r="G982" s="37" t="str">
        <f t="shared" si="47"/>
        <v/>
      </c>
    </row>
    <row r="983" spans="5:7" x14ac:dyDescent="0.45">
      <c r="E983" s="32" t="str">
        <f t="shared" si="45"/>
        <v>.0</v>
      </c>
      <c r="F983" s="32" t="str">
        <f t="shared" si="46"/>
        <v>.0</v>
      </c>
      <c r="G983" s="37" t="str">
        <f t="shared" si="47"/>
        <v/>
      </c>
    </row>
    <row r="984" spans="5:7" x14ac:dyDescent="0.45">
      <c r="E984" s="32" t="str">
        <f t="shared" si="45"/>
        <v>.0</v>
      </c>
      <c r="F984" s="32" t="str">
        <f t="shared" si="46"/>
        <v>.0</v>
      </c>
      <c r="G984" s="37" t="str">
        <f t="shared" si="47"/>
        <v/>
      </c>
    </row>
    <row r="985" spans="5:7" x14ac:dyDescent="0.45">
      <c r="E985" s="32" t="str">
        <f t="shared" si="45"/>
        <v>.0</v>
      </c>
      <c r="F985" s="32" t="str">
        <f t="shared" si="46"/>
        <v>.0</v>
      </c>
      <c r="G985" s="37" t="str">
        <f t="shared" si="47"/>
        <v/>
      </c>
    </row>
    <row r="986" spans="5:7" x14ac:dyDescent="0.45">
      <c r="E986" s="32" t="str">
        <f t="shared" si="45"/>
        <v>.0</v>
      </c>
      <c r="F986" s="32" t="str">
        <f t="shared" si="46"/>
        <v>.0</v>
      </c>
      <c r="G986" s="37" t="str">
        <f t="shared" si="47"/>
        <v/>
      </c>
    </row>
    <row r="987" spans="5:7" x14ac:dyDescent="0.45">
      <c r="E987" s="32" t="str">
        <f t="shared" si="45"/>
        <v>.0</v>
      </c>
      <c r="F987" s="32" t="str">
        <f t="shared" si="46"/>
        <v>.0</v>
      </c>
      <c r="G987" s="37" t="str">
        <f t="shared" si="47"/>
        <v/>
      </c>
    </row>
    <row r="988" spans="5:7" x14ac:dyDescent="0.45">
      <c r="E988" s="32" t="str">
        <f t="shared" si="45"/>
        <v>.0</v>
      </c>
      <c r="F988" s="32" t="str">
        <f t="shared" si="46"/>
        <v>.0</v>
      </c>
      <c r="G988" s="37" t="str">
        <f t="shared" si="47"/>
        <v/>
      </c>
    </row>
    <row r="989" spans="5:7" x14ac:dyDescent="0.45">
      <c r="E989" s="32" t="str">
        <f t="shared" si="45"/>
        <v>.0</v>
      </c>
      <c r="F989" s="32" t="str">
        <f t="shared" si="46"/>
        <v>.0</v>
      </c>
      <c r="G989" s="37" t="str">
        <f t="shared" si="47"/>
        <v/>
      </c>
    </row>
    <row r="990" spans="5:7" x14ac:dyDescent="0.45">
      <c r="E990" s="32" t="str">
        <f t="shared" ref="E990:E1053" si="48">MID(B990,3,2)&amp;"."&amp;IF(C990&lt;10,"0"&amp;C990,C990)</f>
        <v>.0</v>
      </c>
      <c r="F990" s="32" t="str">
        <f t="shared" ref="F990:F1053" si="49">MID(B990,3,2)&amp;"."&amp;IF(C990&lt;10,"0"&amp;C990,C990)</f>
        <v>.0</v>
      </c>
      <c r="G990" s="37" t="str">
        <f t="shared" ref="G990:G1053" si="50">TEXT(D990,"#,###,")</f>
        <v/>
      </c>
    </row>
    <row r="991" spans="5:7" x14ac:dyDescent="0.45">
      <c r="E991" s="32" t="str">
        <f t="shared" si="48"/>
        <v>.0</v>
      </c>
      <c r="F991" s="32" t="str">
        <f t="shared" si="49"/>
        <v>.0</v>
      </c>
      <c r="G991" s="37" t="str">
        <f t="shared" si="50"/>
        <v/>
      </c>
    </row>
    <row r="992" spans="5:7" x14ac:dyDescent="0.45">
      <c r="E992" s="32" t="str">
        <f t="shared" si="48"/>
        <v>.0</v>
      </c>
      <c r="F992" s="32" t="str">
        <f t="shared" si="49"/>
        <v>.0</v>
      </c>
      <c r="G992" s="37" t="str">
        <f t="shared" si="50"/>
        <v/>
      </c>
    </row>
    <row r="993" spans="5:7" x14ac:dyDescent="0.45">
      <c r="E993" s="32" t="str">
        <f t="shared" si="48"/>
        <v>.0</v>
      </c>
      <c r="F993" s="32" t="str">
        <f t="shared" si="49"/>
        <v>.0</v>
      </c>
      <c r="G993" s="37" t="str">
        <f t="shared" si="50"/>
        <v/>
      </c>
    </row>
    <row r="994" spans="5:7" x14ac:dyDescent="0.45">
      <c r="E994" s="32" t="str">
        <f t="shared" si="48"/>
        <v>.0</v>
      </c>
      <c r="F994" s="32" t="str">
        <f t="shared" si="49"/>
        <v>.0</v>
      </c>
      <c r="G994" s="37" t="str">
        <f t="shared" si="50"/>
        <v/>
      </c>
    </row>
    <row r="995" spans="5:7" x14ac:dyDescent="0.45">
      <c r="E995" s="32" t="str">
        <f t="shared" si="48"/>
        <v>.0</v>
      </c>
      <c r="F995" s="32" t="str">
        <f t="shared" si="49"/>
        <v>.0</v>
      </c>
      <c r="G995" s="37" t="str">
        <f t="shared" si="50"/>
        <v/>
      </c>
    </row>
    <row r="996" spans="5:7" x14ac:dyDescent="0.45">
      <c r="E996" s="32" t="str">
        <f t="shared" si="48"/>
        <v>.0</v>
      </c>
      <c r="F996" s="32" t="str">
        <f t="shared" si="49"/>
        <v>.0</v>
      </c>
      <c r="G996" s="37" t="str">
        <f t="shared" si="50"/>
        <v/>
      </c>
    </row>
    <row r="997" spans="5:7" x14ac:dyDescent="0.45">
      <c r="E997" s="32" t="str">
        <f t="shared" si="48"/>
        <v>.0</v>
      </c>
      <c r="F997" s="32" t="str">
        <f t="shared" si="49"/>
        <v>.0</v>
      </c>
      <c r="G997" s="37" t="str">
        <f t="shared" si="50"/>
        <v/>
      </c>
    </row>
    <row r="998" spans="5:7" x14ac:dyDescent="0.45">
      <c r="E998" s="32" t="str">
        <f t="shared" si="48"/>
        <v>.0</v>
      </c>
      <c r="F998" s="32" t="str">
        <f t="shared" si="49"/>
        <v>.0</v>
      </c>
      <c r="G998" s="37" t="str">
        <f t="shared" si="50"/>
        <v/>
      </c>
    </row>
    <row r="999" spans="5:7" x14ac:dyDescent="0.45">
      <c r="E999" s="32" t="str">
        <f t="shared" si="48"/>
        <v>.0</v>
      </c>
      <c r="F999" s="32" t="str">
        <f t="shared" si="49"/>
        <v>.0</v>
      </c>
      <c r="G999" s="37" t="str">
        <f t="shared" si="50"/>
        <v/>
      </c>
    </row>
    <row r="1000" spans="5:7" x14ac:dyDescent="0.45">
      <c r="E1000" s="32" t="str">
        <f t="shared" si="48"/>
        <v>.0</v>
      </c>
      <c r="F1000" s="32" t="str">
        <f t="shared" si="49"/>
        <v>.0</v>
      </c>
      <c r="G1000" s="37" t="str">
        <f t="shared" si="50"/>
        <v/>
      </c>
    </row>
    <row r="1001" spans="5:7" x14ac:dyDescent="0.45">
      <c r="E1001" s="32" t="str">
        <f t="shared" si="48"/>
        <v>.0</v>
      </c>
      <c r="F1001" s="32" t="str">
        <f t="shared" si="49"/>
        <v>.0</v>
      </c>
      <c r="G1001" s="37" t="str">
        <f t="shared" si="50"/>
        <v/>
      </c>
    </row>
    <row r="1002" spans="5:7" x14ac:dyDescent="0.45">
      <c r="E1002" s="32" t="str">
        <f t="shared" si="48"/>
        <v>.0</v>
      </c>
      <c r="F1002" s="32" t="str">
        <f t="shared" si="49"/>
        <v>.0</v>
      </c>
      <c r="G1002" s="37" t="str">
        <f t="shared" si="50"/>
        <v/>
      </c>
    </row>
    <row r="1003" spans="5:7" x14ac:dyDescent="0.45">
      <c r="E1003" s="32" t="str">
        <f t="shared" si="48"/>
        <v>.0</v>
      </c>
      <c r="F1003" s="32" t="str">
        <f t="shared" si="49"/>
        <v>.0</v>
      </c>
      <c r="G1003" s="37" t="str">
        <f t="shared" si="50"/>
        <v/>
      </c>
    </row>
    <row r="1004" spans="5:7" x14ac:dyDescent="0.45">
      <c r="E1004" s="32" t="str">
        <f t="shared" si="48"/>
        <v>.0</v>
      </c>
      <c r="F1004" s="32" t="str">
        <f t="shared" si="49"/>
        <v>.0</v>
      </c>
      <c r="G1004" s="37" t="str">
        <f t="shared" si="50"/>
        <v/>
      </c>
    </row>
    <row r="1005" spans="5:7" x14ac:dyDescent="0.45">
      <c r="E1005" s="32" t="str">
        <f t="shared" si="48"/>
        <v>.0</v>
      </c>
      <c r="F1005" s="32" t="str">
        <f t="shared" si="49"/>
        <v>.0</v>
      </c>
      <c r="G1005" s="37" t="str">
        <f t="shared" si="50"/>
        <v/>
      </c>
    </row>
    <row r="1006" spans="5:7" x14ac:dyDescent="0.45">
      <c r="E1006" s="32" t="str">
        <f t="shared" si="48"/>
        <v>.0</v>
      </c>
      <c r="F1006" s="32" t="str">
        <f t="shared" si="49"/>
        <v>.0</v>
      </c>
      <c r="G1006" s="37" t="str">
        <f t="shared" si="50"/>
        <v/>
      </c>
    </row>
    <row r="1007" spans="5:7" x14ac:dyDescent="0.45">
      <c r="E1007" s="32" t="str">
        <f t="shared" si="48"/>
        <v>.0</v>
      </c>
      <c r="F1007" s="32" t="str">
        <f t="shared" si="49"/>
        <v>.0</v>
      </c>
      <c r="G1007" s="37" t="str">
        <f t="shared" si="50"/>
        <v/>
      </c>
    </row>
    <row r="1008" spans="5:7" x14ac:dyDescent="0.45">
      <c r="E1008" s="32" t="str">
        <f t="shared" si="48"/>
        <v>.0</v>
      </c>
      <c r="F1008" s="32" t="str">
        <f t="shared" si="49"/>
        <v>.0</v>
      </c>
      <c r="G1008" s="37" t="str">
        <f t="shared" si="50"/>
        <v/>
      </c>
    </row>
    <row r="1009" spans="5:7" x14ac:dyDescent="0.45">
      <c r="E1009" s="32" t="str">
        <f t="shared" si="48"/>
        <v>.0</v>
      </c>
      <c r="F1009" s="32" t="str">
        <f t="shared" si="49"/>
        <v>.0</v>
      </c>
      <c r="G1009" s="37" t="str">
        <f t="shared" si="50"/>
        <v/>
      </c>
    </row>
    <row r="1010" spans="5:7" x14ac:dyDescent="0.45">
      <c r="E1010" s="32" t="str">
        <f t="shared" si="48"/>
        <v>.0</v>
      </c>
      <c r="F1010" s="32" t="str">
        <f t="shared" si="49"/>
        <v>.0</v>
      </c>
      <c r="G1010" s="37" t="str">
        <f t="shared" si="50"/>
        <v/>
      </c>
    </row>
    <row r="1011" spans="5:7" x14ac:dyDescent="0.45">
      <c r="E1011" s="32" t="str">
        <f t="shared" si="48"/>
        <v>.0</v>
      </c>
      <c r="F1011" s="32" t="str">
        <f t="shared" si="49"/>
        <v>.0</v>
      </c>
      <c r="G1011" s="37" t="str">
        <f t="shared" si="50"/>
        <v/>
      </c>
    </row>
    <row r="1012" spans="5:7" x14ac:dyDescent="0.45">
      <c r="E1012" s="32" t="str">
        <f t="shared" si="48"/>
        <v>.0</v>
      </c>
      <c r="F1012" s="32" t="str">
        <f t="shared" si="49"/>
        <v>.0</v>
      </c>
      <c r="G1012" s="37" t="str">
        <f t="shared" si="50"/>
        <v/>
      </c>
    </row>
    <row r="1013" spans="5:7" x14ac:dyDescent="0.45">
      <c r="E1013" s="32" t="str">
        <f t="shared" si="48"/>
        <v>.0</v>
      </c>
      <c r="F1013" s="32" t="str">
        <f t="shared" si="49"/>
        <v>.0</v>
      </c>
      <c r="G1013" s="37" t="str">
        <f t="shared" si="50"/>
        <v/>
      </c>
    </row>
    <row r="1014" spans="5:7" x14ac:dyDescent="0.45">
      <c r="E1014" s="32" t="str">
        <f t="shared" si="48"/>
        <v>.0</v>
      </c>
      <c r="F1014" s="32" t="str">
        <f t="shared" si="49"/>
        <v>.0</v>
      </c>
      <c r="G1014" s="37" t="str">
        <f t="shared" si="50"/>
        <v/>
      </c>
    </row>
    <row r="1015" spans="5:7" x14ac:dyDescent="0.45">
      <c r="E1015" s="32" t="str">
        <f t="shared" si="48"/>
        <v>.0</v>
      </c>
      <c r="F1015" s="32" t="str">
        <f t="shared" si="49"/>
        <v>.0</v>
      </c>
      <c r="G1015" s="37" t="str">
        <f t="shared" si="50"/>
        <v/>
      </c>
    </row>
    <row r="1016" spans="5:7" x14ac:dyDescent="0.45">
      <c r="E1016" s="32" t="str">
        <f t="shared" si="48"/>
        <v>.0</v>
      </c>
      <c r="F1016" s="32" t="str">
        <f t="shared" si="49"/>
        <v>.0</v>
      </c>
      <c r="G1016" s="37" t="str">
        <f t="shared" si="50"/>
        <v/>
      </c>
    </row>
    <row r="1017" spans="5:7" x14ac:dyDescent="0.45">
      <c r="E1017" s="32" t="str">
        <f t="shared" si="48"/>
        <v>.0</v>
      </c>
      <c r="F1017" s="32" t="str">
        <f t="shared" si="49"/>
        <v>.0</v>
      </c>
      <c r="G1017" s="37" t="str">
        <f t="shared" si="50"/>
        <v/>
      </c>
    </row>
    <row r="1018" spans="5:7" x14ac:dyDescent="0.45">
      <c r="E1018" s="32" t="str">
        <f t="shared" si="48"/>
        <v>.0</v>
      </c>
      <c r="F1018" s="32" t="str">
        <f t="shared" si="49"/>
        <v>.0</v>
      </c>
      <c r="G1018" s="37" t="str">
        <f t="shared" si="50"/>
        <v/>
      </c>
    </row>
    <row r="1019" spans="5:7" x14ac:dyDescent="0.45">
      <c r="E1019" s="32" t="str">
        <f t="shared" si="48"/>
        <v>.0</v>
      </c>
      <c r="F1019" s="32" t="str">
        <f t="shared" si="49"/>
        <v>.0</v>
      </c>
      <c r="G1019" s="37" t="str">
        <f t="shared" si="50"/>
        <v/>
      </c>
    </row>
    <row r="1020" spans="5:7" x14ac:dyDescent="0.45">
      <c r="E1020" s="32" t="str">
        <f t="shared" si="48"/>
        <v>.0</v>
      </c>
      <c r="F1020" s="32" t="str">
        <f t="shared" si="49"/>
        <v>.0</v>
      </c>
      <c r="G1020" s="37" t="str">
        <f t="shared" si="50"/>
        <v/>
      </c>
    </row>
    <row r="1021" spans="5:7" x14ac:dyDescent="0.45">
      <c r="E1021" s="32" t="str">
        <f t="shared" si="48"/>
        <v>.0</v>
      </c>
      <c r="F1021" s="32" t="str">
        <f t="shared" si="49"/>
        <v>.0</v>
      </c>
      <c r="G1021" s="37" t="str">
        <f t="shared" si="50"/>
        <v/>
      </c>
    </row>
    <row r="1022" spans="5:7" x14ac:dyDescent="0.45">
      <c r="E1022" s="32" t="str">
        <f t="shared" si="48"/>
        <v>.0</v>
      </c>
      <c r="F1022" s="32" t="str">
        <f t="shared" si="49"/>
        <v>.0</v>
      </c>
      <c r="G1022" s="37" t="str">
        <f t="shared" si="50"/>
        <v/>
      </c>
    </row>
    <row r="1023" spans="5:7" x14ac:dyDescent="0.45">
      <c r="E1023" s="32" t="str">
        <f t="shared" si="48"/>
        <v>.0</v>
      </c>
      <c r="F1023" s="32" t="str">
        <f t="shared" si="49"/>
        <v>.0</v>
      </c>
      <c r="G1023" s="37" t="str">
        <f t="shared" si="50"/>
        <v/>
      </c>
    </row>
    <row r="1024" spans="5:7" x14ac:dyDescent="0.45">
      <c r="E1024" s="32" t="str">
        <f t="shared" si="48"/>
        <v>.0</v>
      </c>
      <c r="F1024" s="32" t="str">
        <f t="shared" si="49"/>
        <v>.0</v>
      </c>
      <c r="G1024" s="37" t="str">
        <f t="shared" si="50"/>
        <v/>
      </c>
    </row>
    <row r="1025" spans="5:7" x14ac:dyDescent="0.45">
      <c r="E1025" s="32" t="str">
        <f t="shared" si="48"/>
        <v>.0</v>
      </c>
      <c r="F1025" s="32" t="str">
        <f t="shared" si="49"/>
        <v>.0</v>
      </c>
      <c r="G1025" s="37" t="str">
        <f t="shared" si="50"/>
        <v/>
      </c>
    </row>
    <row r="1026" spans="5:7" x14ac:dyDescent="0.45">
      <c r="E1026" s="32" t="str">
        <f t="shared" si="48"/>
        <v>.0</v>
      </c>
      <c r="F1026" s="32" t="str">
        <f t="shared" si="49"/>
        <v>.0</v>
      </c>
      <c r="G1026" s="37" t="str">
        <f t="shared" si="50"/>
        <v/>
      </c>
    </row>
    <row r="1027" spans="5:7" x14ac:dyDescent="0.45">
      <c r="E1027" s="32" t="str">
        <f t="shared" si="48"/>
        <v>.0</v>
      </c>
      <c r="F1027" s="32" t="str">
        <f t="shared" si="49"/>
        <v>.0</v>
      </c>
      <c r="G1027" s="37" t="str">
        <f t="shared" si="50"/>
        <v/>
      </c>
    </row>
    <row r="1028" spans="5:7" x14ac:dyDescent="0.45">
      <c r="E1028" s="32" t="str">
        <f t="shared" si="48"/>
        <v>.0</v>
      </c>
      <c r="F1028" s="32" t="str">
        <f t="shared" si="49"/>
        <v>.0</v>
      </c>
      <c r="G1028" s="37" t="str">
        <f t="shared" si="50"/>
        <v/>
      </c>
    </row>
    <row r="1029" spans="5:7" x14ac:dyDescent="0.45">
      <c r="E1029" s="32" t="str">
        <f t="shared" si="48"/>
        <v>.0</v>
      </c>
      <c r="F1029" s="32" t="str">
        <f t="shared" si="49"/>
        <v>.0</v>
      </c>
      <c r="G1029" s="37" t="str">
        <f t="shared" si="50"/>
        <v/>
      </c>
    </row>
    <row r="1030" spans="5:7" x14ac:dyDescent="0.45">
      <c r="E1030" s="32" t="str">
        <f t="shared" si="48"/>
        <v>.0</v>
      </c>
      <c r="F1030" s="32" t="str">
        <f t="shared" si="49"/>
        <v>.0</v>
      </c>
      <c r="G1030" s="37" t="str">
        <f t="shared" si="50"/>
        <v/>
      </c>
    </row>
    <row r="1031" spans="5:7" x14ac:dyDescent="0.45">
      <c r="E1031" s="32" t="str">
        <f t="shared" si="48"/>
        <v>.0</v>
      </c>
      <c r="F1031" s="32" t="str">
        <f t="shared" si="49"/>
        <v>.0</v>
      </c>
      <c r="G1031" s="37" t="str">
        <f t="shared" si="50"/>
        <v/>
      </c>
    </row>
    <row r="1032" spans="5:7" x14ac:dyDescent="0.45">
      <c r="E1032" s="32" t="str">
        <f t="shared" si="48"/>
        <v>.0</v>
      </c>
      <c r="F1032" s="32" t="str">
        <f t="shared" si="49"/>
        <v>.0</v>
      </c>
      <c r="G1032" s="37" t="str">
        <f t="shared" si="50"/>
        <v/>
      </c>
    </row>
    <row r="1033" spans="5:7" x14ac:dyDescent="0.45">
      <c r="E1033" s="32" t="str">
        <f t="shared" si="48"/>
        <v>.0</v>
      </c>
      <c r="F1033" s="32" t="str">
        <f t="shared" si="49"/>
        <v>.0</v>
      </c>
      <c r="G1033" s="37" t="str">
        <f t="shared" si="50"/>
        <v/>
      </c>
    </row>
    <row r="1034" spans="5:7" x14ac:dyDescent="0.45">
      <c r="E1034" s="32" t="str">
        <f t="shared" si="48"/>
        <v>.0</v>
      </c>
      <c r="F1034" s="32" t="str">
        <f t="shared" si="49"/>
        <v>.0</v>
      </c>
      <c r="G1034" s="37" t="str">
        <f t="shared" si="50"/>
        <v/>
      </c>
    </row>
    <row r="1035" spans="5:7" x14ac:dyDescent="0.45">
      <c r="E1035" s="32" t="str">
        <f t="shared" si="48"/>
        <v>.0</v>
      </c>
      <c r="F1035" s="32" t="str">
        <f t="shared" si="49"/>
        <v>.0</v>
      </c>
      <c r="G1035" s="37" t="str">
        <f t="shared" si="50"/>
        <v/>
      </c>
    </row>
    <row r="1036" spans="5:7" x14ac:dyDescent="0.45">
      <c r="E1036" s="32" t="str">
        <f t="shared" si="48"/>
        <v>.0</v>
      </c>
      <c r="F1036" s="32" t="str">
        <f t="shared" si="49"/>
        <v>.0</v>
      </c>
      <c r="G1036" s="37" t="str">
        <f t="shared" si="50"/>
        <v/>
      </c>
    </row>
    <row r="1037" spans="5:7" x14ac:dyDescent="0.45">
      <c r="E1037" s="32" t="str">
        <f t="shared" si="48"/>
        <v>.0</v>
      </c>
      <c r="F1037" s="32" t="str">
        <f t="shared" si="49"/>
        <v>.0</v>
      </c>
      <c r="G1037" s="37" t="str">
        <f t="shared" si="50"/>
        <v/>
      </c>
    </row>
    <row r="1038" spans="5:7" x14ac:dyDescent="0.45">
      <c r="E1038" s="32" t="str">
        <f t="shared" si="48"/>
        <v>.0</v>
      </c>
      <c r="F1038" s="32" t="str">
        <f t="shared" si="49"/>
        <v>.0</v>
      </c>
      <c r="G1038" s="37" t="str">
        <f t="shared" si="50"/>
        <v/>
      </c>
    </row>
    <row r="1039" spans="5:7" x14ac:dyDescent="0.45">
      <c r="E1039" s="32" t="str">
        <f t="shared" si="48"/>
        <v>.0</v>
      </c>
      <c r="F1039" s="32" t="str">
        <f t="shared" si="49"/>
        <v>.0</v>
      </c>
      <c r="G1039" s="37" t="str">
        <f t="shared" si="50"/>
        <v/>
      </c>
    </row>
    <row r="1040" spans="5:7" x14ac:dyDescent="0.45">
      <c r="E1040" s="32" t="str">
        <f t="shared" si="48"/>
        <v>.0</v>
      </c>
      <c r="F1040" s="32" t="str">
        <f t="shared" si="49"/>
        <v>.0</v>
      </c>
      <c r="G1040" s="37" t="str">
        <f t="shared" si="50"/>
        <v/>
      </c>
    </row>
    <row r="1041" spans="5:7" x14ac:dyDescent="0.45">
      <c r="E1041" s="32" t="str">
        <f t="shared" si="48"/>
        <v>.0</v>
      </c>
      <c r="F1041" s="32" t="str">
        <f t="shared" si="49"/>
        <v>.0</v>
      </c>
      <c r="G1041" s="37" t="str">
        <f t="shared" si="50"/>
        <v/>
      </c>
    </row>
    <row r="1042" spans="5:7" x14ac:dyDescent="0.45">
      <c r="E1042" s="32" t="str">
        <f t="shared" si="48"/>
        <v>.0</v>
      </c>
      <c r="F1042" s="32" t="str">
        <f t="shared" si="49"/>
        <v>.0</v>
      </c>
      <c r="G1042" s="37" t="str">
        <f t="shared" si="50"/>
        <v/>
      </c>
    </row>
    <row r="1043" spans="5:7" x14ac:dyDescent="0.45">
      <c r="E1043" s="32" t="str">
        <f t="shared" si="48"/>
        <v>.0</v>
      </c>
      <c r="F1043" s="32" t="str">
        <f t="shared" si="49"/>
        <v>.0</v>
      </c>
      <c r="G1043" s="37" t="str">
        <f t="shared" si="50"/>
        <v/>
      </c>
    </row>
    <row r="1044" spans="5:7" x14ac:dyDescent="0.45">
      <c r="E1044" s="32" t="str">
        <f t="shared" si="48"/>
        <v>.0</v>
      </c>
      <c r="F1044" s="32" t="str">
        <f t="shared" si="49"/>
        <v>.0</v>
      </c>
      <c r="G1044" s="37" t="str">
        <f t="shared" si="50"/>
        <v/>
      </c>
    </row>
    <row r="1045" spans="5:7" x14ac:dyDescent="0.45">
      <c r="E1045" s="32" t="str">
        <f t="shared" si="48"/>
        <v>.0</v>
      </c>
      <c r="F1045" s="32" t="str">
        <f t="shared" si="49"/>
        <v>.0</v>
      </c>
      <c r="G1045" s="37" t="str">
        <f t="shared" si="50"/>
        <v/>
      </c>
    </row>
    <row r="1046" spans="5:7" x14ac:dyDescent="0.45">
      <c r="E1046" s="32" t="str">
        <f t="shared" si="48"/>
        <v>.0</v>
      </c>
      <c r="F1046" s="32" t="str">
        <f t="shared" si="49"/>
        <v>.0</v>
      </c>
      <c r="G1046" s="37" t="str">
        <f t="shared" si="50"/>
        <v/>
      </c>
    </row>
    <row r="1047" spans="5:7" x14ac:dyDescent="0.45">
      <c r="E1047" s="32" t="str">
        <f t="shared" si="48"/>
        <v>.0</v>
      </c>
      <c r="F1047" s="32" t="str">
        <f t="shared" si="49"/>
        <v>.0</v>
      </c>
      <c r="G1047" s="37" t="str">
        <f t="shared" si="50"/>
        <v/>
      </c>
    </row>
    <row r="1048" spans="5:7" x14ac:dyDescent="0.45">
      <c r="E1048" s="32" t="str">
        <f t="shared" si="48"/>
        <v>.0</v>
      </c>
      <c r="F1048" s="32" t="str">
        <f t="shared" si="49"/>
        <v>.0</v>
      </c>
      <c r="G1048" s="37" t="str">
        <f t="shared" si="50"/>
        <v/>
      </c>
    </row>
    <row r="1049" spans="5:7" x14ac:dyDescent="0.45">
      <c r="E1049" s="32" t="str">
        <f t="shared" si="48"/>
        <v>.0</v>
      </c>
      <c r="F1049" s="32" t="str">
        <f t="shared" si="49"/>
        <v>.0</v>
      </c>
      <c r="G1049" s="37" t="str">
        <f t="shared" si="50"/>
        <v/>
      </c>
    </row>
    <row r="1050" spans="5:7" x14ac:dyDescent="0.45">
      <c r="E1050" s="32" t="str">
        <f t="shared" si="48"/>
        <v>.0</v>
      </c>
      <c r="F1050" s="32" t="str">
        <f t="shared" si="49"/>
        <v>.0</v>
      </c>
      <c r="G1050" s="37" t="str">
        <f t="shared" si="50"/>
        <v/>
      </c>
    </row>
    <row r="1051" spans="5:7" x14ac:dyDescent="0.45">
      <c r="E1051" s="32" t="str">
        <f t="shared" si="48"/>
        <v>.0</v>
      </c>
      <c r="F1051" s="32" t="str">
        <f t="shared" si="49"/>
        <v>.0</v>
      </c>
      <c r="G1051" s="37" t="str">
        <f t="shared" si="50"/>
        <v/>
      </c>
    </row>
    <row r="1052" spans="5:7" x14ac:dyDescent="0.45">
      <c r="E1052" s="32" t="str">
        <f t="shared" si="48"/>
        <v>.0</v>
      </c>
      <c r="F1052" s="32" t="str">
        <f t="shared" si="49"/>
        <v>.0</v>
      </c>
      <c r="G1052" s="37" t="str">
        <f t="shared" si="50"/>
        <v/>
      </c>
    </row>
    <row r="1053" spans="5:7" x14ac:dyDescent="0.45">
      <c r="E1053" s="32" t="str">
        <f t="shared" si="48"/>
        <v>.0</v>
      </c>
      <c r="F1053" s="32" t="str">
        <f t="shared" si="49"/>
        <v>.0</v>
      </c>
      <c r="G1053" s="37" t="str">
        <f t="shared" si="50"/>
        <v/>
      </c>
    </row>
    <row r="1054" spans="5:7" x14ac:dyDescent="0.45">
      <c r="E1054" s="32" t="str">
        <f t="shared" ref="E1054:E1117" si="51">MID(B1054,3,2)&amp;"."&amp;IF(C1054&lt;10,"0"&amp;C1054,C1054)</f>
        <v>.0</v>
      </c>
      <c r="F1054" s="32" t="str">
        <f t="shared" ref="F1054:F1117" si="52">MID(B1054,3,2)&amp;"."&amp;IF(C1054&lt;10,"0"&amp;C1054,C1054)</f>
        <v>.0</v>
      </c>
      <c r="G1054" s="37" t="str">
        <f t="shared" ref="G1054:G1117" si="53">TEXT(D1054,"#,###,")</f>
        <v/>
      </c>
    </row>
    <row r="1055" spans="5:7" x14ac:dyDescent="0.45">
      <c r="E1055" s="32" t="str">
        <f t="shared" si="51"/>
        <v>.0</v>
      </c>
      <c r="F1055" s="32" t="str">
        <f t="shared" si="52"/>
        <v>.0</v>
      </c>
      <c r="G1055" s="37" t="str">
        <f t="shared" si="53"/>
        <v/>
      </c>
    </row>
    <row r="1056" spans="5:7" x14ac:dyDescent="0.45">
      <c r="E1056" s="32" t="str">
        <f t="shared" si="51"/>
        <v>.0</v>
      </c>
      <c r="F1056" s="32" t="str">
        <f t="shared" si="52"/>
        <v>.0</v>
      </c>
      <c r="G1056" s="37" t="str">
        <f t="shared" si="53"/>
        <v/>
      </c>
    </row>
    <row r="1057" spans="5:7" x14ac:dyDescent="0.45">
      <c r="E1057" s="32" t="str">
        <f t="shared" si="51"/>
        <v>.0</v>
      </c>
      <c r="F1057" s="32" t="str">
        <f t="shared" si="52"/>
        <v>.0</v>
      </c>
      <c r="G1057" s="37" t="str">
        <f t="shared" si="53"/>
        <v/>
      </c>
    </row>
    <row r="1058" spans="5:7" x14ac:dyDescent="0.45">
      <c r="E1058" s="32" t="str">
        <f t="shared" si="51"/>
        <v>.0</v>
      </c>
      <c r="F1058" s="32" t="str">
        <f t="shared" si="52"/>
        <v>.0</v>
      </c>
      <c r="G1058" s="37" t="str">
        <f t="shared" si="53"/>
        <v/>
      </c>
    </row>
    <row r="1059" spans="5:7" x14ac:dyDescent="0.45">
      <c r="E1059" s="32" t="str">
        <f t="shared" si="51"/>
        <v>.0</v>
      </c>
      <c r="F1059" s="32" t="str">
        <f t="shared" si="52"/>
        <v>.0</v>
      </c>
      <c r="G1059" s="37" t="str">
        <f t="shared" si="53"/>
        <v/>
      </c>
    </row>
    <row r="1060" spans="5:7" x14ac:dyDescent="0.45">
      <c r="E1060" s="32" t="str">
        <f t="shared" si="51"/>
        <v>.0</v>
      </c>
      <c r="F1060" s="32" t="str">
        <f t="shared" si="52"/>
        <v>.0</v>
      </c>
      <c r="G1060" s="37" t="str">
        <f t="shared" si="53"/>
        <v/>
      </c>
    </row>
    <row r="1061" spans="5:7" x14ac:dyDescent="0.45">
      <c r="E1061" s="32" t="str">
        <f t="shared" si="51"/>
        <v>.0</v>
      </c>
      <c r="F1061" s="32" t="str">
        <f t="shared" si="52"/>
        <v>.0</v>
      </c>
      <c r="G1061" s="37" t="str">
        <f t="shared" si="53"/>
        <v/>
      </c>
    </row>
    <row r="1062" spans="5:7" x14ac:dyDescent="0.45">
      <c r="E1062" s="32" t="str">
        <f t="shared" si="51"/>
        <v>.0</v>
      </c>
      <c r="F1062" s="32" t="str">
        <f t="shared" si="52"/>
        <v>.0</v>
      </c>
      <c r="G1062" s="37" t="str">
        <f t="shared" si="53"/>
        <v/>
      </c>
    </row>
    <row r="1063" spans="5:7" x14ac:dyDescent="0.45">
      <c r="E1063" s="32" t="str">
        <f t="shared" si="51"/>
        <v>.0</v>
      </c>
      <c r="F1063" s="32" t="str">
        <f t="shared" si="52"/>
        <v>.0</v>
      </c>
      <c r="G1063" s="37" t="str">
        <f t="shared" si="53"/>
        <v/>
      </c>
    </row>
    <row r="1064" spans="5:7" x14ac:dyDescent="0.45">
      <c r="E1064" s="32" t="str">
        <f t="shared" si="51"/>
        <v>.0</v>
      </c>
      <c r="F1064" s="32" t="str">
        <f t="shared" si="52"/>
        <v>.0</v>
      </c>
      <c r="G1064" s="37" t="str">
        <f t="shared" si="53"/>
        <v/>
      </c>
    </row>
    <row r="1065" spans="5:7" x14ac:dyDescent="0.45">
      <c r="E1065" s="32" t="str">
        <f t="shared" si="51"/>
        <v>.0</v>
      </c>
      <c r="F1065" s="32" t="str">
        <f t="shared" si="52"/>
        <v>.0</v>
      </c>
      <c r="G1065" s="37" t="str">
        <f t="shared" si="53"/>
        <v/>
      </c>
    </row>
    <row r="1066" spans="5:7" x14ac:dyDescent="0.45">
      <c r="E1066" s="32" t="str">
        <f t="shared" si="51"/>
        <v>.0</v>
      </c>
      <c r="F1066" s="32" t="str">
        <f t="shared" si="52"/>
        <v>.0</v>
      </c>
      <c r="G1066" s="37" t="str">
        <f t="shared" si="53"/>
        <v/>
      </c>
    </row>
    <row r="1067" spans="5:7" x14ac:dyDescent="0.45">
      <c r="E1067" s="32" t="str">
        <f t="shared" si="51"/>
        <v>.0</v>
      </c>
      <c r="F1067" s="32" t="str">
        <f t="shared" si="52"/>
        <v>.0</v>
      </c>
      <c r="G1067" s="37" t="str">
        <f t="shared" si="53"/>
        <v/>
      </c>
    </row>
    <row r="1068" spans="5:7" x14ac:dyDescent="0.45">
      <c r="E1068" s="32" t="str">
        <f t="shared" si="51"/>
        <v>.0</v>
      </c>
      <c r="F1068" s="32" t="str">
        <f t="shared" si="52"/>
        <v>.0</v>
      </c>
      <c r="G1068" s="37" t="str">
        <f t="shared" si="53"/>
        <v/>
      </c>
    </row>
    <row r="1069" spans="5:7" x14ac:dyDescent="0.45">
      <c r="E1069" s="32" t="str">
        <f t="shared" si="51"/>
        <v>.0</v>
      </c>
      <c r="F1069" s="32" t="str">
        <f t="shared" si="52"/>
        <v>.0</v>
      </c>
      <c r="G1069" s="37" t="str">
        <f t="shared" si="53"/>
        <v/>
      </c>
    </row>
    <row r="1070" spans="5:7" x14ac:dyDescent="0.45">
      <c r="E1070" s="32" t="str">
        <f t="shared" si="51"/>
        <v>.0</v>
      </c>
      <c r="F1070" s="32" t="str">
        <f t="shared" si="52"/>
        <v>.0</v>
      </c>
      <c r="G1070" s="37" t="str">
        <f t="shared" si="53"/>
        <v/>
      </c>
    </row>
    <row r="1071" spans="5:7" x14ac:dyDescent="0.45">
      <c r="E1071" s="32" t="str">
        <f t="shared" si="51"/>
        <v>.0</v>
      </c>
      <c r="F1071" s="32" t="str">
        <f t="shared" si="52"/>
        <v>.0</v>
      </c>
      <c r="G1071" s="37" t="str">
        <f t="shared" si="53"/>
        <v/>
      </c>
    </row>
    <row r="1072" spans="5:7" x14ac:dyDescent="0.45">
      <c r="E1072" s="32" t="str">
        <f t="shared" si="51"/>
        <v>.0</v>
      </c>
      <c r="F1072" s="32" t="str">
        <f t="shared" si="52"/>
        <v>.0</v>
      </c>
      <c r="G1072" s="37" t="str">
        <f t="shared" si="53"/>
        <v/>
      </c>
    </row>
    <row r="1073" spans="5:7" x14ac:dyDescent="0.45">
      <c r="E1073" s="32" t="str">
        <f t="shared" si="51"/>
        <v>.0</v>
      </c>
      <c r="F1073" s="32" t="str">
        <f t="shared" si="52"/>
        <v>.0</v>
      </c>
      <c r="G1073" s="37" t="str">
        <f t="shared" si="53"/>
        <v/>
      </c>
    </row>
    <row r="1074" spans="5:7" x14ac:dyDescent="0.45">
      <c r="E1074" s="32" t="str">
        <f t="shared" si="51"/>
        <v>.0</v>
      </c>
      <c r="F1074" s="32" t="str">
        <f t="shared" si="52"/>
        <v>.0</v>
      </c>
      <c r="G1074" s="37" t="str">
        <f t="shared" si="53"/>
        <v/>
      </c>
    </row>
    <row r="1075" spans="5:7" x14ac:dyDescent="0.45">
      <c r="E1075" s="32" t="str">
        <f t="shared" si="51"/>
        <v>.0</v>
      </c>
      <c r="F1075" s="32" t="str">
        <f t="shared" si="52"/>
        <v>.0</v>
      </c>
      <c r="G1075" s="37" t="str">
        <f t="shared" si="53"/>
        <v/>
      </c>
    </row>
    <row r="1076" spans="5:7" x14ac:dyDescent="0.45">
      <c r="E1076" s="32" t="str">
        <f t="shared" si="51"/>
        <v>.0</v>
      </c>
      <c r="F1076" s="32" t="str">
        <f t="shared" si="52"/>
        <v>.0</v>
      </c>
      <c r="G1076" s="37" t="str">
        <f t="shared" si="53"/>
        <v/>
      </c>
    </row>
    <row r="1077" spans="5:7" x14ac:dyDescent="0.45">
      <c r="E1077" s="32" t="str">
        <f t="shared" si="51"/>
        <v>.0</v>
      </c>
      <c r="F1077" s="32" t="str">
        <f t="shared" si="52"/>
        <v>.0</v>
      </c>
      <c r="G1077" s="37" t="str">
        <f t="shared" si="53"/>
        <v/>
      </c>
    </row>
    <row r="1078" spans="5:7" x14ac:dyDescent="0.45">
      <c r="E1078" s="32" t="str">
        <f t="shared" si="51"/>
        <v>.0</v>
      </c>
      <c r="F1078" s="32" t="str">
        <f t="shared" si="52"/>
        <v>.0</v>
      </c>
      <c r="G1078" s="37" t="str">
        <f t="shared" si="53"/>
        <v/>
      </c>
    </row>
    <row r="1079" spans="5:7" x14ac:dyDescent="0.45">
      <c r="E1079" s="32" t="str">
        <f t="shared" si="51"/>
        <v>.0</v>
      </c>
      <c r="F1079" s="32" t="str">
        <f t="shared" si="52"/>
        <v>.0</v>
      </c>
      <c r="G1079" s="37" t="str">
        <f t="shared" si="53"/>
        <v/>
      </c>
    </row>
    <row r="1080" spans="5:7" x14ac:dyDescent="0.45">
      <c r="E1080" s="32" t="str">
        <f t="shared" si="51"/>
        <v>.0</v>
      </c>
      <c r="F1080" s="32" t="str">
        <f t="shared" si="52"/>
        <v>.0</v>
      </c>
      <c r="G1080" s="37" t="str">
        <f t="shared" si="53"/>
        <v/>
      </c>
    </row>
    <row r="1081" spans="5:7" x14ac:dyDescent="0.45">
      <c r="E1081" s="32" t="str">
        <f t="shared" si="51"/>
        <v>.0</v>
      </c>
      <c r="F1081" s="32" t="str">
        <f t="shared" si="52"/>
        <v>.0</v>
      </c>
      <c r="G1081" s="37" t="str">
        <f t="shared" si="53"/>
        <v/>
      </c>
    </row>
    <row r="1082" spans="5:7" x14ac:dyDescent="0.45">
      <c r="E1082" s="32" t="str">
        <f t="shared" si="51"/>
        <v>.0</v>
      </c>
      <c r="F1082" s="32" t="str">
        <f t="shared" si="52"/>
        <v>.0</v>
      </c>
      <c r="G1082" s="37" t="str">
        <f t="shared" si="53"/>
        <v/>
      </c>
    </row>
    <row r="1083" spans="5:7" x14ac:dyDescent="0.45">
      <c r="E1083" s="32" t="str">
        <f t="shared" si="51"/>
        <v>.0</v>
      </c>
      <c r="F1083" s="32" t="str">
        <f t="shared" si="52"/>
        <v>.0</v>
      </c>
      <c r="G1083" s="37" t="str">
        <f t="shared" si="53"/>
        <v/>
      </c>
    </row>
    <row r="1084" spans="5:7" x14ac:dyDescent="0.45">
      <c r="E1084" s="32" t="str">
        <f t="shared" si="51"/>
        <v>.0</v>
      </c>
      <c r="F1084" s="32" t="str">
        <f t="shared" si="52"/>
        <v>.0</v>
      </c>
      <c r="G1084" s="37" t="str">
        <f t="shared" si="53"/>
        <v/>
      </c>
    </row>
    <row r="1085" spans="5:7" x14ac:dyDescent="0.45">
      <c r="E1085" s="32" t="str">
        <f t="shared" si="51"/>
        <v>.0</v>
      </c>
      <c r="F1085" s="32" t="str">
        <f t="shared" si="52"/>
        <v>.0</v>
      </c>
      <c r="G1085" s="37" t="str">
        <f t="shared" si="53"/>
        <v/>
      </c>
    </row>
    <row r="1086" spans="5:7" x14ac:dyDescent="0.45">
      <c r="E1086" s="32" t="str">
        <f t="shared" si="51"/>
        <v>.0</v>
      </c>
      <c r="F1086" s="32" t="str">
        <f t="shared" si="52"/>
        <v>.0</v>
      </c>
      <c r="G1086" s="37" t="str">
        <f t="shared" si="53"/>
        <v/>
      </c>
    </row>
    <row r="1087" spans="5:7" x14ac:dyDescent="0.45">
      <c r="E1087" s="32" t="str">
        <f t="shared" si="51"/>
        <v>.0</v>
      </c>
      <c r="F1087" s="32" t="str">
        <f t="shared" si="52"/>
        <v>.0</v>
      </c>
      <c r="G1087" s="37" t="str">
        <f t="shared" si="53"/>
        <v/>
      </c>
    </row>
    <row r="1088" spans="5:7" x14ac:dyDescent="0.45">
      <c r="E1088" s="32" t="str">
        <f t="shared" si="51"/>
        <v>.0</v>
      </c>
      <c r="F1088" s="32" t="str">
        <f t="shared" si="52"/>
        <v>.0</v>
      </c>
      <c r="G1088" s="37" t="str">
        <f t="shared" si="53"/>
        <v/>
      </c>
    </row>
    <row r="1089" spans="5:7" x14ac:dyDescent="0.45">
      <c r="E1089" s="32" t="str">
        <f t="shared" si="51"/>
        <v>.0</v>
      </c>
      <c r="F1089" s="32" t="str">
        <f t="shared" si="52"/>
        <v>.0</v>
      </c>
      <c r="G1089" s="37" t="str">
        <f t="shared" si="53"/>
        <v/>
      </c>
    </row>
    <row r="1090" spans="5:7" x14ac:dyDescent="0.45">
      <c r="E1090" s="32" t="str">
        <f t="shared" si="51"/>
        <v>.0</v>
      </c>
      <c r="F1090" s="32" t="str">
        <f t="shared" si="52"/>
        <v>.0</v>
      </c>
      <c r="G1090" s="37" t="str">
        <f t="shared" si="53"/>
        <v/>
      </c>
    </row>
    <row r="1091" spans="5:7" x14ac:dyDescent="0.45">
      <c r="E1091" s="32" t="str">
        <f t="shared" si="51"/>
        <v>.0</v>
      </c>
      <c r="F1091" s="32" t="str">
        <f t="shared" si="52"/>
        <v>.0</v>
      </c>
      <c r="G1091" s="37" t="str">
        <f t="shared" si="53"/>
        <v/>
      </c>
    </row>
    <row r="1092" spans="5:7" x14ac:dyDescent="0.45">
      <c r="E1092" s="32" t="str">
        <f t="shared" si="51"/>
        <v>.0</v>
      </c>
      <c r="F1092" s="32" t="str">
        <f t="shared" si="52"/>
        <v>.0</v>
      </c>
      <c r="G1092" s="37" t="str">
        <f t="shared" si="53"/>
        <v/>
      </c>
    </row>
    <row r="1093" spans="5:7" x14ac:dyDescent="0.45">
      <c r="E1093" s="32" t="str">
        <f t="shared" si="51"/>
        <v>.0</v>
      </c>
      <c r="F1093" s="32" t="str">
        <f t="shared" si="52"/>
        <v>.0</v>
      </c>
      <c r="G1093" s="37" t="str">
        <f t="shared" si="53"/>
        <v/>
      </c>
    </row>
    <row r="1094" spans="5:7" x14ac:dyDescent="0.45">
      <c r="E1094" s="32" t="str">
        <f t="shared" si="51"/>
        <v>.0</v>
      </c>
      <c r="F1094" s="32" t="str">
        <f t="shared" si="52"/>
        <v>.0</v>
      </c>
      <c r="G1094" s="37" t="str">
        <f t="shared" si="53"/>
        <v/>
      </c>
    </row>
    <row r="1095" spans="5:7" x14ac:dyDescent="0.45">
      <c r="E1095" s="32" t="str">
        <f t="shared" si="51"/>
        <v>.0</v>
      </c>
      <c r="F1095" s="32" t="str">
        <f t="shared" si="52"/>
        <v>.0</v>
      </c>
      <c r="G1095" s="37" t="str">
        <f t="shared" si="53"/>
        <v/>
      </c>
    </row>
    <row r="1096" spans="5:7" x14ac:dyDescent="0.45">
      <c r="E1096" s="32" t="str">
        <f t="shared" si="51"/>
        <v>.0</v>
      </c>
      <c r="F1096" s="32" t="str">
        <f t="shared" si="52"/>
        <v>.0</v>
      </c>
      <c r="G1096" s="37" t="str">
        <f t="shared" si="53"/>
        <v/>
      </c>
    </row>
    <row r="1097" spans="5:7" x14ac:dyDescent="0.45">
      <c r="E1097" s="32" t="str">
        <f t="shared" si="51"/>
        <v>.0</v>
      </c>
      <c r="F1097" s="32" t="str">
        <f t="shared" si="52"/>
        <v>.0</v>
      </c>
      <c r="G1097" s="37" t="str">
        <f t="shared" si="53"/>
        <v/>
      </c>
    </row>
    <row r="1098" spans="5:7" x14ac:dyDescent="0.45">
      <c r="E1098" s="32" t="str">
        <f t="shared" si="51"/>
        <v>.0</v>
      </c>
      <c r="F1098" s="32" t="str">
        <f t="shared" si="52"/>
        <v>.0</v>
      </c>
      <c r="G1098" s="37" t="str">
        <f t="shared" si="53"/>
        <v/>
      </c>
    </row>
    <row r="1099" spans="5:7" x14ac:dyDescent="0.45">
      <c r="E1099" s="32" t="str">
        <f t="shared" si="51"/>
        <v>.0</v>
      </c>
      <c r="F1099" s="32" t="str">
        <f t="shared" si="52"/>
        <v>.0</v>
      </c>
      <c r="G1099" s="37" t="str">
        <f t="shared" si="53"/>
        <v/>
      </c>
    </row>
    <row r="1100" spans="5:7" x14ac:dyDescent="0.45">
      <c r="E1100" s="32" t="str">
        <f t="shared" si="51"/>
        <v>.0</v>
      </c>
      <c r="F1100" s="32" t="str">
        <f t="shared" si="52"/>
        <v>.0</v>
      </c>
      <c r="G1100" s="37" t="str">
        <f t="shared" si="53"/>
        <v/>
      </c>
    </row>
    <row r="1101" spans="5:7" x14ac:dyDescent="0.45">
      <c r="E1101" s="32" t="str">
        <f t="shared" si="51"/>
        <v>.0</v>
      </c>
      <c r="F1101" s="32" t="str">
        <f t="shared" si="52"/>
        <v>.0</v>
      </c>
      <c r="G1101" s="37" t="str">
        <f t="shared" si="53"/>
        <v/>
      </c>
    </row>
    <row r="1102" spans="5:7" x14ac:dyDescent="0.45">
      <c r="E1102" s="32" t="str">
        <f t="shared" si="51"/>
        <v>.0</v>
      </c>
      <c r="F1102" s="32" t="str">
        <f t="shared" si="52"/>
        <v>.0</v>
      </c>
      <c r="G1102" s="37" t="str">
        <f t="shared" si="53"/>
        <v/>
      </c>
    </row>
    <row r="1103" spans="5:7" x14ac:dyDescent="0.45">
      <c r="E1103" s="32" t="str">
        <f t="shared" si="51"/>
        <v>.0</v>
      </c>
      <c r="F1103" s="32" t="str">
        <f t="shared" si="52"/>
        <v>.0</v>
      </c>
      <c r="G1103" s="37" t="str">
        <f t="shared" si="53"/>
        <v/>
      </c>
    </row>
    <row r="1104" spans="5:7" x14ac:dyDescent="0.45">
      <c r="E1104" s="32" t="str">
        <f t="shared" si="51"/>
        <v>.0</v>
      </c>
      <c r="F1104" s="32" t="str">
        <f t="shared" si="52"/>
        <v>.0</v>
      </c>
      <c r="G1104" s="37" t="str">
        <f t="shared" si="53"/>
        <v/>
      </c>
    </row>
    <row r="1105" spans="5:7" x14ac:dyDescent="0.45">
      <c r="E1105" s="32" t="str">
        <f t="shared" si="51"/>
        <v>.0</v>
      </c>
      <c r="F1105" s="32" t="str">
        <f t="shared" si="52"/>
        <v>.0</v>
      </c>
      <c r="G1105" s="37" t="str">
        <f t="shared" si="53"/>
        <v/>
      </c>
    </row>
    <row r="1106" spans="5:7" x14ac:dyDescent="0.45">
      <c r="E1106" s="32" t="str">
        <f t="shared" si="51"/>
        <v>.0</v>
      </c>
      <c r="F1106" s="32" t="str">
        <f t="shared" si="52"/>
        <v>.0</v>
      </c>
      <c r="G1106" s="37" t="str">
        <f t="shared" si="53"/>
        <v/>
      </c>
    </row>
    <row r="1107" spans="5:7" x14ac:dyDescent="0.45">
      <c r="E1107" s="32" t="str">
        <f t="shared" si="51"/>
        <v>.0</v>
      </c>
      <c r="F1107" s="32" t="str">
        <f t="shared" si="52"/>
        <v>.0</v>
      </c>
      <c r="G1107" s="37" t="str">
        <f t="shared" si="53"/>
        <v/>
      </c>
    </row>
    <row r="1108" spans="5:7" x14ac:dyDescent="0.45">
      <c r="E1108" s="32" t="str">
        <f t="shared" si="51"/>
        <v>.0</v>
      </c>
      <c r="F1108" s="32" t="str">
        <f t="shared" si="52"/>
        <v>.0</v>
      </c>
      <c r="G1108" s="37" t="str">
        <f t="shared" si="53"/>
        <v/>
      </c>
    </row>
    <row r="1109" spans="5:7" x14ac:dyDescent="0.45">
      <c r="E1109" s="32" t="str">
        <f t="shared" si="51"/>
        <v>.0</v>
      </c>
      <c r="F1109" s="32" t="str">
        <f t="shared" si="52"/>
        <v>.0</v>
      </c>
      <c r="G1109" s="37" t="str">
        <f t="shared" si="53"/>
        <v/>
      </c>
    </row>
    <row r="1110" spans="5:7" x14ac:dyDescent="0.45">
      <c r="E1110" s="32" t="str">
        <f t="shared" si="51"/>
        <v>.0</v>
      </c>
      <c r="F1110" s="32" t="str">
        <f t="shared" si="52"/>
        <v>.0</v>
      </c>
      <c r="G1110" s="37" t="str">
        <f t="shared" si="53"/>
        <v/>
      </c>
    </row>
    <row r="1111" spans="5:7" x14ac:dyDescent="0.45">
      <c r="E1111" s="32" t="str">
        <f t="shared" si="51"/>
        <v>.0</v>
      </c>
      <c r="F1111" s="32" t="str">
        <f t="shared" si="52"/>
        <v>.0</v>
      </c>
      <c r="G1111" s="37" t="str">
        <f t="shared" si="53"/>
        <v/>
      </c>
    </row>
    <row r="1112" spans="5:7" x14ac:dyDescent="0.45">
      <c r="E1112" s="32" t="str">
        <f t="shared" si="51"/>
        <v>.0</v>
      </c>
      <c r="F1112" s="32" t="str">
        <f t="shared" si="52"/>
        <v>.0</v>
      </c>
      <c r="G1112" s="37" t="str">
        <f t="shared" si="53"/>
        <v/>
      </c>
    </row>
    <row r="1113" spans="5:7" x14ac:dyDescent="0.45">
      <c r="E1113" s="32" t="str">
        <f t="shared" si="51"/>
        <v>.0</v>
      </c>
      <c r="F1113" s="32" t="str">
        <f t="shared" si="52"/>
        <v>.0</v>
      </c>
      <c r="G1113" s="37" t="str">
        <f t="shared" si="53"/>
        <v/>
      </c>
    </row>
    <row r="1114" spans="5:7" x14ac:dyDescent="0.45">
      <c r="E1114" s="32" t="str">
        <f t="shared" si="51"/>
        <v>.0</v>
      </c>
      <c r="F1114" s="32" t="str">
        <f t="shared" si="52"/>
        <v>.0</v>
      </c>
      <c r="G1114" s="37" t="str">
        <f t="shared" si="53"/>
        <v/>
      </c>
    </row>
    <row r="1115" spans="5:7" x14ac:dyDescent="0.45">
      <c r="E1115" s="32" t="str">
        <f t="shared" si="51"/>
        <v>.0</v>
      </c>
      <c r="F1115" s="32" t="str">
        <f t="shared" si="52"/>
        <v>.0</v>
      </c>
      <c r="G1115" s="37" t="str">
        <f t="shared" si="53"/>
        <v/>
      </c>
    </row>
    <row r="1116" spans="5:7" x14ac:dyDescent="0.45">
      <c r="E1116" s="32" t="str">
        <f t="shared" si="51"/>
        <v>.0</v>
      </c>
      <c r="F1116" s="32" t="str">
        <f t="shared" si="52"/>
        <v>.0</v>
      </c>
      <c r="G1116" s="37" t="str">
        <f t="shared" si="53"/>
        <v/>
      </c>
    </row>
    <row r="1117" spans="5:7" x14ac:dyDescent="0.45">
      <c r="E1117" s="32" t="str">
        <f t="shared" si="51"/>
        <v>.0</v>
      </c>
      <c r="F1117" s="32" t="str">
        <f t="shared" si="52"/>
        <v>.0</v>
      </c>
      <c r="G1117" s="37" t="str">
        <f t="shared" si="53"/>
        <v/>
      </c>
    </row>
    <row r="1118" spans="5:7" x14ac:dyDescent="0.45">
      <c r="E1118" s="32" t="str">
        <f t="shared" ref="E1118:E1181" si="54">MID(B1118,3,2)&amp;"."&amp;IF(C1118&lt;10,"0"&amp;C1118,C1118)</f>
        <v>.0</v>
      </c>
      <c r="F1118" s="32" t="str">
        <f t="shared" ref="F1118:F1181" si="55">MID(B1118,3,2)&amp;"."&amp;IF(C1118&lt;10,"0"&amp;C1118,C1118)</f>
        <v>.0</v>
      </c>
      <c r="G1118" s="37" t="str">
        <f t="shared" ref="G1118:G1181" si="56">TEXT(D1118,"#,###,")</f>
        <v/>
      </c>
    </row>
    <row r="1119" spans="5:7" x14ac:dyDescent="0.45">
      <c r="E1119" s="32" t="str">
        <f t="shared" si="54"/>
        <v>.0</v>
      </c>
      <c r="F1119" s="32" t="str">
        <f t="shared" si="55"/>
        <v>.0</v>
      </c>
      <c r="G1119" s="37" t="str">
        <f t="shared" si="56"/>
        <v/>
      </c>
    </row>
    <row r="1120" spans="5:7" x14ac:dyDescent="0.45">
      <c r="E1120" s="32" t="str">
        <f t="shared" si="54"/>
        <v>.0</v>
      </c>
      <c r="F1120" s="32" t="str">
        <f t="shared" si="55"/>
        <v>.0</v>
      </c>
      <c r="G1120" s="37" t="str">
        <f t="shared" si="56"/>
        <v/>
      </c>
    </row>
    <row r="1121" spans="5:7" x14ac:dyDescent="0.45">
      <c r="E1121" s="32" t="str">
        <f t="shared" si="54"/>
        <v>.0</v>
      </c>
      <c r="F1121" s="32" t="str">
        <f t="shared" si="55"/>
        <v>.0</v>
      </c>
      <c r="G1121" s="37" t="str">
        <f t="shared" si="56"/>
        <v/>
      </c>
    </row>
    <row r="1122" spans="5:7" x14ac:dyDescent="0.45">
      <c r="E1122" s="32" t="str">
        <f t="shared" si="54"/>
        <v>.0</v>
      </c>
      <c r="F1122" s="32" t="str">
        <f t="shared" si="55"/>
        <v>.0</v>
      </c>
      <c r="G1122" s="37" t="str">
        <f t="shared" si="56"/>
        <v/>
      </c>
    </row>
    <row r="1123" spans="5:7" x14ac:dyDescent="0.45">
      <c r="E1123" s="32" t="str">
        <f t="shared" si="54"/>
        <v>.0</v>
      </c>
      <c r="F1123" s="32" t="str">
        <f t="shared" si="55"/>
        <v>.0</v>
      </c>
      <c r="G1123" s="37" t="str">
        <f t="shared" si="56"/>
        <v/>
      </c>
    </row>
    <row r="1124" spans="5:7" x14ac:dyDescent="0.45">
      <c r="E1124" s="32" t="str">
        <f t="shared" si="54"/>
        <v>.0</v>
      </c>
      <c r="F1124" s="32" t="str">
        <f t="shared" si="55"/>
        <v>.0</v>
      </c>
      <c r="G1124" s="37" t="str">
        <f t="shared" si="56"/>
        <v/>
      </c>
    </row>
    <row r="1125" spans="5:7" x14ac:dyDescent="0.45">
      <c r="E1125" s="32" t="str">
        <f t="shared" si="54"/>
        <v>.0</v>
      </c>
      <c r="F1125" s="32" t="str">
        <f t="shared" si="55"/>
        <v>.0</v>
      </c>
      <c r="G1125" s="37" t="str">
        <f t="shared" si="56"/>
        <v/>
      </c>
    </row>
    <row r="1126" spans="5:7" x14ac:dyDescent="0.45">
      <c r="E1126" s="32" t="str">
        <f t="shared" si="54"/>
        <v>.0</v>
      </c>
      <c r="F1126" s="32" t="str">
        <f t="shared" si="55"/>
        <v>.0</v>
      </c>
      <c r="G1126" s="37" t="str">
        <f t="shared" si="56"/>
        <v/>
      </c>
    </row>
    <row r="1127" spans="5:7" x14ac:dyDescent="0.45">
      <c r="E1127" s="32" t="str">
        <f t="shared" si="54"/>
        <v>.0</v>
      </c>
      <c r="F1127" s="32" t="str">
        <f t="shared" si="55"/>
        <v>.0</v>
      </c>
      <c r="G1127" s="37" t="str">
        <f t="shared" si="56"/>
        <v/>
      </c>
    </row>
    <row r="1128" spans="5:7" x14ac:dyDescent="0.45">
      <c r="E1128" s="32" t="str">
        <f t="shared" si="54"/>
        <v>.0</v>
      </c>
      <c r="F1128" s="32" t="str">
        <f t="shared" si="55"/>
        <v>.0</v>
      </c>
      <c r="G1128" s="37" t="str">
        <f t="shared" si="56"/>
        <v/>
      </c>
    </row>
    <row r="1129" spans="5:7" x14ac:dyDescent="0.45">
      <c r="E1129" s="32" t="str">
        <f t="shared" si="54"/>
        <v>.0</v>
      </c>
      <c r="F1129" s="32" t="str">
        <f t="shared" si="55"/>
        <v>.0</v>
      </c>
      <c r="G1129" s="37" t="str">
        <f t="shared" si="56"/>
        <v/>
      </c>
    </row>
    <row r="1130" spans="5:7" x14ac:dyDescent="0.45">
      <c r="E1130" s="32" t="str">
        <f t="shared" si="54"/>
        <v>.0</v>
      </c>
      <c r="F1130" s="32" t="str">
        <f t="shared" si="55"/>
        <v>.0</v>
      </c>
      <c r="G1130" s="37" t="str">
        <f t="shared" si="56"/>
        <v/>
      </c>
    </row>
    <row r="1131" spans="5:7" x14ac:dyDescent="0.45">
      <c r="E1131" s="32" t="str">
        <f t="shared" si="54"/>
        <v>.0</v>
      </c>
      <c r="F1131" s="32" t="str">
        <f t="shared" si="55"/>
        <v>.0</v>
      </c>
      <c r="G1131" s="37" t="str">
        <f t="shared" si="56"/>
        <v/>
      </c>
    </row>
    <row r="1132" spans="5:7" x14ac:dyDescent="0.45">
      <c r="E1132" s="32" t="str">
        <f t="shared" si="54"/>
        <v>.0</v>
      </c>
      <c r="F1132" s="32" t="str">
        <f t="shared" si="55"/>
        <v>.0</v>
      </c>
      <c r="G1132" s="37" t="str">
        <f t="shared" si="56"/>
        <v/>
      </c>
    </row>
    <row r="1133" spans="5:7" x14ac:dyDescent="0.45">
      <c r="E1133" s="32" t="str">
        <f t="shared" si="54"/>
        <v>.0</v>
      </c>
      <c r="F1133" s="32" t="str">
        <f t="shared" si="55"/>
        <v>.0</v>
      </c>
      <c r="G1133" s="37" t="str">
        <f t="shared" si="56"/>
        <v/>
      </c>
    </row>
    <row r="1134" spans="5:7" x14ac:dyDescent="0.45">
      <c r="E1134" s="32" t="str">
        <f t="shared" si="54"/>
        <v>.0</v>
      </c>
      <c r="F1134" s="32" t="str">
        <f t="shared" si="55"/>
        <v>.0</v>
      </c>
      <c r="G1134" s="37" t="str">
        <f t="shared" si="56"/>
        <v/>
      </c>
    </row>
    <row r="1135" spans="5:7" x14ac:dyDescent="0.45">
      <c r="E1135" s="32" t="str">
        <f t="shared" si="54"/>
        <v>.0</v>
      </c>
      <c r="F1135" s="32" t="str">
        <f t="shared" si="55"/>
        <v>.0</v>
      </c>
      <c r="G1135" s="37" t="str">
        <f t="shared" si="56"/>
        <v/>
      </c>
    </row>
    <row r="1136" spans="5:7" x14ac:dyDescent="0.45">
      <c r="E1136" s="32" t="str">
        <f t="shared" si="54"/>
        <v>.0</v>
      </c>
      <c r="F1136" s="32" t="str">
        <f t="shared" si="55"/>
        <v>.0</v>
      </c>
      <c r="G1136" s="37" t="str">
        <f t="shared" si="56"/>
        <v/>
      </c>
    </row>
    <row r="1137" spans="5:7" x14ac:dyDescent="0.45">
      <c r="E1137" s="32" t="str">
        <f t="shared" si="54"/>
        <v>.0</v>
      </c>
      <c r="F1137" s="32" t="str">
        <f t="shared" si="55"/>
        <v>.0</v>
      </c>
      <c r="G1137" s="37" t="str">
        <f t="shared" si="56"/>
        <v/>
      </c>
    </row>
    <row r="1138" spans="5:7" x14ac:dyDescent="0.45">
      <c r="E1138" s="32" t="str">
        <f t="shared" si="54"/>
        <v>.0</v>
      </c>
      <c r="F1138" s="32" t="str">
        <f t="shared" si="55"/>
        <v>.0</v>
      </c>
      <c r="G1138" s="37" t="str">
        <f t="shared" si="56"/>
        <v/>
      </c>
    </row>
    <row r="1139" spans="5:7" x14ac:dyDescent="0.45">
      <c r="E1139" s="32" t="str">
        <f t="shared" si="54"/>
        <v>.0</v>
      </c>
      <c r="F1139" s="32" t="str">
        <f t="shared" si="55"/>
        <v>.0</v>
      </c>
      <c r="G1139" s="37" t="str">
        <f t="shared" si="56"/>
        <v/>
      </c>
    </row>
    <row r="1140" spans="5:7" x14ac:dyDescent="0.45">
      <c r="E1140" s="32" t="str">
        <f t="shared" si="54"/>
        <v>.0</v>
      </c>
      <c r="F1140" s="32" t="str">
        <f t="shared" si="55"/>
        <v>.0</v>
      </c>
      <c r="G1140" s="37" t="str">
        <f t="shared" si="56"/>
        <v/>
      </c>
    </row>
    <row r="1141" spans="5:7" x14ac:dyDescent="0.45">
      <c r="E1141" s="32" t="str">
        <f t="shared" si="54"/>
        <v>.0</v>
      </c>
      <c r="F1141" s="32" t="str">
        <f t="shared" si="55"/>
        <v>.0</v>
      </c>
      <c r="G1141" s="37" t="str">
        <f t="shared" si="56"/>
        <v/>
      </c>
    </row>
    <row r="1142" spans="5:7" x14ac:dyDescent="0.45">
      <c r="E1142" s="32" t="str">
        <f t="shared" si="54"/>
        <v>.0</v>
      </c>
      <c r="F1142" s="32" t="str">
        <f t="shared" si="55"/>
        <v>.0</v>
      </c>
      <c r="G1142" s="37" t="str">
        <f t="shared" si="56"/>
        <v/>
      </c>
    </row>
    <row r="1143" spans="5:7" x14ac:dyDescent="0.45">
      <c r="E1143" s="32" t="str">
        <f t="shared" si="54"/>
        <v>.0</v>
      </c>
      <c r="F1143" s="32" t="str">
        <f t="shared" si="55"/>
        <v>.0</v>
      </c>
      <c r="G1143" s="37" t="str">
        <f t="shared" si="56"/>
        <v/>
      </c>
    </row>
    <row r="1144" spans="5:7" x14ac:dyDescent="0.45">
      <c r="E1144" s="32" t="str">
        <f t="shared" si="54"/>
        <v>.0</v>
      </c>
      <c r="F1144" s="32" t="str">
        <f t="shared" si="55"/>
        <v>.0</v>
      </c>
      <c r="G1144" s="37" t="str">
        <f t="shared" si="56"/>
        <v/>
      </c>
    </row>
    <row r="1145" spans="5:7" x14ac:dyDescent="0.45">
      <c r="E1145" s="32" t="str">
        <f t="shared" si="54"/>
        <v>.0</v>
      </c>
      <c r="F1145" s="32" t="str">
        <f t="shared" si="55"/>
        <v>.0</v>
      </c>
      <c r="G1145" s="37" t="str">
        <f t="shared" si="56"/>
        <v/>
      </c>
    </row>
    <row r="1146" spans="5:7" x14ac:dyDescent="0.45">
      <c r="E1146" s="32" t="str">
        <f t="shared" si="54"/>
        <v>.0</v>
      </c>
      <c r="F1146" s="32" t="str">
        <f t="shared" si="55"/>
        <v>.0</v>
      </c>
      <c r="G1146" s="37" t="str">
        <f t="shared" si="56"/>
        <v/>
      </c>
    </row>
    <row r="1147" spans="5:7" x14ac:dyDescent="0.45">
      <c r="E1147" s="32" t="str">
        <f t="shared" si="54"/>
        <v>.0</v>
      </c>
      <c r="F1147" s="32" t="str">
        <f t="shared" si="55"/>
        <v>.0</v>
      </c>
      <c r="G1147" s="37" t="str">
        <f t="shared" si="56"/>
        <v/>
      </c>
    </row>
    <row r="1148" spans="5:7" x14ac:dyDescent="0.45">
      <c r="E1148" s="32" t="str">
        <f t="shared" si="54"/>
        <v>.0</v>
      </c>
      <c r="F1148" s="32" t="str">
        <f t="shared" si="55"/>
        <v>.0</v>
      </c>
      <c r="G1148" s="37" t="str">
        <f t="shared" si="56"/>
        <v/>
      </c>
    </row>
    <row r="1149" spans="5:7" x14ac:dyDescent="0.45">
      <c r="E1149" s="32" t="str">
        <f t="shared" si="54"/>
        <v>.0</v>
      </c>
      <c r="F1149" s="32" t="str">
        <f t="shared" si="55"/>
        <v>.0</v>
      </c>
      <c r="G1149" s="37" t="str">
        <f t="shared" si="56"/>
        <v/>
      </c>
    </row>
    <row r="1150" spans="5:7" x14ac:dyDescent="0.45">
      <c r="E1150" s="32" t="str">
        <f t="shared" si="54"/>
        <v>.0</v>
      </c>
      <c r="F1150" s="32" t="str">
        <f t="shared" si="55"/>
        <v>.0</v>
      </c>
      <c r="G1150" s="37" t="str">
        <f t="shared" si="56"/>
        <v/>
      </c>
    </row>
    <row r="1151" spans="5:7" x14ac:dyDescent="0.45">
      <c r="E1151" s="32" t="str">
        <f t="shared" si="54"/>
        <v>.0</v>
      </c>
      <c r="F1151" s="32" t="str">
        <f t="shared" si="55"/>
        <v>.0</v>
      </c>
      <c r="G1151" s="37" t="str">
        <f t="shared" si="56"/>
        <v/>
      </c>
    </row>
    <row r="1152" spans="5:7" x14ac:dyDescent="0.45">
      <c r="E1152" s="32" t="str">
        <f t="shared" si="54"/>
        <v>.0</v>
      </c>
      <c r="F1152" s="32" t="str">
        <f t="shared" si="55"/>
        <v>.0</v>
      </c>
      <c r="G1152" s="37" t="str">
        <f t="shared" si="56"/>
        <v/>
      </c>
    </row>
    <row r="1153" spans="5:7" x14ac:dyDescent="0.45">
      <c r="E1153" s="32" t="str">
        <f t="shared" si="54"/>
        <v>.0</v>
      </c>
      <c r="F1153" s="32" t="str">
        <f t="shared" si="55"/>
        <v>.0</v>
      </c>
      <c r="G1153" s="37" t="str">
        <f t="shared" si="56"/>
        <v/>
      </c>
    </row>
    <row r="1154" spans="5:7" x14ac:dyDescent="0.45">
      <c r="E1154" s="32" t="str">
        <f t="shared" si="54"/>
        <v>.0</v>
      </c>
      <c r="F1154" s="32" t="str">
        <f t="shared" si="55"/>
        <v>.0</v>
      </c>
      <c r="G1154" s="37" t="str">
        <f t="shared" si="56"/>
        <v/>
      </c>
    </row>
    <row r="1155" spans="5:7" x14ac:dyDescent="0.45">
      <c r="E1155" s="32" t="str">
        <f t="shared" si="54"/>
        <v>.0</v>
      </c>
      <c r="F1155" s="32" t="str">
        <f t="shared" si="55"/>
        <v>.0</v>
      </c>
      <c r="G1155" s="37" t="str">
        <f t="shared" si="56"/>
        <v/>
      </c>
    </row>
    <row r="1156" spans="5:7" x14ac:dyDescent="0.45">
      <c r="E1156" s="32" t="str">
        <f t="shared" si="54"/>
        <v>.0</v>
      </c>
      <c r="F1156" s="32" t="str">
        <f t="shared" si="55"/>
        <v>.0</v>
      </c>
      <c r="G1156" s="37" t="str">
        <f t="shared" si="56"/>
        <v/>
      </c>
    </row>
    <row r="1157" spans="5:7" x14ac:dyDescent="0.45">
      <c r="E1157" s="32" t="str">
        <f t="shared" si="54"/>
        <v>.0</v>
      </c>
      <c r="F1157" s="32" t="str">
        <f t="shared" si="55"/>
        <v>.0</v>
      </c>
      <c r="G1157" s="37" t="str">
        <f t="shared" si="56"/>
        <v/>
      </c>
    </row>
    <row r="1158" spans="5:7" x14ac:dyDescent="0.45">
      <c r="E1158" s="32" t="str">
        <f t="shared" si="54"/>
        <v>.0</v>
      </c>
      <c r="F1158" s="32" t="str">
        <f t="shared" si="55"/>
        <v>.0</v>
      </c>
      <c r="G1158" s="37" t="str">
        <f t="shared" si="56"/>
        <v/>
      </c>
    </row>
    <row r="1159" spans="5:7" x14ac:dyDescent="0.45">
      <c r="E1159" s="32" t="str">
        <f t="shared" si="54"/>
        <v>.0</v>
      </c>
      <c r="F1159" s="32" t="str">
        <f t="shared" si="55"/>
        <v>.0</v>
      </c>
      <c r="G1159" s="37" t="str">
        <f t="shared" si="56"/>
        <v/>
      </c>
    </row>
    <row r="1160" spans="5:7" x14ac:dyDescent="0.45">
      <c r="E1160" s="32" t="str">
        <f t="shared" si="54"/>
        <v>.0</v>
      </c>
      <c r="F1160" s="32" t="str">
        <f t="shared" si="55"/>
        <v>.0</v>
      </c>
      <c r="G1160" s="37" t="str">
        <f t="shared" si="56"/>
        <v/>
      </c>
    </row>
    <row r="1161" spans="5:7" x14ac:dyDescent="0.45">
      <c r="E1161" s="32" t="str">
        <f t="shared" si="54"/>
        <v>.0</v>
      </c>
      <c r="F1161" s="32" t="str">
        <f t="shared" si="55"/>
        <v>.0</v>
      </c>
      <c r="G1161" s="37" t="str">
        <f t="shared" si="56"/>
        <v/>
      </c>
    </row>
    <row r="1162" spans="5:7" x14ac:dyDescent="0.45">
      <c r="E1162" s="32" t="str">
        <f t="shared" si="54"/>
        <v>.0</v>
      </c>
      <c r="F1162" s="32" t="str">
        <f t="shared" si="55"/>
        <v>.0</v>
      </c>
      <c r="G1162" s="37" t="str">
        <f t="shared" si="56"/>
        <v/>
      </c>
    </row>
    <row r="1163" spans="5:7" x14ac:dyDescent="0.45">
      <c r="E1163" s="32" t="str">
        <f t="shared" si="54"/>
        <v>.0</v>
      </c>
      <c r="F1163" s="32" t="str">
        <f t="shared" si="55"/>
        <v>.0</v>
      </c>
      <c r="G1163" s="37" t="str">
        <f t="shared" si="56"/>
        <v/>
      </c>
    </row>
    <row r="1164" spans="5:7" x14ac:dyDescent="0.45">
      <c r="E1164" s="32" t="str">
        <f t="shared" si="54"/>
        <v>.0</v>
      </c>
      <c r="F1164" s="32" t="str">
        <f t="shared" si="55"/>
        <v>.0</v>
      </c>
      <c r="G1164" s="37" t="str">
        <f t="shared" si="56"/>
        <v/>
      </c>
    </row>
    <row r="1165" spans="5:7" x14ac:dyDescent="0.45">
      <c r="E1165" s="32" t="str">
        <f t="shared" si="54"/>
        <v>.0</v>
      </c>
      <c r="F1165" s="32" t="str">
        <f t="shared" si="55"/>
        <v>.0</v>
      </c>
      <c r="G1165" s="37" t="str">
        <f t="shared" si="56"/>
        <v/>
      </c>
    </row>
    <row r="1166" spans="5:7" x14ac:dyDescent="0.45">
      <c r="E1166" s="32" t="str">
        <f t="shared" si="54"/>
        <v>.0</v>
      </c>
      <c r="F1166" s="32" t="str">
        <f t="shared" si="55"/>
        <v>.0</v>
      </c>
      <c r="G1166" s="37" t="str">
        <f t="shared" si="56"/>
        <v/>
      </c>
    </row>
    <row r="1167" spans="5:7" x14ac:dyDescent="0.45">
      <c r="E1167" s="32" t="str">
        <f t="shared" si="54"/>
        <v>.0</v>
      </c>
      <c r="F1167" s="32" t="str">
        <f t="shared" si="55"/>
        <v>.0</v>
      </c>
      <c r="G1167" s="37" t="str">
        <f t="shared" si="56"/>
        <v/>
      </c>
    </row>
    <row r="1168" spans="5:7" x14ac:dyDescent="0.45">
      <c r="E1168" s="32" t="str">
        <f t="shared" si="54"/>
        <v>.0</v>
      </c>
      <c r="F1168" s="32" t="str">
        <f t="shared" si="55"/>
        <v>.0</v>
      </c>
      <c r="G1168" s="37" t="str">
        <f t="shared" si="56"/>
        <v/>
      </c>
    </row>
    <row r="1169" spans="5:7" x14ac:dyDescent="0.45">
      <c r="E1169" s="32" t="str">
        <f t="shared" si="54"/>
        <v>.0</v>
      </c>
      <c r="F1169" s="32" t="str">
        <f t="shared" si="55"/>
        <v>.0</v>
      </c>
      <c r="G1169" s="37" t="str">
        <f t="shared" si="56"/>
        <v/>
      </c>
    </row>
    <row r="1170" spans="5:7" x14ac:dyDescent="0.45">
      <c r="E1170" s="32" t="str">
        <f t="shared" si="54"/>
        <v>.0</v>
      </c>
      <c r="F1170" s="32" t="str">
        <f t="shared" si="55"/>
        <v>.0</v>
      </c>
      <c r="G1170" s="37" t="str">
        <f t="shared" si="56"/>
        <v/>
      </c>
    </row>
    <row r="1171" spans="5:7" x14ac:dyDescent="0.45">
      <c r="E1171" s="32" t="str">
        <f t="shared" si="54"/>
        <v>.0</v>
      </c>
      <c r="F1171" s="32" t="str">
        <f t="shared" si="55"/>
        <v>.0</v>
      </c>
      <c r="G1171" s="37" t="str">
        <f t="shared" si="56"/>
        <v/>
      </c>
    </row>
    <row r="1172" spans="5:7" x14ac:dyDescent="0.45">
      <c r="E1172" s="32" t="str">
        <f t="shared" si="54"/>
        <v>.0</v>
      </c>
      <c r="F1172" s="32" t="str">
        <f t="shared" si="55"/>
        <v>.0</v>
      </c>
      <c r="G1172" s="37" t="str">
        <f t="shared" si="56"/>
        <v/>
      </c>
    </row>
    <row r="1173" spans="5:7" x14ac:dyDescent="0.45">
      <c r="E1173" s="32" t="str">
        <f t="shared" si="54"/>
        <v>.0</v>
      </c>
      <c r="F1173" s="32" t="str">
        <f t="shared" si="55"/>
        <v>.0</v>
      </c>
      <c r="G1173" s="37" t="str">
        <f t="shared" si="56"/>
        <v/>
      </c>
    </row>
    <row r="1174" spans="5:7" x14ac:dyDescent="0.45">
      <c r="E1174" s="32" t="str">
        <f t="shared" si="54"/>
        <v>.0</v>
      </c>
      <c r="F1174" s="32" t="str">
        <f t="shared" si="55"/>
        <v>.0</v>
      </c>
      <c r="G1174" s="37" t="str">
        <f t="shared" si="56"/>
        <v/>
      </c>
    </row>
    <row r="1175" spans="5:7" x14ac:dyDescent="0.45">
      <c r="E1175" s="32" t="str">
        <f t="shared" si="54"/>
        <v>.0</v>
      </c>
      <c r="F1175" s="32" t="str">
        <f t="shared" si="55"/>
        <v>.0</v>
      </c>
      <c r="G1175" s="37" t="str">
        <f t="shared" si="56"/>
        <v/>
      </c>
    </row>
    <row r="1176" spans="5:7" x14ac:dyDescent="0.45">
      <c r="E1176" s="32" t="str">
        <f t="shared" si="54"/>
        <v>.0</v>
      </c>
      <c r="F1176" s="32" t="str">
        <f t="shared" si="55"/>
        <v>.0</v>
      </c>
      <c r="G1176" s="37" t="str">
        <f t="shared" si="56"/>
        <v/>
      </c>
    </row>
    <row r="1177" spans="5:7" x14ac:dyDescent="0.45">
      <c r="E1177" s="32" t="str">
        <f t="shared" si="54"/>
        <v>.0</v>
      </c>
      <c r="F1177" s="32" t="str">
        <f t="shared" si="55"/>
        <v>.0</v>
      </c>
      <c r="G1177" s="37" t="str">
        <f t="shared" si="56"/>
        <v/>
      </c>
    </row>
    <row r="1178" spans="5:7" x14ac:dyDescent="0.45">
      <c r="E1178" s="32" t="str">
        <f t="shared" si="54"/>
        <v>.0</v>
      </c>
      <c r="F1178" s="32" t="str">
        <f t="shared" si="55"/>
        <v>.0</v>
      </c>
      <c r="G1178" s="37" t="str">
        <f t="shared" si="56"/>
        <v/>
      </c>
    </row>
    <row r="1179" spans="5:7" x14ac:dyDescent="0.45">
      <c r="E1179" s="32" t="str">
        <f t="shared" si="54"/>
        <v>.0</v>
      </c>
      <c r="F1179" s="32" t="str">
        <f t="shared" si="55"/>
        <v>.0</v>
      </c>
      <c r="G1179" s="37" t="str">
        <f t="shared" si="56"/>
        <v/>
      </c>
    </row>
    <row r="1180" spans="5:7" x14ac:dyDescent="0.45">
      <c r="E1180" s="32" t="str">
        <f t="shared" si="54"/>
        <v>.0</v>
      </c>
      <c r="F1180" s="32" t="str">
        <f t="shared" si="55"/>
        <v>.0</v>
      </c>
      <c r="G1180" s="37" t="str">
        <f t="shared" si="56"/>
        <v/>
      </c>
    </row>
    <row r="1181" spans="5:7" x14ac:dyDescent="0.45">
      <c r="E1181" s="32" t="str">
        <f t="shared" si="54"/>
        <v>.0</v>
      </c>
      <c r="F1181" s="32" t="str">
        <f t="shared" si="55"/>
        <v>.0</v>
      </c>
      <c r="G1181" s="37" t="str">
        <f t="shared" si="56"/>
        <v/>
      </c>
    </row>
    <row r="1182" spans="5:7" x14ac:dyDescent="0.45">
      <c r="E1182" s="32" t="str">
        <f t="shared" ref="E1182:E1245" si="57">MID(B1182,3,2)&amp;"."&amp;IF(C1182&lt;10,"0"&amp;C1182,C1182)</f>
        <v>.0</v>
      </c>
      <c r="F1182" s="32" t="str">
        <f t="shared" ref="F1182:F1245" si="58">MID(B1182,3,2)&amp;"."&amp;IF(C1182&lt;10,"0"&amp;C1182,C1182)</f>
        <v>.0</v>
      </c>
      <c r="G1182" s="37" t="str">
        <f t="shared" ref="G1182:G1245" si="59">TEXT(D1182,"#,###,")</f>
        <v/>
      </c>
    </row>
    <row r="1183" spans="5:7" x14ac:dyDescent="0.45">
      <c r="E1183" s="32" t="str">
        <f t="shared" si="57"/>
        <v>.0</v>
      </c>
      <c r="F1183" s="32" t="str">
        <f t="shared" si="58"/>
        <v>.0</v>
      </c>
      <c r="G1183" s="37" t="str">
        <f t="shared" si="59"/>
        <v/>
      </c>
    </row>
    <row r="1184" spans="5:7" x14ac:dyDescent="0.45">
      <c r="E1184" s="32" t="str">
        <f t="shared" si="57"/>
        <v>.0</v>
      </c>
      <c r="F1184" s="32" t="str">
        <f t="shared" si="58"/>
        <v>.0</v>
      </c>
      <c r="G1184" s="37" t="str">
        <f t="shared" si="59"/>
        <v/>
      </c>
    </row>
    <row r="1185" spans="5:7" x14ac:dyDescent="0.45">
      <c r="E1185" s="32" t="str">
        <f t="shared" si="57"/>
        <v>.0</v>
      </c>
      <c r="F1185" s="32" t="str">
        <f t="shared" si="58"/>
        <v>.0</v>
      </c>
      <c r="G1185" s="37" t="str">
        <f t="shared" si="59"/>
        <v/>
      </c>
    </row>
    <row r="1186" spans="5:7" x14ac:dyDescent="0.45">
      <c r="E1186" s="32" t="str">
        <f t="shared" si="57"/>
        <v>.0</v>
      </c>
      <c r="F1186" s="32" t="str">
        <f t="shared" si="58"/>
        <v>.0</v>
      </c>
      <c r="G1186" s="37" t="str">
        <f t="shared" si="59"/>
        <v/>
      </c>
    </row>
    <row r="1187" spans="5:7" x14ac:dyDescent="0.45">
      <c r="E1187" s="32" t="str">
        <f t="shared" si="57"/>
        <v>.0</v>
      </c>
      <c r="F1187" s="32" t="str">
        <f t="shared" si="58"/>
        <v>.0</v>
      </c>
      <c r="G1187" s="37" t="str">
        <f t="shared" si="59"/>
        <v/>
      </c>
    </row>
    <row r="1188" spans="5:7" x14ac:dyDescent="0.45">
      <c r="E1188" s="32" t="str">
        <f t="shared" si="57"/>
        <v>.0</v>
      </c>
      <c r="F1188" s="32" t="str">
        <f t="shared" si="58"/>
        <v>.0</v>
      </c>
      <c r="G1188" s="37" t="str">
        <f t="shared" si="59"/>
        <v/>
      </c>
    </row>
    <row r="1189" spans="5:7" x14ac:dyDescent="0.45">
      <c r="E1189" s="32" t="str">
        <f t="shared" si="57"/>
        <v>.0</v>
      </c>
      <c r="F1189" s="32" t="str">
        <f t="shared" si="58"/>
        <v>.0</v>
      </c>
      <c r="G1189" s="37" t="str">
        <f t="shared" si="59"/>
        <v/>
      </c>
    </row>
    <row r="1190" spans="5:7" x14ac:dyDescent="0.45">
      <c r="E1190" s="32" t="str">
        <f t="shared" si="57"/>
        <v>.0</v>
      </c>
      <c r="F1190" s="32" t="str">
        <f t="shared" si="58"/>
        <v>.0</v>
      </c>
      <c r="G1190" s="37" t="str">
        <f t="shared" si="59"/>
        <v/>
      </c>
    </row>
    <row r="1191" spans="5:7" x14ac:dyDescent="0.45">
      <c r="E1191" s="32" t="str">
        <f t="shared" si="57"/>
        <v>.0</v>
      </c>
      <c r="F1191" s="32" t="str">
        <f t="shared" si="58"/>
        <v>.0</v>
      </c>
      <c r="G1191" s="37" t="str">
        <f t="shared" si="59"/>
        <v/>
      </c>
    </row>
    <row r="1192" spans="5:7" x14ac:dyDescent="0.45">
      <c r="E1192" s="32" t="str">
        <f t="shared" si="57"/>
        <v>.0</v>
      </c>
      <c r="F1192" s="32" t="str">
        <f t="shared" si="58"/>
        <v>.0</v>
      </c>
      <c r="G1192" s="37" t="str">
        <f t="shared" si="59"/>
        <v/>
      </c>
    </row>
    <row r="1193" spans="5:7" x14ac:dyDescent="0.45">
      <c r="E1193" s="32" t="str">
        <f t="shared" si="57"/>
        <v>.0</v>
      </c>
      <c r="F1193" s="32" t="str">
        <f t="shared" si="58"/>
        <v>.0</v>
      </c>
      <c r="G1193" s="37" t="str">
        <f t="shared" si="59"/>
        <v/>
      </c>
    </row>
    <row r="1194" spans="5:7" x14ac:dyDescent="0.45">
      <c r="E1194" s="32" t="str">
        <f t="shared" si="57"/>
        <v>.0</v>
      </c>
      <c r="F1194" s="32" t="str">
        <f t="shared" si="58"/>
        <v>.0</v>
      </c>
      <c r="G1194" s="37" t="str">
        <f t="shared" si="59"/>
        <v/>
      </c>
    </row>
    <row r="1195" spans="5:7" x14ac:dyDescent="0.45">
      <c r="E1195" s="32" t="str">
        <f t="shared" si="57"/>
        <v>.0</v>
      </c>
      <c r="F1195" s="32" t="str">
        <f t="shared" si="58"/>
        <v>.0</v>
      </c>
      <c r="G1195" s="37" t="str">
        <f t="shared" si="59"/>
        <v/>
      </c>
    </row>
    <row r="1196" spans="5:7" x14ac:dyDescent="0.45">
      <c r="E1196" s="32" t="str">
        <f t="shared" si="57"/>
        <v>.0</v>
      </c>
      <c r="F1196" s="32" t="str">
        <f t="shared" si="58"/>
        <v>.0</v>
      </c>
      <c r="G1196" s="37" t="str">
        <f t="shared" si="59"/>
        <v/>
      </c>
    </row>
    <row r="1197" spans="5:7" x14ac:dyDescent="0.45">
      <c r="E1197" s="32" t="str">
        <f t="shared" si="57"/>
        <v>.0</v>
      </c>
      <c r="F1197" s="32" t="str">
        <f t="shared" si="58"/>
        <v>.0</v>
      </c>
      <c r="G1197" s="37" t="str">
        <f t="shared" si="59"/>
        <v/>
      </c>
    </row>
    <row r="1198" spans="5:7" x14ac:dyDescent="0.45">
      <c r="E1198" s="32" t="str">
        <f t="shared" si="57"/>
        <v>.0</v>
      </c>
      <c r="F1198" s="32" t="str">
        <f t="shared" si="58"/>
        <v>.0</v>
      </c>
      <c r="G1198" s="37" t="str">
        <f t="shared" si="59"/>
        <v/>
      </c>
    </row>
    <row r="1199" spans="5:7" x14ac:dyDescent="0.45">
      <c r="E1199" s="32" t="str">
        <f t="shared" si="57"/>
        <v>.0</v>
      </c>
      <c r="F1199" s="32" t="str">
        <f t="shared" si="58"/>
        <v>.0</v>
      </c>
      <c r="G1199" s="37" t="str">
        <f t="shared" si="59"/>
        <v/>
      </c>
    </row>
    <row r="1200" spans="5:7" x14ac:dyDescent="0.45">
      <c r="E1200" s="32" t="str">
        <f t="shared" si="57"/>
        <v>.0</v>
      </c>
      <c r="F1200" s="32" t="str">
        <f t="shared" si="58"/>
        <v>.0</v>
      </c>
      <c r="G1200" s="37" t="str">
        <f t="shared" si="59"/>
        <v/>
      </c>
    </row>
    <row r="1201" spans="5:7" x14ac:dyDescent="0.45">
      <c r="E1201" s="32" t="str">
        <f t="shared" si="57"/>
        <v>.0</v>
      </c>
      <c r="F1201" s="32" t="str">
        <f t="shared" si="58"/>
        <v>.0</v>
      </c>
      <c r="G1201" s="37" t="str">
        <f t="shared" si="59"/>
        <v/>
      </c>
    </row>
    <row r="1202" spans="5:7" x14ac:dyDescent="0.45">
      <c r="E1202" s="32" t="str">
        <f t="shared" si="57"/>
        <v>.0</v>
      </c>
      <c r="F1202" s="32" t="str">
        <f t="shared" si="58"/>
        <v>.0</v>
      </c>
      <c r="G1202" s="37" t="str">
        <f t="shared" si="59"/>
        <v/>
      </c>
    </row>
    <row r="1203" spans="5:7" x14ac:dyDescent="0.45">
      <c r="E1203" s="32" t="str">
        <f t="shared" si="57"/>
        <v>.0</v>
      </c>
      <c r="F1203" s="32" t="str">
        <f t="shared" si="58"/>
        <v>.0</v>
      </c>
      <c r="G1203" s="37" t="str">
        <f t="shared" si="59"/>
        <v/>
      </c>
    </row>
    <row r="1204" spans="5:7" x14ac:dyDescent="0.45">
      <c r="E1204" s="32" t="str">
        <f t="shared" si="57"/>
        <v>.0</v>
      </c>
      <c r="F1204" s="32" t="str">
        <f t="shared" si="58"/>
        <v>.0</v>
      </c>
      <c r="G1204" s="37" t="str">
        <f t="shared" si="59"/>
        <v/>
      </c>
    </row>
    <row r="1205" spans="5:7" x14ac:dyDescent="0.45">
      <c r="E1205" s="32" t="str">
        <f t="shared" si="57"/>
        <v>.0</v>
      </c>
      <c r="F1205" s="32" t="str">
        <f t="shared" si="58"/>
        <v>.0</v>
      </c>
      <c r="G1205" s="37" t="str">
        <f t="shared" si="59"/>
        <v/>
      </c>
    </row>
    <row r="1206" spans="5:7" x14ac:dyDescent="0.45">
      <c r="E1206" s="32" t="str">
        <f t="shared" si="57"/>
        <v>.0</v>
      </c>
      <c r="F1206" s="32" t="str">
        <f t="shared" si="58"/>
        <v>.0</v>
      </c>
      <c r="G1206" s="37" t="str">
        <f t="shared" si="59"/>
        <v/>
      </c>
    </row>
    <row r="1207" spans="5:7" x14ac:dyDescent="0.45">
      <c r="E1207" s="32" t="str">
        <f t="shared" si="57"/>
        <v>.0</v>
      </c>
      <c r="F1207" s="32" t="str">
        <f t="shared" si="58"/>
        <v>.0</v>
      </c>
      <c r="G1207" s="37" t="str">
        <f t="shared" si="59"/>
        <v/>
      </c>
    </row>
    <row r="1208" spans="5:7" x14ac:dyDescent="0.45">
      <c r="E1208" s="32" t="str">
        <f t="shared" si="57"/>
        <v>.0</v>
      </c>
      <c r="F1208" s="32" t="str">
        <f t="shared" si="58"/>
        <v>.0</v>
      </c>
      <c r="G1208" s="37" t="str">
        <f t="shared" si="59"/>
        <v/>
      </c>
    </row>
    <row r="1209" spans="5:7" x14ac:dyDescent="0.45">
      <c r="E1209" s="32" t="str">
        <f t="shared" si="57"/>
        <v>.0</v>
      </c>
      <c r="F1209" s="32" t="str">
        <f t="shared" si="58"/>
        <v>.0</v>
      </c>
      <c r="G1209" s="37" t="str">
        <f t="shared" si="59"/>
        <v/>
      </c>
    </row>
    <row r="1210" spans="5:7" x14ac:dyDescent="0.45">
      <c r="E1210" s="32" t="str">
        <f t="shared" si="57"/>
        <v>.0</v>
      </c>
      <c r="F1210" s="32" t="str">
        <f t="shared" si="58"/>
        <v>.0</v>
      </c>
      <c r="G1210" s="37" t="str">
        <f t="shared" si="59"/>
        <v/>
      </c>
    </row>
    <row r="1211" spans="5:7" x14ac:dyDescent="0.45">
      <c r="E1211" s="32" t="str">
        <f t="shared" si="57"/>
        <v>.0</v>
      </c>
      <c r="F1211" s="32" t="str">
        <f t="shared" si="58"/>
        <v>.0</v>
      </c>
      <c r="G1211" s="37" t="str">
        <f t="shared" si="59"/>
        <v/>
      </c>
    </row>
    <row r="1212" spans="5:7" x14ac:dyDescent="0.45">
      <c r="E1212" s="32" t="str">
        <f t="shared" si="57"/>
        <v>.0</v>
      </c>
      <c r="F1212" s="32" t="str">
        <f t="shared" si="58"/>
        <v>.0</v>
      </c>
      <c r="G1212" s="37" t="str">
        <f t="shared" si="59"/>
        <v/>
      </c>
    </row>
    <row r="1213" spans="5:7" x14ac:dyDescent="0.45">
      <c r="E1213" s="32" t="str">
        <f t="shared" si="57"/>
        <v>.0</v>
      </c>
      <c r="F1213" s="32" t="str">
        <f t="shared" si="58"/>
        <v>.0</v>
      </c>
      <c r="G1213" s="37" t="str">
        <f t="shared" si="59"/>
        <v/>
      </c>
    </row>
    <row r="1214" spans="5:7" x14ac:dyDescent="0.45">
      <c r="E1214" s="32" t="str">
        <f t="shared" si="57"/>
        <v>.0</v>
      </c>
      <c r="F1214" s="32" t="str">
        <f t="shared" si="58"/>
        <v>.0</v>
      </c>
      <c r="G1214" s="37" t="str">
        <f t="shared" si="59"/>
        <v/>
      </c>
    </row>
    <row r="1215" spans="5:7" x14ac:dyDescent="0.45">
      <c r="E1215" s="32" t="str">
        <f t="shared" si="57"/>
        <v>.0</v>
      </c>
      <c r="F1215" s="32" t="str">
        <f t="shared" si="58"/>
        <v>.0</v>
      </c>
      <c r="G1215" s="37" t="str">
        <f t="shared" si="59"/>
        <v/>
      </c>
    </row>
    <row r="1216" spans="5:7" x14ac:dyDescent="0.45">
      <c r="E1216" s="32" t="str">
        <f t="shared" si="57"/>
        <v>.0</v>
      </c>
      <c r="F1216" s="32" t="str">
        <f t="shared" si="58"/>
        <v>.0</v>
      </c>
      <c r="G1216" s="37" t="str">
        <f t="shared" si="59"/>
        <v/>
      </c>
    </row>
    <row r="1217" spans="5:7" x14ac:dyDescent="0.45">
      <c r="E1217" s="32" t="str">
        <f t="shared" si="57"/>
        <v>.0</v>
      </c>
      <c r="F1217" s="32" t="str">
        <f t="shared" si="58"/>
        <v>.0</v>
      </c>
      <c r="G1217" s="37" t="str">
        <f t="shared" si="59"/>
        <v/>
      </c>
    </row>
    <row r="1218" spans="5:7" x14ac:dyDescent="0.45">
      <c r="E1218" s="32" t="str">
        <f t="shared" si="57"/>
        <v>.0</v>
      </c>
      <c r="F1218" s="32" t="str">
        <f t="shared" si="58"/>
        <v>.0</v>
      </c>
      <c r="G1218" s="37" t="str">
        <f t="shared" si="59"/>
        <v/>
      </c>
    </row>
    <row r="1219" spans="5:7" x14ac:dyDescent="0.45">
      <c r="E1219" s="32" t="str">
        <f t="shared" si="57"/>
        <v>.0</v>
      </c>
      <c r="F1219" s="32" t="str">
        <f t="shared" si="58"/>
        <v>.0</v>
      </c>
      <c r="G1219" s="37" t="str">
        <f t="shared" si="59"/>
        <v/>
      </c>
    </row>
    <row r="1220" spans="5:7" x14ac:dyDescent="0.45">
      <c r="E1220" s="32" t="str">
        <f t="shared" si="57"/>
        <v>.0</v>
      </c>
      <c r="F1220" s="32" t="str">
        <f t="shared" si="58"/>
        <v>.0</v>
      </c>
      <c r="G1220" s="37" t="str">
        <f t="shared" si="59"/>
        <v/>
      </c>
    </row>
    <row r="1221" spans="5:7" x14ac:dyDescent="0.45">
      <c r="E1221" s="32" t="str">
        <f t="shared" si="57"/>
        <v>.0</v>
      </c>
      <c r="F1221" s="32" t="str">
        <f t="shared" si="58"/>
        <v>.0</v>
      </c>
      <c r="G1221" s="37" t="str">
        <f t="shared" si="59"/>
        <v/>
      </c>
    </row>
    <row r="1222" spans="5:7" x14ac:dyDescent="0.45">
      <c r="E1222" s="32" t="str">
        <f t="shared" si="57"/>
        <v>.0</v>
      </c>
      <c r="F1222" s="32" t="str">
        <f t="shared" si="58"/>
        <v>.0</v>
      </c>
      <c r="G1222" s="37" t="str">
        <f t="shared" si="59"/>
        <v/>
      </c>
    </row>
    <row r="1223" spans="5:7" x14ac:dyDescent="0.45">
      <c r="E1223" s="32" t="str">
        <f t="shared" si="57"/>
        <v>.0</v>
      </c>
      <c r="F1223" s="32" t="str">
        <f t="shared" si="58"/>
        <v>.0</v>
      </c>
      <c r="G1223" s="37" t="str">
        <f t="shared" si="59"/>
        <v/>
      </c>
    </row>
    <row r="1224" spans="5:7" x14ac:dyDescent="0.45">
      <c r="E1224" s="32" t="str">
        <f t="shared" si="57"/>
        <v>.0</v>
      </c>
      <c r="F1224" s="32" t="str">
        <f t="shared" si="58"/>
        <v>.0</v>
      </c>
      <c r="G1224" s="37" t="str">
        <f t="shared" si="59"/>
        <v/>
      </c>
    </row>
    <row r="1225" spans="5:7" x14ac:dyDescent="0.45">
      <c r="E1225" s="32" t="str">
        <f t="shared" si="57"/>
        <v>.0</v>
      </c>
      <c r="F1225" s="32" t="str">
        <f t="shared" si="58"/>
        <v>.0</v>
      </c>
      <c r="G1225" s="37" t="str">
        <f t="shared" si="59"/>
        <v/>
      </c>
    </row>
    <row r="1226" spans="5:7" x14ac:dyDescent="0.45">
      <c r="E1226" s="32" t="str">
        <f t="shared" si="57"/>
        <v>.0</v>
      </c>
      <c r="F1226" s="32" t="str">
        <f t="shared" si="58"/>
        <v>.0</v>
      </c>
      <c r="G1226" s="37" t="str">
        <f t="shared" si="59"/>
        <v/>
      </c>
    </row>
    <row r="1227" spans="5:7" x14ac:dyDescent="0.45">
      <c r="E1227" s="32" t="str">
        <f t="shared" si="57"/>
        <v>.0</v>
      </c>
      <c r="F1227" s="32" t="str">
        <f t="shared" si="58"/>
        <v>.0</v>
      </c>
      <c r="G1227" s="37" t="str">
        <f t="shared" si="59"/>
        <v/>
      </c>
    </row>
    <row r="1228" spans="5:7" x14ac:dyDescent="0.45">
      <c r="E1228" s="32" t="str">
        <f t="shared" si="57"/>
        <v>.0</v>
      </c>
      <c r="F1228" s="32" t="str">
        <f t="shared" si="58"/>
        <v>.0</v>
      </c>
      <c r="G1228" s="37" t="str">
        <f t="shared" si="59"/>
        <v/>
      </c>
    </row>
    <row r="1229" spans="5:7" x14ac:dyDescent="0.45">
      <c r="E1229" s="32" t="str">
        <f t="shared" si="57"/>
        <v>.0</v>
      </c>
      <c r="F1229" s="32" t="str">
        <f t="shared" si="58"/>
        <v>.0</v>
      </c>
      <c r="G1229" s="37" t="str">
        <f t="shared" si="59"/>
        <v/>
      </c>
    </row>
    <row r="1230" spans="5:7" x14ac:dyDescent="0.45">
      <c r="E1230" s="32" t="str">
        <f t="shared" si="57"/>
        <v>.0</v>
      </c>
      <c r="F1230" s="32" t="str">
        <f t="shared" si="58"/>
        <v>.0</v>
      </c>
      <c r="G1230" s="37" t="str">
        <f t="shared" si="59"/>
        <v/>
      </c>
    </row>
    <row r="1231" spans="5:7" x14ac:dyDescent="0.45">
      <c r="E1231" s="32" t="str">
        <f t="shared" si="57"/>
        <v>.0</v>
      </c>
      <c r="F1231" s="32" t="str">
        <f t="shared" si="58"/>
        <v>.0</v>
      </c>
      <c r="G1231" s="37" t="str">
        <f t="shared" si="59"/>
        <v/>
      </c>
    </row>
    <row r="1232" spans="5:7" x14ac:dyDescent="0.45">
      <c r="E1232" s="32" t="str">
        <f t="shared" si="57"/>
        <v>.0</v>
      </c>
      <c r="F1232" s="32" t="str">
        <f t="shared" si="58"/>
        <v>.0</v>
      </c>
      <c r="G1232" s="37" t="str">
        <f t="shared" si="59"/>
        <v/>
      </c>
    </row>
    <row r="1233" spans="5:7" x14ac:dyDescent="0.45">
      <c r="E1233" s="32" t="str">
        <f t="shared" si="57"/>
        <v>.0</v>
      </c>
      <c r="F1233" s="32" t="str">
        <f t="shared" si="58"/>
        <v>.0</v>
      </c>
      <c r="G1233" s="37" t="str">
        <f t="shared" si="59"/>
        <v/>
      </c>
    </row>
    <row r="1234" spans="5:7" x14ac:dyDescent="0.45">
      <c r="E1234" s="32" t="str">
        <f t="shared" si="57"/>
        <v>.0</v>
      </c>
      <c r="F1234" s="32" t="str">
        <f t="shared" si="58"/>
        <v>.0</v>
      </c>
      <c r="G1234" s="37" t="str">
        <f t="shared" si="59"/>
        <v/>
      </c>
    </row>
    <row r="1235" spans="5:7" x14ac:dyDescent="0.45">
      <c r="E1235" s="32" t="str">
        <f t="shared" si="57"/>
        <v>.0</v>
      </c>
      <c r="F1235" s="32" t="str">
        <f t="shared" si="58"/>
        <v>.0</v>
      </c>
      <c r="G1235" s="37" t="str">
        <f t="shared" si="59"/>
        <v/>
      </c>
    </row>
    <row r="1236" spans="5:7" x14ac:dyDescent="0.45">
      <c r="E1236" s="32" t="str">
        <f t="shared" si="57"/>
        <v>.0</v>
      </c>
      <c r="F1236" s="32" t="str">
        <f t="shared" si="58"/>
        <v>.0</v>
      </c>
      <c r="G1236" s="37" t="str">
        <f t="shared" si="59"/>
        <v/>
      </c>
    </row>
    <row r="1237" spans="5:7" x14ac:dyDescent="0.45">
      <c r="E1237" s="32" t="str">
        <f t="shared" si="57"/>
        <v>.0</v>
      </c>
      <c r="F1237" s="32" t="str">
        <f t="shared" si="58"/>
        <v>.0</v>
      </c>
      <c r="G1237" s="37" t="str">
        <f t="shared" si="59"/>
        <v/>
      </c>
    </row>
    <row r="1238" spans="5:7" x14ac:dyDescent="0.45">
      <c r="E1238" s="32" t="str">
        <f t="shared" si="57"/>
        <v>.0</v>
      </c>
      <c r="F1238" s="32" t="str">
        <f t="shared" si="58"/>
        <v>.0</v>
      </c>
      <c r="G1238" s="37" t="str">
        <f t="shared" si="59"/>
        <v/>
      </c>
    </row>
    <row r="1239" spans="5:7" x14ac:dyDescent="0.45">
      <c r="E1239" s="32" t="str">
        <f t="shared" si="57"/>
        <v>.0</v>
      </c>
      <c r="F1239" s="32" t="str">
        <f t="shared" si="58"/>
        <v>.0</v>
      </c>
      <c r="G1239" s="37" t="str">
        <f t="shared" si="59"/>
        <v/>
      </c>
    </row>
    <row r="1240" spans="5:7" x14ac:dyDescent="0.45">
      <c r="E1240" s="32" t="str">
        <f t="shared" si="57"/>
        <v>.0</v>
      </c>
      <c r="F1240" s="32" t="str">
        <f t="shared" si="58"/>
        <v>.0</v>
      </c>
      <c r="G1240" s="37" t="str">
        <f t="shared" si="59"/>
        <v/>
      </c>
    </row>
    <row r="1241" spans="5:7" x14ac:dyDescent="0.45">
      <c r="E1241" s="32" t="str">
        <f t="shared" si="57"/>
        <v>.0</v>
      </c>
      <c r="F1241" s="32" t="str">
        <f t="shared" si="58"/>
        <v>.0</v>
      </c>
      <c r="G1241" s="37" t="str">
        <f t="shared" si="59"/>
        <v/>
      </c>
    </row>
    <row r="1242" spans="5:7" x14ac:dyDescent="0.45">
      <c r="E1242" s="32" t="str">
        <f t="shared" si="57"/>
        <v>.0</v>
      </c>
      <c r="F1242" s="32" t="str">
        <f t="shared" si="58"/>
        <v>.0</v>
      </c>
      <c r="G1242" s="37" t="str">
        <f t="shared" si="59"/>
        <v/>
      </c>
    </row>
    <row r="1243" spans="5:7" x14ac:dyDescent="0.45">
      <c r="E1243" s="32" t="str">
        <f t="shared" si="57"/>
        <v>.0</v>
      </c>
      <c r="F1243" s="32" t="str">
        <f t="shared" si="58"/>
        <v>.0</v>
      </c>
      <c r="G1243" s="37" t="str">
        <f t="shared" si="59"/>
        <v/>
      </c>
    </row>
    <row r="1244" spans="5:7" x14ac:dyDescent="0.45">
      <c r="E1244" s="32" t="str">
        <f t="shared" si="57"/>
        <v>.0</v>
      </c>
      <c r="F1244" s="32" t="str">
        <f t="shared" si="58"/>
        <v>.0</v>
      </c>
      <c r="G1244" s="37" t="str">
        <f t="shared" si="59"/>
        <v/>
      </c>
    </row>
    <row r="1245" spans="5:7" x14ac:dyDescent="0.45">
      <c r="E1245" s="32" t="str">
        <f t="shared" si="57"/>
        <v>.0</v>
      </c>
      <c r="F1245" s="32" t="str">
        <f t="shared" si="58"/>
        <v>.0</v>
      </c>
      <c r="G1245" s="37" t="str">
        <f t="shared" si="59"/>
        <v/>
      </c>
    </row>
    <row r="1246" spans="5:7" x14ac:dyDescent="0.45">
      <c r="E1246" s="32" t="str">
        <f t="shared" ref="E1246:E1309" si="60">MID(B1246,3,2)&amp;"."&amp;IF(C1246&lt;10,"0"&amp;C1246,C1246)</f>
        <v>.0</v>
      </c>
      <c r="F1246" s="32" t="str">
        <f t="shared" ref="F1246:F1309" si="61">MID(B1246,3,2)&amp;"."&amp;IF(C1246&lt;10,"0"&amp;C1246,C1246)</f>
        <v>.0</v>
      </c>
      <c r="G1246" s="37" t="str">
        <f t="shared" ref="G1246:G1309" si="62">TEXT(D1246,"#,###,")</f>
        <v/>
      </c>
    </row>
    <row r="1247" spans="5:7" x14ac:dyDescent="0.45">
      <c r="E1247" s="32" t="str">
        <f t="shared" si="60"/>
        <v>.0</v>
      </c>
      <c r="F1247" s="32" t="str">
        <f t="shared" si="61"/>
        <v>.0</v>
      </c>
      <c r="G1247" s="37" t="str">
        <f t="shared" si="62"/>
        <v/>
      </c>
    </row>
    <row r="1248" spans="5:7" x14ac:dyDescent="0.45">
      <c r="E1248" s="32" t="str">
        <f t="shared" si="60"/>
        <v>.0</v>
      </c>
      <c r="F1248" s="32" t="str">
        <f t="shared" si="61"/>
        <v>.0</v>
      </c>
      <c r="G1248" s="37" t="str">
        <f t="shared" si="62"/>
        <v/>
      </c>
    </row>
    <row r="1249" spans="5:7" x14ac:dyDescent="0.45">
      <c r="E1249" s="32" t="str">
        <f t="shared" si="60"/>
        <v>.0</v>
      </c>
      <c r="F1249" s="32" t="str">
        <f t="shared" si="61"/>
        <v>.0</v>
      </c>
      <c r="G1249" s="37" t="str">
        <f t="shared" si="62"/>
        <v/>
      </c>
    </row>
    <row r="1250" spans="5:7" x14ac:dyDescent="0.45">
      <c r="E1250" s="32" t="str">
        <f t="shared" si="60"/>
        <v>.0</v>
      </c>
      <c r="F1250" s="32" t="str">
        <f t="shared" si="61"/>
        <v>.0</v>
      </c>
      <c r="G1250" s="37" t="str">
        <f t="shared" si="62"/>
        <v/>
      </c>
    </row>
    <row r="1251" spans="5:7" x14ac:dyDescent="0.45">
      <c r="E1251" s="32" t="str">
        <f t="shared" si="60"/>
        <v>.0</v>
      </c>
      <c r="F1251" s="32" t="str">
        <f t="shared" si="61"/>
        <v>.0</v>
      </c>
      <c r="G1251" s="37" t="str">
        <f t="shared" si="62"/>
        <v/>
      </c>
    </row>
    <row r="1252" spans="5:7" x14ac:dyDescent="0.45">
      <c r="E1252" s="32" t="str">
        <f t="shared" si="60"/>
        <v>.0</v>
      </c>
      <c r="F1252" s="32" t="str">
        <f t="shared" si="61"/>
        <v>.0</v>
      </c>
      <c r="G1252" s="37" t="str">
        <f t="shared" si="62"/>
        <v/>
      </c>
    </row>
    <row r="1253" spans="5:7" x14ac:dyDescent="0.45">
      <c r="E1253" s="32" t="str">
        <f t="shared" si="60"/>
        <v>.0</v>
      </c>
      <c r="F1253" s="32" t="str">
        <f t="shared" si="61"/>
        <v>.0</v>
      </c>
      <c r="G1253" s="37" t="str">
        <f t="shared" si="62"/>
        <v/>
      </c>
    </row>
    <row r="1254" spans="5:7" x14ac:dyDescent="0.45">
      <c r="E1254" s="32" t="str">
        <f t="shared" si="60"/>
        <v>.0</v>
      </c>
      <c r="F1254" s="32" t="str">
        <f t="shared" si="61"/>
        <v>.0</v>
      </c>
      <c r="G1254" s="37" t="str">
        <f t="shared" si="62"/>
        <v/>
      </c>
    </row>
    <row r="1255" spans="5:7" x14ac:dyDescent="0.45">
      <c r="E1255" s="32" t="str">
        <f t="shared" si="60"/>
        <v>.0</v>
      </c>
      <c r="F1255" s="32" t="str">
        <f t="shared" si="61"/>
        <v>.0</v>
      </c>
      <c r="G1255" s="37" t="str">
        <f t="shared" si="62"/>
        <v/>
      </c>
    </row>
    <row r="1256" spans="5:7" x14ac:dyDescent="0.45">
      <c r="E1256" s="32" t="str">
        <f t="shared" si="60"/>
        <v>.0</v>
      </c>
      <c r="F1256" s="32" t="str">
        <f t="shared" si="61"/>
        <v>.0</v>
      </c>
      <c r="G1256" s="37" t="str">
        <f t="shared" si="62"/>
        <v/>
      </c>
    </row>
    <row r="1257" spans="5:7" x14ac:dyDescent="0.45">
      <c r="E1257" s="32" t="str">
        <f t="shared" si="60"/>
        <v>.0</v>
      </c>
      <c r="F1257" s="32" t="str">
        <f t="shared" si="61"/>
        <v>.0</v>
      </c>
      <c r="G1257" s="37" t="str">
        <f t="shared" si="62"/>
        <v/>
      </c>
    </row>
    <row r="1258" spans="5:7" x14ac:dyDescent="0.45">
      <c r="E1258" s="32" t="str">
        <f t="shared" si="60"/>
        <v>.0</v>
      </c>
      <c r="F1258" s="32" t="str">
        <f t="shared" si="61"/>
        <v>.0</v>
      </c>
      <c r="G1258" s="37" t="str">
        <f t="shared" si="62"/>
        <v/>
      </c>
    </row>
    <row r="1259" spans="5:7" x14ac:dyDescent="0.45">
      <c r="E1259" s="32" t="str">
        <f t="shared" si="60"/>
        <v>.0</v>
      </c>
      <c r="F1259" s="32" t="str">
        <f t="shared" si="61"/>
        <v>.0</v>
      </c>
      <c r="G1259" s="37" t="str">
        <f t="shared" si="62"/>
        <v/>
      </c>
    </row>
    <row r="1260" spans="5:7" x14ac:dyDescent="0.45">
      <c r="E1260" s="32" t="str">
        <f t="shared" si="60"/>
        <v>.0</v>
      </c>
      <c r="F1260" s="32" t="str">
        <f t="shared" si="61"/>
        <v>.0</v>
      </c>
      <c r="G1260" s="37" t="str">
        <f t="shared" si="62"/>
        <v/>
      </c>
    </row>
    <row r="1261" spans="5:7" x14ac:dyDescent="0.45">
      <c r="E1261" s="32" t="str">
        <f t="shared" si="60"/>
        <v>.0</v>
      </c>
      <c r="F1261" s="32" t="str">
        <f t="shared" si="61"/>
        <v>.0</v>
      </c>
      <c r="G1261" s="37" t="str">
        <f t="shared" si="62"/>
        <v/>
      </c>
    </row>
    <row r="1262" spans="5:7" x14ac:dyDescent="0.45">
      <c r="E1262" s="32" t="str">
        <f t="shared" si="60"/>
        <v>.0</v>
      </c>
      <c r="F1262" s="32" t="str">
        <f t="shared" si="61"/>
        <v>.0</v>
      </c>
      <c r="G1262" s="37" t="str">
        <f t="shared" si="62"/>
        <v/>
      </c>
    </row>
    <row r="1263" spans="5:7" x14ac:dyDescent="0.45">
      <c r="E1263" s="32" t="str">
        <f t="shared" si="60"/>
        <v>.0</v>
      </c>
      <c r="F1263" s="32" t="str">
        <f t="shared" si="61"/>
        <v>.0</v>
      </c>
      <c r="G1263" s="37" t="str">
        <f t="shared" si="62"/>
        <v/>
      </c>
    </row>
    <row r="1264" spans="5:7" x14ac:dyDescent="0.45">
      <c r="E1264" s="32" t="str">
        <f t="shared" si="60"/>
        <v>.0</v>
      </c>
      <c r="F1264" s="32" t="str">
        <f t="shared" si="61"/>
        <v>.0</v>
      </c>
      <c r="G1264" s="37" t="str">
        <f t="shared" si="62"/>
        <v/>
      </c>
    </row>
    <row r="1265" spans="5:7" x14ac:dyDescent="0.45">
      <c r="E1265" s="32" t="str">
        <f t="shared" si="60"/>
        <v>.0</v>
      </c>
      <c r="F1265" s="32" t="str">
        <f t="shared" si="61"/>
        <v>.0</v>
      </c>
      <c r="G1265" s="37" t="str">
        <f t="shared" si="62"/>
        <v/>
      </c>
    </row>
    <row r="1266" spans="5:7" x14ac:dyDescent="0.45">
      <c r="E1266" s="32" t="str">
        <f t="shared" si="60"/>
        <v>.0</v>
      </c>
      <c r="F1266" s="32" t="str">
        <f t="shared" si="61"/>
        <v>.0</v>
      </c>
      <c r="G1266" s="37" t="str">
        <f t="shared" si="62"/>
        <v/>
      </c>
    </row>
    <row r="1267" spans="5:7" x14ac:dyDescent="0.45">
      <c r="E1267" s="32" t="str">
        <f t="shared" si="60"/>
        <v>.0</v>
      </c>
      <c r="F1267" s="32" t="str">
        <f t="shared" si="61"/>
        <v>.0</v>
      </c>
      <c r="G1267" s="37" t="str">
        <f t="shared" si="62"/>
        <v/>
      </c>
    </row>
    <row r="1268" spans="5:7" x14ac:dyDescent="0.45">
      <c r="E1268" s="32" t="str">
        <f t="shared" si="60"/>
        <v>.0</v>
      </c>
      <c r="F1268" s="32" t="str">
        <f t="shared" si="61"/>
        <v>.0</v>
      </c>
      <c r="G1268" s="37" t="str">
        <f t="shared" si="62"/>
        <v/>
      </c>
    </row>
    <row r="1269" spans="5:7" x14ac:dyDescent="0.45">
      <c r="E1269" s="32" t="str">
        <f t="shared" si="60"/>
        <v>.0</v>
      </c>
      <c r="F1269" s="32" t="str">
        <f t="shared" si="61"/>
        <v>.0</v>
      </c>
      <c r="G1269" s="37" t="str">
        <f t="shared" si="62"/>
        <v/>
      </c>
    </row>
    <row r="1270" spans="5:7" x14ac:dyDescent="0.45">
      <c r="E1270" s="32" t="str">
        <f t="shared" si="60"/>
        <v>.0</v>
      </c>
      <c r="F1270" s="32" t="str">
        <f t="shared" si="61"/>
        <v>.0</v>
      </c>
      <c r="G1270" s="37" t="str">
        <f t="shared" si="62"/>
        <v/>
      </c>
    </row>
    <row r="1271" spans="5:7" x14ac:dyDescent="0.45">
      <c r="E1271" s="32" t="str">
        <f t="shared" si="60"/>
        <v>.0</v>
      </c>
      <c r="F1271" s="32" t="str">
        <f t="shared" si="61"/>
        <v>.0</v>
      </c>
      <c r="G1271" s="37" t="str">
        <f t="shared" si="62"/>
        <v/>
      </c>
    </row>
    <row r="1272" spans="5:7" x14ac:dyDescent="0.45">
      <c r="E1272" s="32" t="str">
        <f t="shared" si="60"/>
        <v>.0</v>
      </c>
      <c r="F1272" s="32" t="str">
        <f t="shared" si="61"/>
        <v>.0</v>
      </c>
      <c r="G1272" s="37" t="str">
        <f t="shared" si="62"/>
        <v/>
      </c>
    </row>
    <row r="1273" spans="5:7" x14ac:dyDescent="0.45">
      <c r="E1273" s="32" t="str">
        <f t="shared" si="60"/>
        <v>.0</v>
      </c>
      <c r="F1273" s="32" t="str">
        <f t="shared" si="61"/>
        <v>.0</v>
      </c>
      <c r="G1273" s="37" t="str">
        <f t="shared" si="62"/>
        <v/>
      </c>
    </row>
    <row r="1274" spans="5:7" x14ac:dyDescent="0.45">
      <c r="E1274" s="32" t="str">
        <f t="shared" si="60"/>
        <v>.0</v>
      </c>
      <c r="F1274" s="32" t="str">
        <f t="shared" si="61"/>
        <v>.0</v>
      </c>
      <c r="G1274" s="37" t="str">
        <f t="shared" si="62"/>
        <v/>
      </c>
    </row>
    <row r="1275" spans="5:7" x14ac:dyDescent="0.45">
      <c r="E1275" s="32" t="str">
        <f t="shared" si="60"/>
        <v>.0</v>
      </c>
      <c r="F1275" s="32" t="str">
        <f t="shared" si="61"/>
        <v>.0</v>
      </c>
      <c r="G1275" s="37" t="str">
        <f t="shared" si="62"/>
        <v/>
      </c>
    </row>
    <row r="1276" spans="5:7" x14ac:dyDescent="0.45">
      <c r="E1276" s="32" t="str">
        <f t="shared" si="60"/>
        <v>.0</v>
      </c>
      <c r="F1276" s="32" t="str">
        <f t="shared" si="61"/>
        <v>.0</v>
      </c>
      <c r="G1276" s="37" t="str">
        <f t="shared" si="62"/>
        <v/>
      </c>
    </row>
    <row r="1277" spans="5:7" x14ac:dyDescent="0.45">
      <c r="E1277" s="32" t="str">
        <f t="shared" si="60"/>
        <v>.0</v>
      </c>
      <c r="F1277" s="32" t="str">
        <f t="shared" si="61"/>
        <v>.0</v>
      </c>
      <c r="G1277" s="37" t="str">
        <f t="shared" si="62"/>
        <v/>
      </c>
    </row>
    <row r="1278" spans="5:7" x14ac:dyDescent="0.45">
      <c r="E1278" s="32" t="str">
        <f t="shared" si="60"/>
        <v>.0</v>
      </c>
      <c r="F1278" s="32" t="str">
        <f t="shared" si="61"/>
        <v>.0</v>
      </c>
      <c r="G1278" s="37" t="str">
        <f t="shared" si="62"/>
        <v/>
      </c>
    </row>
    <row r="1279" spans="5:7" x14ac:dyDescent="0.45">
      <c r="E1279" s="32" t="str">
        <f t="shared" si="60"/>
        <v>.0</v>
      </c>
      <c r="F1279" s="32" t="str">
        <f t="shared" si="61"/>
        <v>.0</v>
      </c>
      <c r="G1279" s="37" t="str">
        <f t="shared" si="62"/>
        <v/>
      </c>
    </row>
    <row r="1280" spans="5:7" x14ac:dyDescent="0.45">
      <c r="E1280" s="32" t="str">
        <f t="shared" si="60"/>
        <v>.0</v>
      </c>
      <c r="F1280" s="32" t="str">
        <f t="shared" si="61"/>
        <v>.0</v>
      </c>
      <c r="G1280" s="37" t="str">
        <f t="shared" si="62"/>
        <v/>
      </c>
    </row>
    <row r="1281" spans="5:7" x14ac:dyDescent="0.45">
      <c r="E1281" s="32" t="str">
        <f t="shared" si="60"/>
        <v>.0</v>
      </c>
      <c r="F1281" s="32" t="str">
        <f t="shared" si="61"/>
        <v>.0</v>
      </c>
      <c r="G1281" s="37" t="str">
        <f t="shared" si="62"/>
        <v/>
      </c>
    </row>
    <row r="1282" spans="5:7" x14ac:dyDescent="0.45">
      <c r="E1282" s="32" t="str">
        <f t="shared" si="60"/>
        <v>.0</v>
      </c>
      <c r="F1282" s="32" t="str">
        <f t="shared" si="61"/>
        <v>.0</v>
      </c>
      <c r="G1282" s="37" t="str">
        <f t="shared" si="62"/>
        <v/>
      </c>
    </row>
    <row r="1283" spans="5:7" x14ac:dyDescent="0.45">
      <c r="E1283" s="32" t="str">
        <f t="shared" si="60"/>
        <v>.0</v>
      </c>
      <c r="F1283" s="32" t="str">
        <f t="shared" si="61"/>
        <v>.0</v>
      </c>
      <c r="G1283" s="37" t="str">
        <f t="shared" si="62"/>
        <v/>
      </c>
    </row>
    <row r="1284" spans="5:7" x14ac:dyDescent="0.45">
      <c r="E1284" s="32" t="str">
        <f t="shared" si="60"/>
        <v>.0</v>
      </c>
      <c r="F1284" s="32" t="str">
        <f t="shared" si="61"/>
        <v>.0</v>
      </c>
      <c r="G1284" s="37" t="str">
        <f t="shared" si="62"/>
        <v/>
      </c>
    </row>
    <row r="1285" spans="5:7" x14ac:dyDescent="0.45">
      <c r="E1285" s="32" t="str">
        <f t="shared" si="60"/>
        <v>.0</v>
      </c>
      <c r="F1285" s="32" t="str">
        <f t="shared" si="61"/>
        <v>.0</v>
      </c>
      <c r="G1285" s="37" t="str">
        <f t="shared" si="62"/>
        <v/>
      </c>
    </row>
    <row r="1286" spans="5:7" x14ac:dyDescent="0.45">
      <c r="E1286" s="32" t="str">
        <f t="shared" si="60"/>
        <v>.0</v>
      </c>
      <c r="F1286" s="32" t="str">
        <f t="shared" si="61"/>
        <v>.0</v>
      </c>
      <c r="G1286" s="37" t="str">
        <f t="shared" si="62"/>
        <v/>
      </c>
    </row>
    <row r="1287" spans="5:7" x14ac:dyDescent="0.45">
      <c r="E1287" s="32" t="str">
        <f t="shared" si="60"/>
        <v>.0</v>
      </c>
      <c r="F1287" s="32" t="str">
        <f t="shared" si="61"/>
        <v>.0</v>
      </c>
      <c r="G1287" s="37" t="str">
        <f t="shared" si="62"/>
        <v/>
      </c>
    </row>
    <row r="1288" spans="5:7" x14ac:dyDescent="0.45">
      <c r="E1288" s="32" t="str">
        <f t="shared" si="60"/>
        <v>.0</v>
      </c>
      <c r="F1288" s="32" t="str">
        <f t="shared" si="61"/>
        <v>.0</v>
      </c>
      <c r="G1288" s="37" t="str">
        <f t="shared" si="62"/>
        <v/>
      </c>
    </row>
    <row r="1289" spans="5:7" x14ac:dyDescent="0.45">
      <c r="E1289" s="32" t="str">
        <f t="shared" si="60"/>
        <v>.0</v>
      </c>
      <c r="F1289" s="32" t="str">
        <f t="shared" si="61"/>
        <v>.0</v>
      </c>
      <c r="G1289" s="37" t="str">
        <f t="shared" si="62"/>
        <v/>
      </c>
    </row>
    <row r="1290" spans="5:7" x14ac:dyDescent="0.45">
      <c r="E1290" s="32" t="str">
        <f t="shared" si="60"/>
        <v>.0</v>
      </c>
      <c r="F1290" s="32" t="str">
        <f t="shared" si="61"/>
        <v>.0</v>
      </c>
      <c r="G1290" s="37" t="str">
        <f t="shared" si="62"/>
        <v/>
      </c>
    </row>
    <row r="1291" spans="5:7" x14ac:dyDescent="0.45">
      <c r="E1291" s="32" t="str">
        <f t="shared" si="60"/>
        <v>.0</v>
      </c>
      <c r="F1291" s="32" t="str">
        <f t="shared" si="61"/>
        <v>.0</v>
      </c>
      <c r="G1291" s="37" t="str">
        <f t="shared" si="62"/>
        <v/>
      </c>
    </row>
    <row r="1292" spans="5:7" x14ac:dyDescent="0.45">
      <c r="E1292" s="32" t="str">
        <f t="shared" si="60"/>
        <v>.0</v>
      </c>
      <c r="F1292" s="32" t="str">
        <f t="shared" si="61"/>
        <v>.0</v>
      </c>
      <c r="G1292" s="37" t="str">
        <f t="shared" si="62"/>
        <v/>
      </c>
    </row>
    <row r="1293" spans="5:7" x14ac:dyDescent="0.45">
      <c r="E1293" s="32" t="str">
        <f t="shared" si="60"/>
        <v>.0</v>
      </c>
      <c r="F1293" s="32" t="str">
        <f t="shared" si="61"/>
        <v>.0</v>
      </c>
      <c r="G1293" s="37" t="str">
        <f t="shared" si="62"/>
        <v/>
      </c>
    </row>
    <row r="1294" spans="5:7" x14ac:dyDescent="0.45">
      <c r="E1294" s="32" t="str">
        <f t="shared" si="60"/>
        <v>.0</v>
      </c>
      <c r="F1294" s="32" t="str">
        <f t="shared" si="61"/>
        <v>.0</v>
      </c>
      <c r="G1294" s="37" t="str">
        <f t="shared" si="62"/>
        <v/>
      </c>
    </row>
    <row r="1295" spans="5:7" x14ac:dyDescent="0.45">
      <c r="E1295" s="32" t="str">
        <f t="shared" si="60"/>
        <v>.0</v>
      </c>
      <c r="F1295" s="32" t="str">
        <f t="shared" si="61"/>
        <v>.0</v>
      </c>
      <c r="G1295" s="37" t="str">
        <f t="shared" si="62"/>
        <v/>
      </c>
    </row>
    <row r="1296" spans="5:7" x14ac:dyDescent="0.45">
      <c r="E1296" s="32" t="str">
        <f t="shared" si="60"/>
        <v>.0</v>
      </c>
      <c r="F1296" s="32" t="str">
        <f t="shared" si="61"/>
        <v>.0</v>
      </c>
      <c r="G1296" s="37" t="str">
        <f t="shared" si="62"/>
        <v/>
      </c>
    </row>
    <row r="1297" spans="5:7" x14ac:dyDescent="0.45">
      <c r="E1297" s="32" t="str">
        <f t="shared" si="60"/>
        <v>.0</v>
      </c>
      <c r="F1297" s="32" t="str">
        <f t="shared" si="61"/>
        <v>.0</v>
      </c>
      <c r="G1297" s="37" t="str">
        <f t="shared" si="62"/>
        <v/>
      </c>
    </row>
    <row r="1298" spans="5:7" x14ac:dyDescent="0.45">
      <c r="E1298" s="32" t="str">
        <f t="shared" si="60"/>
        <v>.0</v>
      </c>
      <c r="F1298" s="32" t="str">
        <f t="shared" si="61"/>
        <v>.0</v>
      </c>
      <c r="G1298" s="37" t="str">
        <f t="shared" si="62"/>
        <v/>
      </c>
    </row>
    <row r="1299" spans="5:7" x14ac:dyDescent="0.45">
      <c r="E1299" s="32" t="str">
        <f t="shared" si="60"/>
        <v>.0</v>
      </c>
      <c r="F1299" s="32" t="str">
        <f t="shared" si="61"/>
        <v>.0</v>
      </c>
      <c r="G1299" s="37" t="str">
        <f t="shared" si="62"/>
        <v/>
      </c>
    </row>
    <row r="1300" spans="5:7" x14ac:dyDescent="0.45">
      <c r="E1300" s="32" t="str">
        <f t="shared" si="60"/>
        <v>.0</v>
      </c>
      <c r="F1300" s="32" t="str">
        <f t="shared" si="61"/>
        <v>.0</v>
      </c>
      <c r="G1300" s="37" t="str">
        <f t="shared" si="62"/>
        <v/>
      </c>
    </row>
    <row r="1301" spans="5:7" x14ac:dyDescent="0.45">
      <c r="E1301" s="32" t="str">
        <f t="shared" si="60"/>
        <v>.0</v>
      </c>
      <c r="F1301" s="32" t="str">
        <f t="shared" si="61"/>
        <v>.0</v>
      </c>
      <c r="G1301" s="37" t="str">
        <f t="shared" si="62"/>
        <v/>
      </c>
    </row>
    <row r="1302" spans="5:7" x14ac:dyDescent="0.45">
      <c r="E1302" s="32" t="str">
        <f t="shared" si="60"/>
        <v>.0</v>
      </c>
      <c r="F1302" s="32" t="str">
        <f t="shared" si="61"/>
        <v>.0</v>
      </c>
      <c r="G1302" s="37" t="str">
        <f t="shared" si="62"/>
        <v/>
      </c>
    </row>
    <row r="1303" spans="5:7" x14ac:dyDescent="0.45">
      <c r="E1303" s="32" t="str">
        <f t="shared" si="60"/>
        <v>.0</v>
      </c>
      <c r="F1303" s="32" t="str">
        <f t="shared" si="61"/>
        <v>.0</v>
      </c>
      <c r="G1303" s="37" t="str">
        <f t="shared" si="62"/>
        <v/>
      </c>
    </row>
    <row r="1304" spans="5:7" x14ac:dyDescent="0.45">
      <c r="E1304" s="32" t="str">
        <f t="shared" si="60"/>
        <v>.0</v>
      </c>
      <c r="F1304" s="32" t="str">
        <f t="shared" si="61"/>
        <v>.0</v>
      </c>
      <c r="G1304" s="37" t="str">
        <f t="shared" si="62"/>
        <v/>
      </c>
    </row>
    <row r="1305" spans="5:7" x14ac:dyDescent="0.45">
      <c r="E1305" s="32" t="str">
        <f t="shared" si="60"/>
        <v>.0</v>
      </c>
      <c r="F1305" s="32" t="str">
        <f t="shared" si="61"/>
        <v>.0</v>
      </c>
      <c r="G1305" s="37" t="str">
        <f t="shared" si="62"/>
        <v/>
      </c>
    </row>
    <row r="1306" spans="5:7" x14ac:dyDescent="0.45">
      <c r="E1306" s="32" t="str">
        <f t="shared" si="60"/>
        <v>.0</v>
      </c>
      <c r="F1306" s="32" t="str">
        <f t="shared" si="61"/>
        <v>.0</v>
      </c>
      <c r="G1306" s="37" t="str">
        <f t="shared" si="62"/>
        <v/>
      </c>
    </row>
    <row r="1307" spans="5:7" x14ac:dyDescent="0.45">
      <c r="E1307" s="32" t="str">
        <f t="shared" si="60"/>
        <v>.0</v>
      </c>
      <c r="F1307" s="32" t="str">
        <f t="shared" si="61"/>
        <v>.0</v>
      </c>
      <c r="G1307" s="37" t="str">
        <f t="shared" si="62"/>
        <v/>
      </c>
    </row>
    <row r="1308" spans="5:7" x14ac:dyDescent="0.45">
      <c r="E1308" s="32" t="str">
        <f t="shared" si="60"/>
        <v>.0</v>
      </c>
      <c r="F1308" s="32" t="str">
        <f t="shared" si="61"/>
        <v>.0</v>
      </c>
      <c r="G1308" s="37" t="str">
        <f t="shared" si="62"/>
        <v/>
      </c>
    </row>
    <row r="1309" spans="5:7" x14ac:dyDescent="0.45">
      <c r="E1309" s="32" t="str">
        <f t="shared" si="60"/>
        <v>.0</v>
      </c>
      <c r="F1309" s="32" t="str">
        <f t="shared" si="61"/>
        <v>.0</v>
      </c>
      <c r="G1309" s="37" t="str">
        <f t="shared" si="62"/>
        <v/>
      </c>
    </row>
    <row r="1310" spans="5:7" x14ac:dyDescent="0.45">
      <c r="E1310" s="32" t="str">
        <f t="shared" ref="E1310:E1373" si="63">MID(B1310,3,2)&amp;"."&amp;IF(C1310&lt;10,"0"&amp;C1310,C1310)</f>
        <v>.0</v>
      </c>
      <c r="F1310" s="32" t="str">
        <f t="shared" ref="F1310:F1373" si="64">MID(B1310,3,2)&amp;"."&amp;IF(C1310&lt;10,"0"&amp;C1310,C1310)</f>
        <v>.0</v>
      </c>
      <c r="G1310" s="37" t="str">
        <f t="shared" ref="G1310:G1373" si="65">TEXT(D1310,"#,###,")</f>
        <v/>
      </c>
    </row>
    <row r="1311" spans="5:7" x14ac:dyDescent="0.45">
      <c r="E1311" s="32" t="str">
        <f t="shared" si="63"/>
        <v>.0</v>
      </c>
      <c r="F1311" s="32" t="str">
        <f t="shared" si="64"/>
        <v>.0</v>
      </c>
      <c r="G1311" s="37" t="str">
        <f t="shared" si="65"/>
        <v/>
      </c>
    </row>
    <row r="1312" spans="5:7" x14ac:dyDescent="0.45">
      <c r="E1312" s="32" t="str">
        <f t="shared" si="63"/>
        <v>.0</v>
      </c>
      <c r="F1312" s="32" t="str">
        <f t="shared" si="64"/>
        <v>.0</v>
      </c>
      <c r="G1312" s="37" t="str">
        <f t="shared" si="65"/>
        <v/>
      </c>
    </row>
    <row r="1313" spans="5:7" x14ac:dyDescent="0.45">
      <c r="E1313" s="32" t="str">
        <f t="shared" si="63"/>
        <v>.0</v>
      </c>
      <c r="F1313" s="32" t="str">
        <f t="shared" si="64"/>
        <v>.0</v>
      </c>
      <c r="G1313" s="37" t="str">
        <f t="shared" si="65"/>
        <v/>
      </c>
    </row>
    <row r="1314" spans="5:7" x14ac:dyDescent="0.45">
      <c r="E1314" s="32" t="str">
        <f t="shared" si="63"/>
        <v>.0</v>
      </c>
      <c r="F1314" s="32" t="str">
        <f t="shared" si="64"/>
        <v>.0</v>
      </c>
      <c r="G1314" s="37" t="str">
        <f t="shared" si="65"/>
        <v/>
      </c>
    </row>
    <row r="1315" spans="5:7" x14ac:dyDescent="0.45">
      <c r="E1315" s="32" t="str">
        <f t="shared" si="63"/>
        <v>.0</v>
      </c>
      <c r="F1315" s="32" t="str">
        <f t="shared" si="64"/>
        <v>.0</v>
      </c>
      <c r="G1315" s="37" t="str">
        <f t="shared" si="65"/>
        <v/>
      </c>
    </row>
    <row r="1316" spans="5:7" x14ac:dyDescent="0.45">
      <c r="E1316" s="32" t="str">
        <f t="shared" si="63"/>
        <v>.0</v>
      </c>
      <c r="F1316" s="32" t="str">
        <f t="shared" si="64"/>
        <v>.0</v>
      </c>
      <c r="G1316" s="37" t="str">
        <f t="shared" si="65"/>
        <v/>
      </c>
    </row>
    <row r="1317" spans="5:7" x14ac:dyDescent="0.45">
      <c r="E1317" s="32" t="str">
        <f t="shared" si="63"/>
        <v>.0</v>
      </c>
      <c r="F1317" s="32" t="str">
        <f t="shared" si="64"/>
        <v>.0</v>
      </c>
      <c r="G1317" s="37" t="str">
        <f t="shared" si="65"/>
        <v/>
      </c>
    </row>
    <row r="1318" spans="5:7" x14ac:dyDescent="0.45">
      <c r="E1318" s="32" t="str">
        <f t="shared" si="63"/>
        <v>.0</v>
      </c>
      <c r="F1318" s="32" t="str">
        <f t="shared" si="64"/>
        <v>.0</v>
      </c>
      <c r="G1318" s="37" t="str">
        <f t="shared" si="65"/>
        <v/>
      </c>
    </row>
    <row r="1319" spans="5:7" x14ac:dyDescent="0.45">
      <c r="E1319" s="32" t="str">
        <f t="shared" si="63"/>
        <v>.0</v>
      </c>
      <c r="F1319" s="32" t="str">
        <f t="shared" si="64"/>
        <v>.0</v>
      </c>
      <c r="G1319" s="37" t="str">
        <f t="shared" si="65"/>
        <v/>
      </c>
    </row>
    <row r="1320" spans="5:7" x14ac:dyDescent="0.45">
      <c r="E1320" s="32" t="str">
        <f t="shared" si="63"/>
        <v>.0</v>
      </c>
      <c r="F1320" s="32" t="str">
        <f t="shared" si="64"/>
        <v>.0</v>
      </c>
      <c r="G1320" s="37" t="str">
        <f t="shared" si="65"/>
        <v/>
      </c>
    </row>
    <row r="1321" spans="5:7" x14ac:dyDescent="0.45">
      <c r="E1321" s="32" t="str">
        <f t="shared" si="63"/>
        <v>.0</v>
      </c>
      <c r="F1321" s="32" t="str">
        <f t="shared" si="64"/>
        <v>.0</v>
      </c>
      <c r="G1321" s="37" t="str">
        <f t="shared" si="65"/>
        <v/>
      </c>
    </row>
    <row r="1322" spans="5:7" x14ac:dyDescent="0.45">
      <c r="E1322" s="32" t="str">
        <f t="shared" si="63"/>
        <v>.0</v>
      </c>
      <c r="F1322" s="32" t="str">
        <f t="shared" si="64"/>
        <v>.0</v>
      </c>
      <c r="G1322" s="37" t="str">
        <f t="shared" si="65"/>
        <v/>
      </c>
    </row>
    <row r="1323" spans="5:7" x14ac:dyDescent="0.45">
      <c r="E1323" s="32" t="str">
        <f t="shared" si="63"/>
        <v>.0</v>
      </c>
      <c r="F1323" s="32" t="str">
        <f t="shared" si="64"/>
        <v>.0</v>
      </c>
      <c r="G1323" s="37" t="str">
        <f t="shared" si="65"/>
        <v/>
      </c>
    </row>
    <row r="1324" spans="5:7" x14ac:dyDescent="0.45">
      <c r="E1324" s="32" t="str">
        <f t="shared" si="63"/>
        <v>.0</v>
      </c>
      <c r="F1324" s="32" t="str">
        <f t="shared" si="64"/>
        <v>.0</v>
      </c>
      <c r="G1324" s="37" t="str">
        <f t="shared" si="65"/>
        <v/>
      </c>
    </row>
    <row r="1325" spans="5:7" x14ac:dyDescent="0.45">
      <c r="E1325" s="32" t="str">
        <f t="shared" si="63"/>
        <v>.0</v>
      </c>
      <c r="F1325" s="32" t="str">
        <f t="shared" si="64"/>
        <v>.0</v>
      </c>
      <c r="G1325" s="37" t="str">
        <f t="shared" si="65"/>
        <v/>
      </c>
    </row>
    <row r="1326" spans="5:7" x14ac:dyDescent="0.45">
      <c r="E1326" s="32" t="str">
        <f t="shared" si="63"/>
        <v>.0</v>
      </c>
      <c r="F1326" s="32" t="str">
        <f t="shared" si="64"/>
        <v>.0</v>
      </c>
      <c r="G1326" s="37" t="str">
        <f t="shared" si="65"/>
        <v/>
      </c>
    </row>
    <row r="1327" spans="5:7" x14ac:dyDescent="0.45">
      <c r="E1327" s="32" t="str">
        <f t="shared" si="63"/>
        <v>.0</v>
      </c>
      <c r="F1327" s="32" t="str">
        <f t="shared" si="64"/>
        <v>.0</v>
      </c>
      <c r="G1327" s="37" t="str">
        <f t="shared" si="65"/>
        <v/>
      </c>
    </row>
    <row r="1328" spans="5:7" x14ac:dyDescent="0.45">
      <c r="E1328" s="32" t="str">
        <f t="shared" si="63"/>
        <v>.0</v>
      </c>
      <c r="F1328" s="32" t="str">
        <f t="shared" si="64"/>
        <v>.0</v>
      </c>
      <c r="G1328" s="37" t="str">
        <f t="shared" si="65"/>
        <v/>
      </c>
    </row>
    <row r="1329" spans="5:7" x14ac:dyDescent="0.45">
      <c r="E1329" s="32" t="str">
        <f t="shared" si="63"/>
        <v>.0</v>
      </c>
      <c r="F1329" s="32" t="str">
        <f t="shared" si="64"/>
        <v>.0</v>
      </c>
      <c r="G1329" s="37" t="str">
        <f t="shared" si="65"/>
        <v/>
      </c>
    </row>
    <row r="1330" spans="5:7" x14ac:dyDescent="0.45">
      <c r="E1330" s="32" t="str">
        <f t="shared" si="63"/>
        <v>.0</v>
      </c>
      <c r="F1330" s="32" t="str">
        <f t="shared" si="64"/>
        <v>.0</v>
      </c>
      <c r="G1330" s="37" t="str">
        <f t="shared" si="65"/>
        <v/>
      </c>
    </row>
    <row r="1331" spans="5:7" x14ac:dyDescent="0.45">
      <c r="E1331" s="32" t="str">
        <f t="shared" si="63"/>
        <v>.0</v>
      </c>
      <c r="F1331" s="32" t="str">
        <f t="shared" si="64"/>
        <v>.0</v>
      </c>
      <c r="G1331" s="37" t="str">
        <f t="shared" si="65"/>
        <v/>
      </c>
    </row>
    <row r="1332" spans="5:7" x14ac:dyDescent="0.45">
      <c r="E1332" s="32" t="str">
        <f t="shared" si="63"/>
        <v>.0</v>
      </c>
      <c r="F1332" s="32" t="str">
        <f t="shared" si="64"/>
        <v>.0</v>
      </c>
      <c r="G1332" s="37" t="str">
        <f t="shared" si="65"/>
        <v/>
      </c>
    </row>
    <row r="1333" spans="5:7" x14ac:dyDescent="0.45">
      <c r="E1333" s="32" t="str">
        <f t="shared" si="63"/>
        <v>.0</v>
      </c>
      <c r="F1333" s="32" t="str">
        <f t="shared" si="64"/>
        <v>.0</v>
      </c>
      <c r="G1333" s="37" t="str">
        <f t="shared" si="65"/>
        <v/>
      </c>
    </row>
    <row r="1334" spans="5:7" x14ac:dyDescent="0.45">
      <c r="E1334" s="32" t="str">
        <f t="shared" si="63"/>
        <v>.0</v>
      </c>
      <c r="F1334" s="32" t="str">
        <f t="shared" si="64"/>
        <v>.0</v>
      </c>
      <c r="G1334" s="37" t="str">
        <f t="shared" si="65"/>
        <v/>
      </c>
    </row>
    <row r="1335" spans="5:7" x14ac:dyDescent="0.45">
      <c r="E1335" s="32" t="str">
        <f t="shared" si="63"/>
        <v>.0</v>
      </c>
      <c r="F1335" s="32" t="str">
        <f t="shared" si="64"/>
        <v>.0</v>
      </c>
      <c r="G1335" s="37" t="str">
        <f t="shared" si="65"/>
        <v/>
      </c>
    </row>
    <row r="1336" spans="5:7" x14ac:dyDescent="0.45">
      <c r="E1336" s="32" t="str">
        <f t="shared" si="63"/>
        <v>.0</v>
      </c>
      <c r="F1336" s="32" t="str">
        <f t="shared" si="64"/>
        <v>.0</v>
      </c>
      <c r="G1336" s="37" t="str">
        <f t="shared" si="65"/>
        <v/>
      </c>
    </row>
    <row r="1337" spans="5:7" x14ac:dyDescent="0.45">
      <c r="E1337" s="32" t="str">
        <f t="shared" si="63"/>
        <v>.0</v>
      </c>
      <c r="F1337" s="32" t="str">
        <f t="shared" si="64"/>
        <v>.0</v>
      </c>
      <c r="G1337" s="37" t="str">
        <f t="shared" si="65"/>
        <v/>
      </c>
    </row>
    <row r="1338" spans="5:7" x14ac:dyDescent="0.45">
      <c r="E1338" s="32" t="str">
        <f t="shared" si="63"/>
        <v>.0</v>
      </c>
      <c r="F1338" s="32" t="str">
        <f t="shared" si="64"/>
        <v>.0</v>
      </c>
      <c r="G1338" s="37" t="str">
        <f t="shared" si="65"/>
        <v/>
      </c>
    </row>
    <row r="1339" spans="5:7" x14ac:dyDescent="0.45">
      <c r="E1339" s="32" t="str">
        <f t="shared" si="63"/>
        <v>.0</v>
      </c>
      <c r="F1339" s="32" t="str">
        <f t="shared" si="64"/>
        <v>.0</v>
      </c>
      <c r="G1339" s="37" t="str">
        <f t="shared" si="65"/>
        <v/>
      </c>
    </row>
    <row r="1340" spans="5:7" x14ac:dyDescent="0.45">
      <c r="E1340" s="32" t="str">
        <f t="shared" si="63"/>
        <v>.0</v>
      </c>
      <c r="F1340" s="32" t="str">
        <f t="shared" si="64"/>
        <v>.0</v>
      </c>
      <c r="G1340" s="37" t="str">
        <f t="shared" si="65"/>
        <v/>
      </c>
    </row>
    <row r="1341" spans="5:7" x14ac:dyDescent="0.45">
      <c r="E1341" s="32" t="str">
        <f t="shared" si="63"/>
        <v>.0</v>
      </c>
      <c r="F1341" s="32" t="str">
        <f t="shared" si="64"/>
        <v>.0</v>
      </c>
      <c r="G1341" s="37" t="str">
        <f t="shared" si="65"/>
        <v/>
      </c>
    </row>
    <row r="1342" spans="5:7" x14ac:dyDescent="0.45">
      <c r="E1342" s="32" t="str">
        <f t="shared" si="63"/>
        <v>.0</v>
      </c>
      <c r="F1342" s="32" t="str">
        <f t="shared" si="64"/>
        <v>.0</v>
      </c>
      <c r="G1342" s="37" t="str">
        <f t="shared" si="65"/>
        <v/>
      </c>
    </row>
    <row r="1343" spans="5:7" x14ac:dyDescent="0.45">
      <c r="E1343" s="32" t="str">
        <f t="shared" si="63"/>
        <v>.0</v>
      </c>
      <c r="F1343" s="32" t="str">
        <f t="shared" si="64"/>
        <v>.0</v>
      </c>
      <c r="G1343" s="37" t="str">
        <f t="shared" si="65"/>
        <v/>
      </c>
    </row>
    <row r="1344" spans="5:7" x14ac:dyDescent="0.45">
      <c r="E1344" s="32" t="str">
        <f t="shared" si="63"/>
        <v>.0</v>
      </c>
      <c r="F1344" s="32" t="str">
        <f t="shared" si="64"/>
        <v>.0</v>
      </c>
      <c r="G1344" s="37" t="str">
        <f t="shared" si="65"/>
        <v/>
      </c>
    </row>
    <row r="1345" spans="5:7" x14ac:dyDescent="0.45">
      <c r="E1345" s="32" t="str">
        <f t="shared" si="63"/>
        <v>.0</v>
      </c>
      <c r="F1345" s="32" t="str">
        <f t="shared" si="64"/>
        <v>.0</v>
      </c>
      <c r="G1345" s="37" t="str">
        <f t="shared" si="65"/>
        <v/>
      </c>
    </row>
    <row r="1346" spans="5:7" x14ac:dyDescent="0.45">
      <c r="E1346" s="32" t="str">
        <f t="shared" si="63"/>
        <v>.0</v>
      </c>
      <c r="F1346" s="32" t="str">
        <f t="shared" si="64"/>
        <v>.0</v>
      </c>
      <c r="G1346" s="37" t="str">
        <f t="shared" si="65"/>
        <v/>
      </c>
    </row>
    <row r="1347" spans="5:7" x14ac:dyDescent="0.45">
      <c r="E1347" s="32" t="str">
        <f t="shared" si="63"/>
        <v>.0</v>
      </c>
      <c r="F1347" s="32" t="str">
        <f t="shared" si="64"/>
        <v>.0</v>
      </c>
      <c r="G1347" s="37" t="str">
        <f t="shared" si="65"/>
        <v/>
      </c>
    </row>
    <row r="1348" spans="5:7" x14ac:dyDescent="0.45">
      <c r="E1348" s="32" t="str">
        <f t="shared" si="63"/>
        <v>.0</v>
      </c>
      <c r="F1348" s="32" t="str">
        <f t="shared" si="64"/>
        <v>.0</v>
      </c>
      <c r="G1348" s="37" t="str">
        <f t="shared" si="65"/>
        <v/>
      </c>
    </row>
    <row r="1349" spans="5:7" x14ac:dyDescent="0.45">
      <c r="E1349" s="32" t="str">
        <f t="shared" si="63"/>
        <v>.0</v>
      </c>
      <c r="F1349" s="32" t="str">
        <f t="shared" si="64"/>
        <v>.0</v>
      </c>
      <c r="G1349" s="37" t="str">
        <f t="shared" si="65"/>
        <v/>
      </c>
    </row>
    <row r="1350" spans="5:7" x14ac:dyDescent="0.45">
      <c r="E1350" s="32" t="str">
        <f t="shared" si="63"/>
        <v>.0</v>
      </c>
      <c r="F1350" s="32" t="str">
        <f t="shared" si="64"/>
        <v>.0</v>
      </c>
      <c r="G1350" s="37" t="str">
        <f t="shared" si="65"/>
        <v/>
      </c>
    </row>
    <row r="1351" spans="5:7" x14ac:dyDescent="0.45">
      <c r="E1351" s="32" t="str">
        <f t="shared" si="63"/>
        <v>.0</v>
      </c>
      <c r="F1351" s="32" t="str">
        <f t="shared" si="64"/>
        <v>.0</v>
      </c>
      <c r="G1351" s="37" t="str">
        <f t="shared" si="65"/>
        <v/>
      </c>
    </row>
    <row r="1352" spans="5:7" x14ac:dyDescent="0.45">
      <c r="E1352" s="32" t="str">
        <f t="shared" si="63"/>
        <v>.0</v>
      </c>
      <c r="F1352" s="32" t="str">
        <f t="shared" si="64"/>
        <v>.0</v>
      </c>
      <c r="G1352" s="37" t="str">
        <f t="shared" si="65"/>
        <v/>
      </c>
    </row>
    <row r="1353" spans="5:7" x14ac:dyDescent="0.45">
      <c r="E1353" s="32" t="str">
        <f t="shared" si="63"/>
        <v>.0</v>
      </c>
      <c r="F1353" s="32" t="str">
        <f t="shared" si="64"/>
        <v>.0</v>
      </c>
      <c r="G1353" s="37" t="str">
        <f t="shared" si="65"/>
        <v/>
      </c>
    </row>
    <row r="1354" spans="5:7" x14ac:dyDescent="0.45">
      <c r="E1354" s="32" t="str">
        <f t="shared" si="63"/>
        <v>.0</v>
      </c>
      <c r="F1354" s="32" t="str">
        <f t="shared" si="64"/>
        <v>.0</v>
      </c>
      <c r="G1354" s="37" t="str">
        <f t="shared" si="65"/>
        <v/>
      </c>
    </row>
    <row r="1355" spans="5:7" x14ac:dyDescent="0.45">
      <c r="E1355" s="32" t="str">
        <f t="shared" si="63"/>
        <v>.0</v>
      </c>
      <c r="F1355" s="32" t="str">
        <f t="shared" si="64"/>
        <v>.0</v>
      </c>
      <c r="G1355" s="37" t="str">
        <f t="shared" si="65"/>
        <v/>
      </c>
    </row>
    <row r="1356" spans="5:7" x14ac:dyDescent="0.45">
      <c r="E1356" s="32" t="str">
        <f t="shared" si="63"/>
        <v>.0</v>
      </c>
      <c r="F1356" s="32" t="str">
        <f t="shared" si="64"/>
        <v>.0</v>
      </c>
      <c r="G1356" s="37" t="str">
        <f t="shared" si="65"/>
        <v/>
      </c>
    </row>
    <row r="1357" spans="5:7" x14ac:dyDescent="0.45">
      <c r="E1357" s="32" t="str">
        <f t="shared" si="63"/>
        <v>.0</v>
      </c>
      <c r="F1357" s="32" t="str">
        <f t="shared" si="64"/>
        <v>.0</v>
      </c>
      <c r="G1357" s="37" t="str">
        <f t="shared" si="65"/>
        <v/>
      </c>
    </row>
    <row r="1358" spans="5:7" x14ac:dyDescent="0.45">
      <c r="E1358" s="32" t="str">
        <f t="shared" si="63"/>
        <v>.0</v>
      </c>
      <c r="F1358" s="32" t="str">
        <f t="shared" si="64"/>
        <v>.0</v>
      </c>
      <c r="G1358" s="37" t="str">
        <f t="shared" si="65"/>
        <v/>
      </c>
    </row>
    <row r="1359" spans="5:7" x14ac:dyDescent="0.45">
      <c r="E1359" s="32" t="str">
        <f t="shared" si="63"/>
        <v>.0</v>
      </c>
      <c r="F1359" s="32" t="str">
        <f t="shared" si="64"/>
        <v>.0</v>
      </c>
      <c r="G1359" s="37" t="str">
        <f t="shared" si="65"/>
        <v/>
      </c>
    </row>
    <row r="1360" spans="5:7" x14ac:dyDescent="0.45">
      <c r="E1360" s="32" t="str">
        <f t="shared" si="63"/>
        <v>.0</v>
      </c>
      <c r="F1360" s="32" t="str">
        <f t="shared" si="64"/>
        <v>.0</v>
      </c>
      <c r="G1360" s="37" t="str">
        <f t="shared" si="65"/>
        <v/>
      </c>
    </row>
    <row r="1361" spans="5:7" x14ac:dyDescent="0.45">
      <c r="E1361" s="32" t="str">
        <f t="shared" si="63"/>
        <v>.0</v>
      </c>
      <c r="F1361" s="32" t="str">
        <f t="shared" si="64"/>
        <v>.0</v>
      </c>
      <c r="G1361" s="37" t="str">
        <f t="shared" si="65"/>
        <v/>
      </c>
    </row>
    <row r="1362" spans="5:7" x14ac:dyDescent="0.45">
      <c r="E1362" s="32" t="str">
        <f t="shared" si="63"/>
        <v>.0</v>
      </c>
      <c r="F1362" s="32" t="str">
        <f t="shared" si="64"/>
        <v>.0</v>
      </c>
      <c r="G1362" s="37" t="str">
        <f t="shared" si="65"/>
        <v/>
      </c>
    </row>
    <row r="1363" spans="5:7" x14ac:dyDescent="0.45">
      <c r="E1363" s="32" t="str">
        <f t="shared" si="63"/>
        <v>.0</v>
      </c>
      <c r="F1363" s="32" t="str">
        <f t="shared" si="64"/>
        <v>.0</v>
      </c>
      <c r="G1363" s="37" t="str">
        <f t="shared" si="65"/>
        <v/>
      </c>
    </row>
    <row r="1364" spans="5:7" x14ac:dyDescent="0.45">
      <c r="E1364" s="32" t="str">
        <f t="shared" si="63"/>
        <v>.0</v>
      </c>
      <c r="F1364" s="32" t="str">
        <f t="shared" si="64"/>
        <v>.0</v>
      </c>
      <c r="G1364" s="37" t="str">
        <f t="shared" si="65"/>
        <v/>
      </c>
    </row>
    <row r="1365" spans="5:7" x14ac:dyDescent="0.45">
      <c r="E1365" s="32" t="str">
        <f t="shared" si="63"/>
        <v>.0</v>
      </c>
      <c r="F1365" s="32" t="str">
        <f t="shared" si="64"/>
        <v>.0</v>
      </c>
      <c r="G1365" s="37" t="str">
        <f t="shared" si="65"/>
        <v/>
      </c>
    </row>
    <row r="1366" spans="5:7" x14ac:dyDescent="0.45">
      <c r="E1366" s="32" t="str">
        <f t="shared" si="63"/>
        <v>.0</v>
      </c>
      <c r="F1366" s="32" t="str">
        <f t="shared" si="64"/>
        <v>.0</v>
      </c>
      <c r="G1366" s="37" t="str">
        <f t="shared" si="65"/>
        <v/>
      </c>
    </row>
    <row r="1367" spans="5:7" x14ac:dyDescent="0.45">
      <c r="E1367" s="32" t="str">
        <f t="shared" si="63"/>
        <v>.0</v>
      </c>
      <c r="F1367" s="32" t="str">
        <f t="shared" si="64"/>
        <v>.0</v>
      </c>
      <c r="G1367" s="37" t="str">
        <f t="shared" si="65"/>
        <v/>
      </c>
    </row>
    <row r="1368" spans="5:7" x14ac:dyDescent="0.45">
      <c r="E1368" s="32" t="str">
        <f t="shared" si="63"/>
        <v>.0</v>
      </c>
      <c r="F1368" s="32" t="str">
        <f t="shared" si="64"/>
        <v>.0</v>
      </c>
      <c r="G1368" s="37" t="str">
        <f t="shared" si="65"/>
        <v/>
      </c>
    </row>
    <row r="1369" spans="5:7" x14ac:dyDescent="0.45">
      <c r="E1369" s="32" t="str">
        <f t="shared" si="63"/>
        <v>.0</v>
      </c>
      <c r="F1369" s="32" t="str">
        <f t="shared" si="64"/>
        <v>.0</v>
      </c>
      <c r="G1369" s="37" t="str">
        <f t="shared" si="65"/>
        <v/>
      </c>
    </row>
    <row r="1370" spans="5:7" x14ac:dyDescent="0.45">
      <c r="E1370" s="32" t="str">
        <f t="shared" si="63"/>
        <v>.0</v>
      </c>
      <c r="F1370" s="32" t="str">
        <f t="shared" si="64"/>
        <v>.0</v>
      </c>
      <c r="G1370" s="37" t="str">
        <f t="shared" si="65"/>
        <v/>
      </c>
    </row>
    <row r="1371" spans="5:7" x14ac:dyDescent="0.45">
      <c r="E1371" s="32" t="str">
        <f t="shared" si="63"/>
        <v>.0</v>
      </c>
      <c r="F1371" s="32" t="str">
        <f t="shared" si="64"/>
        <v>.0</v>
      </c>
      <c r="G1371" s="37" t="str">
        <f t="shared" si="65"/>
        <v/>
      </c>
    </row>
    <row r="1372" spans="5:7" x14ac:dyDescent="0.45">
      <c r="E1372" s="32" t="str">
        <f t="shared" si="63"/>
        <v>.0</v>
      </c>
      <c r="F1372" s="32" t="str">
        <f t="shared" si="64"/>
        <v>.0</v>
      </c>
      <c r="G1372" s="37" t="str">
        <f t="shared" si="65"/>
        <v/>
      </c>
    </row>
    <row r="1373" spans="5:7" x14ac:dyDescent="0.45">
      <c r="E1373" s="32" t="str">
        <f t="shared" si="63"/>
        <v>.0</v>
      </c>
      <c r="F1373" s="32" t="str">
        <f t="shared" si="64"/>
        <v>.0</v>
      </c>
      <c r="G1373" s="37" t="str">
        <f t="shared" si="65"/>
        <v/>
      </c>
    </row>
    <row r="1374" spans="5:7" x14ac:dyDescent="0.45">
      <c r="E1374" s="32" t="str">
        <f t="shared" ref="E1374:E1437" si="66">MID(B1374,3,2)&amp;"."&amp;IF(C1374&lt;10,"0"&amp;C1374,C1374)</f>
        <v>.0</v>
      </c>
      <c r="F1374" s="32" t="str">
        <f t="shared" ref="F1374:F1437" si="67">MID(B1374,3,2)&amp;"."&amp;IF(C1374&lt;10,"0"&amp;C1374,C1374)</f>
        <v>.0</v>
      </c>
      <c r="G1374" s="37" t="str">
        <f t="shared" ref="G1374:G1437" si="68">TEXT(D1374,"#,###,")</f>
        <v/>
      </c>
    </row>
    <row r="1375" spans="5:7" x14ac:dyDescent="0.45">
      <c r="E1375" s="32" t="str">
        <f t="shared" si="66"/>
        <v>.0</v>
      </c>
      <c r="F1375" s="32" t="str">
        <f t="shared" si="67"/>
        <v>.0</v>
      </c>
      <c r="G1375" s="37" t="str">
        <f t="shared" si="68"/>
        <v/>
      </c>
    </row>
    <row r="1376" spans="5:7" x14ac:dyDescent="0.45">
      <c r="E1376" s="32" t="str">
        <f t="shared" si="66"/>
        <v>.0</v>
      </c>
      <c r="F1376" s="32" t="str">
        <f t="shared" si="67"/>
        <v>.0</v>
      </c>
      <c r="G1376" s="37" t="str">
        <f t="shared" si="68"/>
        <v/>
      </c>
    </row>
    <row r="1377" spans="5:7" x14ac:dyDescent="0.45">
      <c r="E1377" s="32" t="str">
        <f t="shared" si="66"/>
        <v>.0</v>
      </c>
      <c r="F1377" s="32" t="str">
        <f t="shared" si="67"/>
        <v>.0</v>
      </c>
      <c r="G1377" s="37" t="str">
        <f t="shared" si="68"/>
        <v/>
      </c>
    </row>
    <row r="1378" spans="5:7" x14ac:dyDescent="0.45">
      <c r="E1378" s="32" t="str">
        <f t="shared" si="66"/>
        <v>.0</v>
      </c>
      <c r="F1378" s="32" t="str">
        <f t="shared" si="67"/>
        <v>.0</v>
      </c>
      <c r="G1378" s="37" t="str">
        <f t="shared" si="68"/>
        <v/>
      </c>
    </row>
    <row r="1379" spans="5:7" x14ac:dyDescent="0.45">
      <c r="E1379" s="32" t="str">
        <f t="shared" si="66"/>
        <v>.0</v>
      </c>
      <c r="F1379" s="32" t="str">
        <f t="shared" si="67"/>
        <v>.0</v>
      </c>
      <c r="G1379" s="37" t="str">
        <f t="shared" si="68"/>
        <v/>
      </c>
    </row>
    <row r="1380" spans="5:7" x14ac:dyDescent="0.45">
      <c r="E1380" s="32" t="str">
        <f t="shared" si="66"/>
        <v>.0</v>
      </c>
      <c r="F1380" s="32" t="str">
        <f t="shared" si="67"/>
        <v>.0</v>
      </c>
      <c r="G1380" s="37" t="str">
        <f t="shared" si="68"/>
        <v/>
      </c>
    </row>
    <row r="1381" spans="5:7" x14ac:dyDescent="0.45">
      <c r="E1381" s="32" t="str">
        <f t="shared" si="66"/>
        <v>.0</v>
      </c>
      <c r="F1381" s="32" t="str">
        <f t="shared" si="67"/>
        <v>.0</v>
      </c>
      <c r="G1381" s="37" t="str">
        <f t="shared" si="68"/>
        <v/>
      </c>
    </row>
    <row r="1382" spans="5:7" x14ac:dyDescent="0.45">
      <c r="E1382" s="32" t="str">
        <f t="shared" si="66"/>
        <v>.0</v>
      </c>
      <c r="F1382" s="32" t="str">
        <f t="shared" si="67"/>
        <v>.0</v>
      </c>
      <c r="G1382" s="37" t="str">
        <f t="shared" si="68"/>
        <v/>
      </c>
    </row>
    <row r="1383" spans="5:7" x14ac:dyDescent="0.45">
      <c r="E1383" s="32" t="str">
        <f t="shared" si="66"/>
        <v>.0</v>
      </c>
      <c r="F1383" s="32" t="str">
        <f t="shared" si="67"/>
        <v>.0</v>
      </c>
      <c r="G1383" s="37" t="str">
        <f t="shared" si="68"/>
        <v/>
      </c>
    </row>
    <row r="1384" spans="5:7" x14ac:dyDescent="0.45">
      <c r="E1384" s="32" t="str">
        <f t="shared" si="66"/>
        <v>.0</v>
      </c>
      <c r="F1384" s="32" t="str">
        <f t="shared" si="67"/>
        <v>.0</v>
      </c>
      <c r="G1384" s="37" t="str">
        <f t="shared" si="68"/>
        <v/>
      </c>
    </row>
    <row r="1385" spans="5:7" x14ac:dyDescent="0.45">
      <c r="E1385" s="32" t="str">
        <f t="shared" si="66"/>
        <v>.0</v>
      </c>
      <c r="F1385" s="32" t="str">
        <f t="shared" si="67"/>
        <v>.0</v>
      </c>
      <c r="G1385" s="37" t="str">
        <f t="shared" si="68"/>
        <v/>
      </c>
    </row>
    <row r="1386" spans="5:7" x14ac:dyDescent="0.45">
      <c r="E1386" s="32" t="str">
        <f t="shared" si="66"/>
        <v>.0</v>
      </c>
      <c r="F1386" s="32" t="str">
        <f t="shared" si="67"/>
        <v>.0</v>
      </c>
      <c r="G1386" s="37" t="str">
        <f t="shared" si="68"/>
        <v/>
      </c>
    </row>
    <row r="1387" spans="5:7" x14ac:dyDescent="0.45">
      <c r="E1387" s="32" t="str">
        <f t="shared" si="66"/>
        <v>.0</v>
      </c>
      <c r="F1387" s="32" t="str">
        <f t="shared" si="67"/>
        <v>.0</v>
      </c>
      <c r="G1387" s="37" t="str">
        <f t="shared" si="68"/>
        <v/>
      </c>
    </row>
    <row r="1388" spans="5:7" x14ac:dyDescent="0.45">
      <c r="E1388" s="32" t="str">
        <f t="shared" si="66"/>
        <v>.0</v>
      </c>
      <c r="F1388" s="32" t="str">
        <f t="shared" si="67"/>
        <v>.0</v>
      </c>
      <c r="G1388" s="37" t="str">
        <f t="shared" si="68"/>
        <v/>
      </c>
    </row>
    <row r="1389" spans="5:7" x14ac:dyDescent="0.45">
      <c r="E1389" s="32" t="str">
        <f t="shared" si="66"/>
        <v>.0</v>
      </c>
      <c r="F1389" s="32" t="str">
        <f t="shared" si="67"/>
        <v>.0</v>
      </c>
      <c r="G1389" s="37" t="str">
        <f t="shared" si="68"/>
        <v/>
      </c>
    </row>
    <row r="1390" spans="5:7" x14ac:dyDescent="0.45">
      <c r="E1390" s="32" t="str">
        <f t="shared" si="66"/>
        <v>.0</v>
      </c>
      <c r="F1390" s="32" t="str">
        <f t="shared" si="67"/>
        <v>.0</v>
      </c>
      <c r="G1390" s="37" t="str">
        <f t="shared" si="68"/>
        <v/>
      </c>
    </row>
    <row r="1391" spans="5:7" x14ac:dyDescent="0.45">
      <c r="E1391" s="32" t="str">
        <f t="shared" si="66"/>
        <v>.0</v>
      </c>
      <c r="F1391" s="32" t="str">
        <f t="shared" si="67"/>
        <v>.0</v>
      </c>
      <c r="G1391" s="37" t="str">
        <f t="shared" si="68"/>
        <v/>
      </c>
    </row>
    <row r="1392" spans="5:7" x14ac:dyDescent="0.45">
      <c r="E1392" s="32" t="str">
        <f t="shared" si="66"/>
        <v>.0</v>
      </c>
      <c r="F1392" s="32" t="str">
        <f t="shared" si="67"/>
        <v>.0</v>
      </c>
      <c r="G1392" s="37" t="str">
        <f t="shared" si="68"/>
        <v/>
      </c>
    </row>
    <row r="1393" spans="5:7" x14ac:dyDescent="0.45">
      <c r="E1393" s="32" t="str">
        <f t="shared" si="66"/>
        <v>.0</v>
      </c>
      <c r="F1393" s="32" t="str">
        <f t="shared" si="67"/>
        <v>.0</v>
      </c>
      <c r="G1393" s="37" t="str">
        <f t="shared" si="68"/>
        <v/>
      </c>
    </row>
    <row r="1394" spans="5:7" x14ac:dyDescent="0.45">
      <c r="E1394" s="32" t="str">
        <f t="shared" si="66"/>
        <v>.0</v>
      </c>
      <c r="F1394" s="32" t="str">
        <f t="shared" si="67"/>
        <v>.0</v>
      </c>
      <c r="G1394" s="37" t="str">
        <f t="shared" si="68"/>
        <v/>
      </c>
    </row>
    <row r="1395" spans="5:7" x14ac:dyDescent="0.45">
      <c r="E1395" s="32" t="str">
        <f t="shared" si="66"/>
        <v>.0</v>
      </c>
      <c r="F1395" s="32" t="str">
        <f t="shared" si="67"/>
        <v>.0</v>
      </c>
      <c r="G1395" s="37" t="str">
        <f t="shared" si="68"/>
        <v/>
      </c>
    </row>
    <row r="1396" spans="5:7" x14ac:dyDescent="0.45">
      <c r="E1396" s="32" t="str">
        <f t="shared" si="66"/>
        <v>.0</v>
      </c>
      <c r="F1396" s="32" t="str">
        <f t="shared" si="67"/>
        <v>.0</v>
      </c>
      <c r="G1396" s="37" t="str">
        <f t="shared" si="68"/>
        <v/>
      </c>
    </row>
    <row r="1397" spans="5:7" x14ac:dyDescent="0.45">
      <c r="E1397" s="32" t="str">
        <f t="shared" si="66"/>
        <v>.0</v>
      </c>
      <c r="F1397" s="32" t="str">
        <f t="shared" si="67"/>
        <v>.0</v>
      </c>
      <c r="G1397" s="37" t="str">
        <f t="shared" si="68"/>
        <v/>
      </c>
    </row>
    <row r="1398" spans="5:7" x14ac:dyDescent="0.45">
      <c r="E1398" s="32" t="str">
        <f t="shared" si="66"/>
        <v>.0</v>
      </c>
      <c r="F1398" s="32" t="str">
        <f t="shared" si="67"/>
        <v>.0</v>
      </c>
      <c r="G1398" s="37" t="str">
        <f t="shared" si="68"/>
        <v/>
      </c>
    </row>
    <row r="1399" spans="5:7" x14ac:dyDescent="0.45">
      <c r="E1399" s="32" t="str">
        <f t="shared" si="66"/>
        <v>.0</v>
      </c>
      <c r="F1399" s="32" t="str">
        <f t="shared" si="67"/>
        <v>.0</v>
      </c>
      <c r="G1399" s="37" t="str">
        <f t="shared" si="68"/>
        <v/>
      </c>
    </row>
    <row r="1400" spans="5:7" x14ac:dyDescent="0.45">
      <c r="E1400" s="32" t="str">
        <f t="shared" si="66"/>
        <v>.0</v>
      </c>
      <c r="F1400" s="32" t="str">
        <f t="shared" si="67"/>
        <v>.0</v>
      </c>
      <c r="G1400" s="37" t="str">
        <f t="shared" si="68"/>
        <v/>
      </c>
    </row>
    <row r="1401" spans="5:7" x14ac:dyDescent="0.45">
      <c r="E1401" s="32" t="str">
        <f t="shared" si="66"/>
        <v>.0</v>
      </c>
      <c r="F1401" s="32" t="str">
        <f t="shared" si="67"/>
        <v>.0</v>
      </c>
      <c r="G1401" s="37" t="str">
        <f t="shared" si="68"/>
        <v/>
      </c>
    </row>
    <row r="1402" spans="5:7" x14ac:dyDescent="0.45">
      <c r="E1402" s="32" t="str">
        <f t="shared" si="66"/>
        <v>.0</v>
      </c>
      <c r="F1402" s="32" t="str">
        <f t="shared" si="67"/>
        <v>.0</v>
      </c>
      <c r="G1402" s="37" t="str">
        <f t="shared" si="68"/>
        <v/>
      </c>
    </row>
    <row r="1403" spans="5:7" x14ac:dyDescent="0.45">
      <c r="E1403" s="32" t="str">
        <f t="shared" si="66"/>
        <v>.0</v>
      </c>
      <c r="F1403" s="32" t="str">
        <f t="shared" si="67"/>
        <v>.0</v>
      </c>
      <c r="G1403" s="37" t="str">
        <f t="shared" si="68"/>
        <v/>
      </c>
    </row>
    <row r="1404" spans="5:7" x14ac:dyDescent="0.45">
      <c r="E1404" s="32" t="str">
        <f t="shared" si="66"/>
        <v>.0</v>
      </c>
      <c r="F1404" s="32" t="str">
        <f t="shared" si="67"/>
        <v>.0</v>
      </c>
      <c r="G1404" s="37" t="str">
        <f t="shared" si="68"/>
        <v/>
      </c>
    </row>
    <row r="1405" spans="5:7" x14ac:dyDescent="0.45">
      <c r="E1405" s="32" t="str">
        <f t="shared" si="66"/>
        <v>.0</v>
      </c>
      <c r="F1405" s="32" t="str">
        <f t="shared" si="67"/>
        <v>.0</v>
      </c>
      <c r="G1405" s="37" t="str">
        <f t="shared" si="68"/>
        <v/>
      </c>
    </row>
    <row r="1406" spans="5:7" x14ac:dyDescent="0.45">
      <c r="E1406" s="32" t="str">
        <f t="shared" si="66"/>
        <v>.0</v>
      </c>
      <c r="F1406" s="32" t="str">
        <f t="shared" si="67"/>
        <v>.0</v>
      </c>
      <c r="G1406" s="37" t="str">
        <f t="shared" si="68"/>
        <v/>
      </c>
    </row>
    <row r="1407" spans="5:7" x14ac:dyDescent="0.45">
      <c r="E1407" s="32" t="str">
        <f t="shared" si="66"/>
        <v>.0</v>
      </c>
      <c r="F1407" s="32" t="str">
        <f t="shared" si="67"/>
        <v>.0</v>
      </c>
      <c r="G1407" s="37" t="str">
        <f t="shared" si="68"/>
        <v/>
      </c>
    </row>
    <row r="1408" spans="5:7" x14ac:dyDescent="0.45">
      <c r="E1408" s="32" t="str">
        <f t="shared" si="66"/>
        <v>.0</v>
      </c>
      <c r="F1408" s="32" t="str">
        <f t="shared" si="67"/>
        <v>.0</v>
      </c>
      <c r="G1408" s="37" t="str">
        <f t="shared" si="68"/>
        <v/>
      </c>
    </row>
    <row r="1409" spans="5:7" x14ac:dyDescent="0.45">
      <c r="E1409" s="32" t="str">
        <f t="shared" si="66"/>
        <v>.0</v>
      </c>
      <c r="F1409" s="32" t="str">
        <f t="shared" si="67"/>
        <v>.0</v>
      </c>
      <c r="G1409" s="37" t="str">
        <f t="shared" si="68"/>
        <v/>
      </c>
    </row>
    <row r="1410" spans="5:7" x14ac:dyDescent="0.45">
      <c r="E1410" s="32" t="str">
        <f t="shared" si="66"/>
        <v>.0</v>
      </c>
      <c r="F1410" s="32" t="str">
        <f t="shared" si="67"/>
        <v>.0</v>
      </c>
      <c r="G1410" s="37" t="str">
        <f t="shared" si="68"/>
        <v/>
      </c>
    </row>
    <row r="1411" spans="5:7" x14ac:dyDescent="0.45">
      <c r="E1411" s="32" t="str">
        <f t="shared" si="66"/>
        <v>.0</v>
      </c>
      <c r="F1411" s="32" t="str">
        <f t="shared" si="67"/>
        <v>.0</v>
      </c>
      <c r="G1411" s="37" t="str">
        <f t="shared" si="68"/>
        <v/>
      </c>
    </row>
    <row r="1412" spans="5:7" x14ac:dyDescent="0.45">
      <c r="E1412" s="32" t="str">
        <f t="shared" si="66"/>
        <v>.0</v>
      </c>
      <c r="F1412" s="32" t="str">
        <f t="shared" si="67"/>
        <v>.0</v>
      </c>
      <c r="G1412" s="37" t="str">
        <f t="shared" si="68"/>
        <v/>
      </c>
    </row>
    <row r="1413" spans="5:7" x14ac:dyDescent="0.45">
      <c r="E1413" s="32" t="str">
        <f t="shared" si="66"/>
        <v>.0</v>
      </c>
      <c r="F1413" s="32" t="str">
        <f t="shared" si="67"/>
        <v>.0</v>
      </c>
      <c r="G1413" s="37" t="str">
        <f t="shared" si="68"/>
        <v/>
      </c>
    </row>
    <row r="1414" spans="5:7" x14ac:dyDescent="0.45">
      <c r="E1414" s="32" t="str">
        <f t="shared" si="66"/>
        <v>.0</v>
      </c>
      <c r="F1414" s="32" t="str">
        <f t="shared" si="67"/>
        <v>.0</v>
      </c>
      <c r="G1414" s="37" t="str">
        <f t="shared" si="68"/>
        <v/>
      </c>
    </row>
    <row r="1415" spans="5:7" x14ac:dyDescent="0.45">
      <c r="E1415" s="32" t="str">
        <f t="shared" si="66"/>
        <v>.0</v>
      </c>
      <c r="F1415" s="32" t="str">
        <f t="shared" si="67"/>
        <v>.0</v>
      </c>
      <c r="G1415" s="37" t="str">
        <f t="shared" si="68"/>
        <v/>
      </c>
    </row>
    <row r="1416" spans="5:7" x14ac:dyDescent="0.45">
      <c r="E1416" s="32" t="str">
        <f t="shared" si="66"/>
        <v>.0</v>
      </c>
      <c r="F1416" s="32" t="str">
        <f t="shared" si="67"/>
        <v>.0</v>
      </c>
      <c r="G1416" s="37" t="str">
        <f t="shared" si="68"/>
        <v/>
      </c>
    </row>
    <row r="1417" spans="5:7" x14ac:dyDescent="0.45">
      <c r="E1417" s="32" t="str">
        <f t="shared" si="66"/>
        <v>.0</v>
      </c>
      <c r="F1417" s="32" t="str">
        <f t="shared" si="67"/>
        <v>.0</v>
      </c>
      <c r="G1417" s="37" t="str">
        <f t="shared" si="68"/>
        <v/>
      </c>
    </row>
    <row r="1418" spans="5:7" x14ac:dyDescent="0.45">
      <c r="E1418" s="32" t="str">
        <f t="shared" si="66"/>
        <v>.0</v>
      </c>
      <c r="F1418" s="32" t="str">
        <f t="shared" si="67"/>
        <v>.0</v>
      </c>
      <c r="G1418" s="37" t="str">
        <f t="shared" si="68"/>
        <v/>
      </c>
    </row>
    <row r="1419" spans="5:7" x14ac:dyDescent="0.45">
      <c r="E1419" s="32" t="str">
        <f t="shared" si="66"/>
        <v>.0</v>
      </c>
      <c r="F1419" s="32" t="str">
        <f t="shared" si="67"/>
        <v>.0</v>
      </c>
      <c r="G1419" s="37" t="str">
        <f t="shared" si="68"/>
        <v/>
      </c>
    </row>
    <row r="1420" spans="5:7" x14ac:dyDescent="0.45">
      <c r="E1420" s="32" t="str">
        <f t="shared" si="66"/>
        <v>.0</v>
      </c>
      <c r="F1420" s="32" t="str">
        <f t="shared" si="67"/>
        <v>.0</v>
      </c>
      <c r="G1420" s="37" t="str">
        <f t="shared" si="68"/>
        <v/>
      </c>
    </row>
    <row r="1421" spans="5:7" x14ac:dyDescent="0.45">
      <c r="E1421" s="32" t="str">
        <f t="shared" si="66"/>
        <v>.0</v>
      </c>
      <c r="F1421" s="32" t="str">
        <f t="shared" si="67"/>
        <v>.0</v>
      </c>
      <c r="G1421" s="37" t="str">
        <f t="shared" si="68"/>
        <v/>
      </c>
    </row>
    <row r="1422" spans="5:7" x14ac:dyDescent="0.45">
      <c r="E1422" s="32" t="str">
        <f t="shared" si="66"/>
        <v>.0</v>
      </c>
      <c r="F1422" s="32" t="str">
        <f t="shared" si="67"/>
        <v>.0</v>
      </c>
      <c r="G1422" s="37" t="str">
        <f t="shared" si="68"/>
        <v/>
      </c>
    </row>
    <row r="1423" spans="5:7" x14ac:dyDescent="0.45">
      <c r="E1423" s="32" t="str">
        <f t="shared" si="66"/>
        <v>.0</v>
      </c>
      <c r="F1423" s="32" t="str">
        <f t="shared" si="67"/>
        <v>.0</v>
      </c>
      <c r="G1423" s="37" t="str">
        <f t="shared" si="68"/>
        <v/>
      </c>
    </row>
    <row r="1424" spans="5:7" x14ac:dyDescent="0.45">
      <c r="E1424" s="32" t="str">
        <f t="shared" si="66"/>
        <v>.0</v>
      </c>
      <c r="F1424" s="32" t="str">
        <f t="shared" si="67"/>
        <v>.0</v>
      </c>
      <c r="G1424" s="37" t="str">
        <f t="shared" si="68"/>
        <v/>
      </c>
    </row>
    <row r="1425" spans="5:7" x14ac:dyDescent="0.45">
      <c r="E1425" s="32" t="str">
        <f t="shared" si="66"/>
        <v>.0</v>
      </c>
      <c r="F1425" s="32" t="str">
        <f t="shared" si="67"/>
        <v>.0</v>
      </c>
      <c r="G1425" s="37" t="str">
        <f t="shared" si="68"/>
        <v/>
      </c>
    </row>
    <row r="1426" spans="5:7" x14ac:dyDescent="0.45">
      <c r="E1426" s="32" t="str">
        <f t="shared" si="66"/>
        <v>.0</v>
      </c>
      <c r="F1426" s="32" t="str">
        <f t="shared" si="67"/>
        <v>.0</v>
      </c>
      <c r="G1426" s="37" t="str">
        <f t="shared" si="68"/>
        <v/>
      </c>
    </row>
    <row r="1427" spans="5:7" x14ac:dyDescent="0.45">
      <c r="E1427" s="32" t="str">
        <f t="shared" si="66"/>
        <v>.0</v>
      </c>
      <c r="F1427" s="32" t="str">
        <f t="shared" si="67"/>
        <v>.0</v>
      </c>
      <c r="G1427" s="37" t="str">
        <f t="shared" si="68"/>
        <v/>
      </c>
    </row>
    <row r="1428" spans="5:7" x14ac:dyDescent="0.45">
      <c r="E1428" s="32" t="str">
        <f t="shared" si="66"/>
        <v>.0</v>
      </c>
      <c r="F1428" s="32" t="str">
        <f t="shared" si="67"/>
        <v>.0</v>
      </c>
      <c r="G1428" s="37" t="str">
        <f t="shared" si="68"/>
        <v/>
      </c>
    </row>
    <row r="1429" spans="5:7" x14ac:dyDescent="0.45">
      <c r="E1429" s="32" t="str">
        <f t="shared" si="66"/>
        <v>.0</v>
      </c>
      <c r="F1429" s="32" t="str">
        <f t="shared" si="67"/>
        <v>.0</v>
      </c>
      <c r="G1429" s="37" t="str">
        <f t="shared" si="68"/>
        <v/>
      </c>
    </row>
    <row r="1430" spans="5:7" x14ac:dyDescent="0.45">
      <c r="E1430" s="32" t="str">
        <f t="shared" si="66"/>
        <v>.0</v>
      </c>
      <c r="F1430" s="32" t="str">
        <f t="shared" si="67"/>
        <v>.0</v>
      </c>
      <c r="G1430" s="37" t="str">
        <f t="shared" si="68"/>
        <v/>
      </c>
    </row>
    <row r="1431" spans="5:7" x14ac:dyDescent="0.45">
      <c r="E1431" s="32" t="str">
        <f t="shared" si="66"/>
        <v>.0</v>
      </c>
      <c r="F1431" s="32" t="str">
        <f t="shared" si="67"/>
        <v>.0</v>
      </c>
      <c r="G1431" s="37" t="str">
        <f t="shared" si="68"/>
        <v/>
      </c>
    </row>
    <row r="1432" spans="5:7" x14ac:dyDescent="0.45">
      <c r="E1432" s="32" t="str">
        <f t="shared" si="66"/>
        <v>.0</v>
      </c>
      <c r="F1432" s="32" t="str">
        <f t="shared" si="67"/>
        <v>.0</v>
      </c>
      <c r="G1432" s="37" t="str">
        <f t="shared" si="68"/>
        <v/>
      </c>
    </row>
    <row r="1433" spans="5:7" x14ac:dyDescent="0.45">
      <c r="E1433" s="32" t="str">
        <f t="shared" si="66"/>
        <v>.0</v>
      </c>
      <c r="F1433" s="32" t="str">
        <f t="shared" si="67"/>
        <v>.0</v>
      </c>
      <c r="G1433" s="37" t="str">
        <f t="shared" si="68"/>
        <v/>
      </c>
    </row>
    <row r="1434" spans="5:7" x14ac:dyDescent="0.45">
      <c r="E1434" s="32" t="str">
        <f t="shared" si="66"/>
        <v>.0</v>
      </c>
      <c r="F1434" s="32" t="str">
        <f t="shared" si="67"/>
        <v>.0</v>
      </c>
      <c r="G1434" s="37" t="str">
        <f t="shared" si="68"/>
        <v/>
      </c>
    </row>
    <row r="1435" spans="5:7" x14ac:dyDescent="0.45">
      <c r="E1435" s="32" t="str">
        <f t="shared" si="66"/>
        <v>.0</v>
      </c>
      <c r="F1435" s="32" t="str">
        <f t="shared" si="67"/>
        <v>.0</v>
      </c>
      <c r="G1435" s="37" t="str">
        <f t="shared" si="68"/>
        <v/>
      </c>
    </row>
    <row r="1436" spans="5:7" x14ac:dyDescent="0.45">
      <c r="E1436" s="32" t="str">
        <f t="shared" si="66"/>
        <v>.0</v>
      </c>
      <c r="F1436" s="32" t="str">
        <f t="shared" si="67"/>
        <v>.0</v>
      </c>
      <c r="G1436" s="37" t="str">
        <f t="shared" si="68"/>
        <v/>
      </c>
    </row>
    <row r="1437" spans="5:7" x14ac:dyDescent="0.45">
      <c r="E1437" s="32" t="str">
        <f t="shared" si="66"/>
        <v>.0</v>
      </c>
      <c r="F1437" s="32" t="str">
        <f t="shared" si="67"/>
        <v>.0</v>
      </c>
      <c r="G1437" s="37" t="str">
        <f t="shared" si="68"/>
        <v/>
      </c>
    </row>
    <row r="1438" spans="5:7" x14ac:dyDescent="0.45">
      <c r="E1438" s="32" t="str">
        <f t="shared" ref="E1438:E1501" si="69">MID(B1438,3,2)&amp;"."&amp;IF(C1438&lt;10,"0"&amp;C1438,C1438)</f>
        <v>.0</v>
      </c>
      <c r="F1438" s="32" t="str">
        <f t="shared" ref="F1438:F1501" si="70">MID(B1438,3,2)&amp;"."&amp;IF(C1438&lt;10,"0"&amp;C1438,C1438)</f>
        <v>.0</v>
      </c>
      <c r="G1438" s="37" t="str">
        <f t="shared" ref="G1438:G1501" si="71">TEXT(D1438,"#,###,")</f>
        <v/>
      </c>
    </row>
    <row r="1439" spans="5:7" x14ac:dyDescent="0.45">
      <c r="E1439" s="32" t="str">
        <f t="shared" si="69"/>
        <v>.0</v>
      </c>
      <c r="F1439" s="32" t="str">
        <f t="shared" si="70"/>
        <v>.0</v>
      </c>
      <c r="G1439" s="37" t="str">
        <f t="shared" si="71"/>
        <v/>
      </c>
    </row>
    <row r="1440" spans="5:7" x14ac:dyDescent="0.45">
      <c r="E1440" s="32" t="str">
        <f t="shared" si="69"/>
        <v>.0</v>
      </c>
      <c r="F1440" s="32" t="str">
        <f t="shared" si="70"/>
        <v>.0</v>
      </c>
      <c r="G1440" s="37" t="str">
        <f t="shared" si="71"/>
        <v/>
      </c>
    </row>
    <row r="1441" spans="5:7" x14ac:dyDescent="0.45">
      <c r="E1441" s="32" t="str">
        <f t="shared" si="69"/>
        <v>.0</v>
      </c>
      <c r="F1441" s="32" t="str">
        <f t="shared" si="70"/>
        <v>.0</v>
      </c>
      <c r="G1441" s="37" t="str">
        <f t="shared" si="71"/>
        <v/>
      </c>
    </row>
    <row r="1442" spans="5:7" x14ac:dyDescent="0.45">
      <c r="E1442" s="32" t="str">
        <f t="shared" si="69"/>
        <v>.0</v>
      </c>
      <c r="F1442" s="32" t="str">
        <f t="shared" si="70"/>
        <v>.0</v>
      </c>
      <c r="G1442" s="37" t="str">
        <f t="shared" si="71"/>
        <v/>
      </c>
    </row>
    <row r="1443" spans="5:7" x14ac:dyDescent="0.45">
      <c r="E1443" s="32" t="str">
        <f t="shared" si="69"/>
        <v>.0</v>
      </c>
      <c r="F1443" s="32" t="str">
        <f t="shared" si="70"/>
        <v>.0</v>
      </c>
      <c r="G1443" s="37" t="str">
        <f t="shared" si="71"/>
        <v/>
      </c>
    </row>
    <row r="1444" spans="5:7" x14ac:dyDescent="0.45">
      <c r="E1444" s="32" t="str">
        <f t="shared" si="69"/>
        <v>.0</v>
      </c>
      <c r="F1444" s="32" t="str">
        <f t="shared" si="70"/>
        <v>.0</v>
      </c>
      <c r="G1444" s="37" t="str">
        <f t="shared" si="71"/>
        <v/>
      </c>
    </row>
    <row r="1445" spans="5:7" x14ac:dyDescent="0.45">
      <c r="E1445" s="32" t="str">
        <f t="shared" si="69"/>
        <v>.0</v>
      </c>
      <c r="F1445" s="32" t="str">
        <f t="shared" si="70"/>
        <v>.0</v>
      </c>
      <c r="G1445" s="37" t="str">
        <f t="shared" si="71"/>
        <v/>
      </c>
    </row>
    <row r="1446" spans="5:7" x14ac:dyDescent="0.45">
      <c r="E1446" s="32" t="str">
        <f t="shared" si="69"/>
        <v>.0</v>
      </c>
      <c r="F1446" s="32" t="str">
        <f t="shared" si="70"/>
        <v>.0</v>
      </c>
      <c r="G1446" s="37" t="str">
        <f t="shared" si="71"/>
        <v/>
      </c>
    </row>
    <row r="1447" spans="5:7" x14ac:dyDescent="0.45">
      <c r="E1447" s="32" t="str">
        <f t="shared" si="69"/>
        <v>.0</v>
      </c>
      <c r="F1447" s="32" t="str">
        <f t="shared" si="70"/>
        <v>.0</v>
      </c>
      <c r="G1447" s="37" t="str">
        <f t="shared" si="71"/>
        <v/>
      </c>
    </row>
    <row r="1448" spans="5:7" x14ac:dyDescent="0.45">
      <c r="E1448" s="32" t="str">
        <f t="shared" si="69"/>
        <v>.0</v>
      </c>
      <c r="F1448" s="32" t="str">
        <f t="shared" si="70"/>
        <v>.0</v>
      </c>
      <c r="G1448" s="37" t="str">
        <f t="shared" si="71"/>
        <v/>
      </c>
    </row>
    <row r="1449" spans="5:7" x14ac:dyDescent="0.45">
      <c r="E1449" s="32" t="str">
        <f t="shared" si="69"/>
        <v>.0</v>
      </c>
      <c r="F1449" s="32" t="str">
        <f t="shared" si="70"/>
        <v>.0</v>
      </c>
      <c r="G1449" s="37" t="str">
        <f t="shared" si="71"/>
        <v/>
      </c>
    </row>
    <row r="1450" spans="5:7" x14ac:dyDescent="0.45">
      <c r="E1450" s="32" t="str">
        <f t="shared" si="69"/>
        <v>.0</v>
      </c>
      <c r="F1450" s="32" t="str">
        <f t="shared" si="70"/>
        <v>.0</v>
      </c>
      <c r="G1450" s="37" t="str">
        <f t="shared" si="71"/>
        <v/>
      </c>
    </row>
    <row r="1451" spans="5:7" x14ac:dyDescent="0.45">
      <c r="E1451" s="32" t="str">
        <f t="shared" si="69"/>
        <v>.0</v>
      </c>
      <c r="F1451" s="32" t="str">
        <f t="shared" si="70"/>
        <v>.0</v>
      </c>
      <c r="G1451" s="37" t="str">
        <f t="shared" si="71"/>
        <v/>
      </c>
    </row>
    <row r="1452" spans="5:7" x14ac:dyDescent="0.45">
      <c r="E1452" s="32" t="str">
        <f t="shared" si="69"/>
        <v>.0</v>
      </c>
      <c r="F1452" s="32" t="str">
        <f t="shared" si="70"/>
        <v>.0</v>
      </c>
      <c r="G1452" s="37" t="str">
        <f t="shared" si="71"/>
        <v/>
      </c>
    </row>
    <row r="1453" spans="5:7" x14ac:dyDescent="0.45">
      <c r="E1453" s="32" t="str">
        <f t="shared" si="69"/>
        <v>.0</v>
      </c>
      <c r="F1453" s="32" t="str">
        <f t="shared" si="70"/>
        <v>.0</v>
      </c>
      <c r="G1453" s="37" t="str">
        <f t="shared" si="71"/>
        <v/>
      </c>
    </row>
    <row r="1454" spans="5:7" x14ac:dyDescent="0.45">
      <c r="E1454" s="32" t="str">
        <f t="shared" si="69"/>
        <v>.0</v>
      </c>
      <c r="F1454" s="32" t="str">
        <f t="shared" si="70"/>
        <v>.0</v>
      </c>
      <c r="G1454" s="37" t="str">
        <f t="shared" si="71"/>
        <v/>
      </c>
    </row>
    <row r="1455" spans="5:7" x14ac:dyDescent="0.45">
      <c r="E1455" s="32" t="str">
        <f t="shared" si="69"/>
        <v>.0</v>
      </c>
      <c r="F1455" s="32" t="str">
        <f t="shared" si="70"/>
        <v>.0</v>
      </c>
      <c r="G1455" s="37" t="str">
        <f t="shared" si="71"/>
        <v/>
      </c>
    </row>
    <row r="1456" spans="5:7" x14ac:dyDescent="0.45">
      <c r="E1456" s="32" t="str">
        <f t="shared" si="69"/>
        <v>.0</v>
      </c>
      <c r="F1456" s="32" t="str">
        <f t="shared" si="70"/>
        <v>.0</v>
      </c>
      <c r="G1456" s="37" t="str">
        <f t="shared" si="71"/>
        <v/>
      </c>
    </row>
    <row r="1457" spans="5:7" x14ac:dyDescent="0.45">
      <c r="E1457" s="32" t="str">
        <f t="shared" si="69"/>
        <v>.0</v>
      </c>
      <c r="F1457" s="32" t="str">
        <f t="shared" si="70"/>
        <v>.0</v>
      </c>
      <c r="G1457" s="37" t="str">
        <f t="shared" si="71"/>
        <v/>
      </c>
    </row>
    <row r="1458" spans="5:7" x14ac:dyDescent="0.45">
      <c r="E1458" s="32" t="str">
        <f t="shared" si="69"/>
        <v>.0</v>
      </c>
      <c r="F1458" s="32" t="str">
        <f t="shared" si="70"/>
        <v>.0</v>
      </c>
      <c r="G1458" s="37" t="str">
        <f t="shared" si="71"/>
        <v/>
      </c>
    </row>
    <row r="1459" spans="5:7" x14ac:dyDescent="0.45">
      <c r="E1459" s="32" t="str">
        <f t="shared" si="69"/>
        <v>.0</v>
      </c>
      <c r="F1459" s="32" t="str">
        <f t="shared" si="70"/>
        <v>.0</v>
      </c>
      <c r="G1459" s="37" t="str">
        <f t="shared" si="71"/>
        <v/>
      </c>
    </row>
    <row r="1460" spans="5:7" x14ac:dyDescent="0.45">
      <c r="E1460" s="32" t="str">
        <f t="shared" si="69"/>
        <v>.0</v>
      </c>
      <c r="F1460" s="32" t="str">
        <f t="shared" si="70"/>
        <v>.0</v>
      </c>
      <c r="G1460" s="37" t="str">
        <f t="shared" si="71"/>
        <v/>
      </c>
    </row>
    <row r="1461" spans="5:7" x14ac:dyDescent="0.45">
      <c r="E1461" s="32" t="str">
        <f t="shared" si="69"/>
        <v>.0</v>
      </c>
      <c r="F1461" s="32" t="str">
        <f t="shared" si="70"/>
        <v>.0</v>
      </c>
      <c r="G1461" s="37" t="str">
        <f t="shared" si="71"/>
        <v/>
      </c>
    </row>
    <row r="1462" spans="5:7" x14ac:dyDescent="0.45">
      <c r="E1462" s="32" t="str">
        <f t="shared" si="69"/>
        <v>.0</v>
      </c>
      <c r="F1462" s="32" t="str">
        <f t="shared" si="70"/>
        <v>.0</v>
      </c>
      <c r="G1462" s="37" t="str">
        <f t="shared" si="71"/>
        <v/>
      </c>
    </row>
    <row r="1463" spans="5:7" x14ac:dyDescent="0.45">
      <c r="E1463" s="32" t="str">
        <f t="shared" si="69"/>
        <v>.0</v>
      </c>
      <c r="F1463" s="32" t="str">
        <f t="shared" si="70"/>
        <v>.0</v>
      </c>
      <c r="G1463" s="37" t="str">
        <f t="shared" si="71"/>
        <v/>
      </c>
    </row>
    <row r="1464" spans="5:7" x14ac:dyDescent="0.45">
      <c r="E1464" s="32" t="str">
        <f t="shared" si="69"/>
        <v>.0</v>
      </c>
      <c r="F1464" s="32" t="str">
        <f t="shared" si="70"/>
        <v>.0</v>
      </c>
      <c r="G1464" s="37" t="str">
        <f t="shared" si="71"/>
        <v/>
      </c>
    </row>
    <row r="1465" spans="5:7" x14ac:dyDescent="0.45">
      <c r="E1465" s="32" t="str">
        <f t="shared" si="69"/>
        <v>.0</v>
      </c>
      <c r="F1465" s="32" t="str">
        <f t="shared" si="70"/>
        <v>.0</v>
      </c>
      <c r="G1465" s="37" t="str">
        <f t="shared" si="71"/>
        <v/>
      </c>
    </row>
    <row r="1466" spans="5:7" x14ac:dyDescent="0.45">
      <c r="E1466" s="32" t="str">
        <f t="shared" si="69"/>
        <v>.0</v>
      </c>
      <c r="F1466" s="32" t="str">
        <f t="shared" si="70"/>
        <v>.0</v>
      </c>
      <c r="G1466" s="37" t="str">
        <f t="shared" si="71"/>
        <v/>
      </c>
    </row>
    <row r="1467" spans="5:7" x14ac:dyDescent="0.45">
      <c r="E1467" s="32" t="str">
        <f t="shared" si="69"/>
        <v>.0</v>
      </c>
      <c r="F1467" s="32" t="str">
        <f t="shared" si="70"/>
        <v>.0</v>
      </c>
      <c r="G1467" s="37" t="str">
        <f t="shared" si="71"/>
        <v/>
      </c>
    </row>
    <row r="1468" spans="5:7" x14ac:dyDescent="0.45">
      <c r="E1468" s="32" t="str">
        <f t="shared" si="69"/>
        <v>.0</v>
      </c>
      <c r="F1468" s="32" t="str">
        <f t="shared" si="70"/>
        <v>.0</v>
      </c>
      <c r="G1468" s="37" t="str">
        <f t="shared" si="71"/>
        <v/>
      </c>
    </row>
    <row r="1469" spans="5:7" x14ac:dyDescent="0.45">
      <c r="E1469" s="32" t="str">
        <f t="shared" si="69"/>
        <v>.0</v>
      </c>
      <c r="F1469" s="32" t="str">
        <f t="shared" si="70"/>
        <v>.0</v>
      </c>
      <c r="G1469" s="37" t="str">
        <f t="shared" si="71"/>
        <v/>
      </c>
    </row>
    <row r="1470" spans="5:7" x14ac:dyDescent="0.45">
      <c r="E1470" s="32" t="str">
        <f t="shared" si="69"/>
        <v>.0</v>
      </c>
      <c r="F1470" s="32" t="str">
        <f t="shared" si="70"/>
        <v>.0</v>
      </c>
      <c r="G1470" s="37" t="str">
        <f t="shared" si="71"/>
        <v/>
      </c>
    </row>
    <row r="1471" spans="5:7" x14ac:dyDescent="0.45">
      <c r="E1471" s="32" t="str">
        <f t="shared" si="69"/>
        <v>.0</v>
      </c>
      <c r="F1471" s="32" t="str">
        <f t="shared" si="70"/>
        <v>.0</v>
      </c>
      <c r="G1471" s="37" t="str">
        <f t="shared" si="71"/>
        <v/>
      </c>
    </row>
    <row r="1472" spans="5:7" x14ac:dyDescent="0.45">
      <c r="E1472" s="32" t="str">
        <f t="shared" si="69"/>
        <v>.0</v>
      </c>
      <c r="F1472" s="32" t="str">
        <f t="shared" si="70"/>
        <v>.0</v>
      </c>
      <c r="G1472" s="37" t="str">
        <f t="shared" si="71"/>
        <v/>
      </c>
    </row>
    <row r="1473" spans="5:7" x14ac:dyDescent="0.45">
      <c r="E1473" s="32" t="str">
        <f t="shared" si="69"/>
        <v>.0</v>
      </c>
      <c r="F1473" s="32" t="str">
        <f t="shared" si="70"/>
        <v>.0</v>
      </c>
      <c r="G1473" s="37" t="str">
        <f t="shared" si="71"/>
        <v/>
      </c>
    </row>
    <row r="1474" spans="5:7" x14ac:dyDescent="0.45">
      <c r="E1474" s="32" t="str">
        <f t="shared" si="69"/>
        <v>.0</v>
      </c>
      <c r="F1474" s="32" t="str">
        <f t="shared" si="70"/>
        <v>.0</v>
      </c>
      <c r="G1474" s="37" t="str">
        <f t="shared" si="71"/>
        <v/>
      </c>
    </row>
    <row r="1475" spans="5:7" x14ac:dyDescent="0.45">
      <c r="E1475" s="32" t="str">
        <f t="shared" si="69"/>
        <v>.0</v>
      </c>
      <c r="F1475" s="32" t="str">
        <f t="shared" si="70"/>
        <v>.0</v>
      </c>
      <c r="G1475" s="37" t="str">
        <f t="shared" si="71"/>
        <v/>
      </c>
    </row>
    <row r="1476" spans="5:7" x14ac:dyDescent="0.45">
      <c r="E1476" s="32" t="str">
        <f t="shared" si="69"/>
        <v>.0</v>
      </c>
      <c r="F1476" s="32" t="str">
        <f t="shared" si="70"/>
        <v>.0</v>
      </c>
      <c r="G1476" s="37" t="str">
        <f t="shared" si="71"/>
        <v/>
      </c>
    </row>
    <row r="1477" spans="5:7" x14ac:dyDescent="0.45">
      <c r="E1477" s="32" t="str">
        <f t="shared" si="69"/>
        <v>.0</v>
      </c>
      <c r="F1477" s="32" t="str">
        <f t="shared" si="70"/>
        <v>.0</v>
      </c>
      <c r="G1477" s="37" t="str">
        <f t="shared" si="71"/>
        <v/>
      </c>
    </row>
    <row r="1478" spans="5:7" x14ac:dyDescent="0.45">
      <c r="E1478" s="32" t="str">
        <f t="shared" si="69"/>
        <v>.0</v>
      </c>
      <c r="F1478" s="32" t="str">
        <f t="shared" si="70"/>
        <v>.0</v>
      </c>
      <c r="G1478" s="37" t="str">
        <f t="shared" si="71"/>
        <v/>
      </c>
    </row>
    <row r="1479" spans="5:7" x14ac:dyDescent="0.45">
      <c r="E1479" s="32" t="str">
        <f t="shared" si="69"/>
        <v>.0</v>
      </c>
      <c r="F1479" s="32" t="str">
        <f t="shared" si="70"/>
        <v>.0</v>
      </c>
      <c r="G1479" s="37" t="str">
        <f t="shared" si="71"/>
        <v/>
      </c>
    </row>
    <row r="1480" spans="5:7" x14ac:dyDescent="0.45">
      <c r="E1480" s="32" t="str">
        <f t="shared" si="69"/>
        <v>.0</v>
      </c>
      <c r="F1480" s="32" t="str">
        <f t="shared" si="70"/>
        <v>.0</v>
      </c>
      <c r="G1480" s="37" t="str">
        <f t="shared" si="71"/>
        <v/>
      </c>
    </row>
    <row r="1481" spans="5:7" x14ac:dyDescent="0.45">
      <c r="E1481" s="32" t="str">
        <f t="shared" si="69"/>
        <v>.0</v>
      </c>
      <c r="F1481" s="32" t="str">
        <f t="shared" si="70"/>
        <v>.0</v>
      </c>
      <c r="G1481" s="37" t="str">
        <f t="shared" si="71"/>
        <v/>
      </c>
    </row>
    <row r="1482" spans="5:7" x14ac:dyDescent="0.45">
      <c r="E1482" s="32" t="str">
        <f t="shared" si="69"/>
        <v>.0</v>
      </c>
      <c r="F1482" s="32" t="str">
        <f t="shared" si="70"/>
        <v>.0</v>
      </c>
      <c r="G1482" s="37" t="str">
        <f t="shared" si="71"/>
        <v/>
      </c>
    </row>
    <row r="1483" spans="5:7" x14ac:dyDescent="0.45">
      <c r="E1483" s="32" t="str">
        <f t="shared" si="69"/>
        <v>.0</v>
      </c>
      <c r="F1483" s="32" t="str">
        <f t="shared" si="70"/>
        <v>.0</v>
      </c>
      <c r="G1483" s="37" t="str">
        <f t="shared" si="71"/>
        <v/>
      </c>
    </row>
    <row r="1484" spans="5:7" x14ac:dyDescent="0.45">
      <c r="E1484" s="32" t="str">
        <f t="shared" si="69"/>
        <v>.0</v>
      </c>
      <c r="F1484" s="32" t="str">
        <f t="shared" si="70"/>
        <v>.0</v>
      </c>
      <c r="G1484" s="37" t="str">
        <f t="shared" si="71"/>
        <v/>
      </c>
    </row>
    <row r="1485" spans="5:7" x14ac:dyDescent="0.45">
      <c r="E1485" s="32" t="str">
        <f t="shared" si="69"/>
        <v>.0</v>
      </c>
      <c r="F1485" s="32" t="str">
        <f t="shared" si="70"/>
        <v>.0</v>
      </c>
      <c r="G1485" s="37" t="str">
        <f t="shared" si="71"/>
        <v/>
      </c>
    </row>
    <row r="1486" spans="5:7" x14ac:dyDescent="0.45">
      <c r="E1486" s="32" t="str">
        <f t="shared" si="69"/>
        <v>.0</v>
      </c>
      <c r="F1486" s="32" t="str">
        <f t="shared" si="70"/>
        <v>.0</v>
      </c>
      <c r="G1486" s="37" t="str">
        <f t="shared" si="71"/>
        <v/>
      </c>
    </row>
    <row r="1487" spans="5:7" x14ac:dyDescent="0.45">
      <c r="E1487" s="32" t="str">
        <f t="shared" si="69"/>
        <v>.0</v>
      </c>
      <c r="F1487" s="32" t="str">
        <f t="shared" si="70"/>
        <v>.0</v>
      </c>
      <c r="G1487" s="37" t="str">
        <f t="shared" si="71"/>
        <v/>
      </c>
    </row>
    <row r="1488" spans="5:7" x14ac:dyDescent="0.45">
      <c r="E1488" s="32" t="str">
        <f t="shared" si="69"/>
        <v>.0</v>
      </c>
      <c r="F1488" s="32" t="str">
        <f t="shared" si="70"/>
        <v>.0</v>
      </c>
      <c r="G1488" s="37" t="str">
        <f t="shared" si="71"/>
        <v/>
      </c>
    </row>
    <row r="1489" spans="5:7" x14ac:dyDescent="0.45">
      <c r="E1489" s="32" t="str">
        <f t="shared" si="69"/>
        <v>.0</v>
      </c>
      <c r="F1489" s="32" t="str">
        <f t="shared" si="70"/>
        <v>.0</v>
      </c>
      <c r="G1489" s="37" t="str">
        <f t="shared" si="71"/>
        <v/>
      </c>
    </row>
    <row r="1490" spans="5:7" x14ac:dyDescent="0.45">
      <c r="E1490" s="32" t="str">
        <f t="shared" si="69"/>
        <v>.0</v>
      </c>
      <c r="F1490" s="32" t="str">
        <f t="shared" si="70"/>
        <v>.0</v>
      </c>
      <c r="G1490" s="37" t="str">
        <f t="shared" si="71"/>
        <v/>
      </c>
    </row>
    <row r="1491" spans="5:7" x14ac:dyDescent="0.45">
      <c r="E1491" s="32" t="str">
        <f t="shared" si="69"/>
        <v>.0</v>
      </c>
      <c r="F1491" s="32" t="str">
        <f t="shared" si="70"/>
        <v>.0</v>
      </c>
      <c r="G1491" s="37" t="str">
        <f t="shared" si="71"/>
        <v/>
      </c>
    </row>
    <row r="1492" spans="5:7" x14ac:dyDescent="0.45">
      <c r="E1492" s="32" t="str">
        <f t="shared" si="69"/>
        <v>.0</v>
      </c>
      <c r="F1492" s="32" t="str">
        <f t="shared" si="70"/>
        <v>.0</v>
      </c>
      <c r="G1492" s="37" t="str">
        <f t="shared" si="71"/>
        <v/>
      </c>
    </row>
    <row r="1493" spans="5:7" x14ac:dyDescent="0.45">
      <c r="E1493" s="32" t="str">
        <f t="shared" si="69"/>
        <v>.0</v>
      </c>
      <c r="F1493" s="32" t="str">
        <f t="shared" si="70"/>
        <v>.0</v>
      </c>
      <c r="G1493" s="37" t="str">
        <f t="shared" si="71"/>
        <v/>
      </c>
    </row>
    <row r="1494" spans="5:7" x14ac:dyDescent="0.45">
      <c r="E1494" s="32" t="str">
        <f t="shared" si="69"/>
        <v>.0</v>
      </c>
      <c r="F1494" s="32" t="str">
        <f t="shared" si="70"/>
        <v>.0</v>
      </c>
      <c r="G1494" s="37" t="str">
        <f t="shared" si="71"/>
        <v/>
      </c>
    </row>
    <row r="1495" spans="5:7" x14ac:dyDescent="0.45">
      <c r="E1495" s="32" t="str">
        <f t="shared" si="69"/>
        <v>.0</v>
      </c>
      <c r="F1495" s="32" t="str">
        <f t="shared" si="70"/>
        <v>.0</v>
      </c>
      <c r="G1495" s="37" t="str">
        <f t="shared" si="71"/>
        <v/>
      </c>
    </row>
    <row r="1496" spans="5:7" x14ac:dyDescent="0.45">
      <c r="E1496" s="32" t="str">
        <f t="shared" si="69"/>
        <v>.0</v>
      </c>
      <c r="F1496" s="32" t="str">
        <f t="shared" si="70"/>
        <v>.0</v>
      </c>
      <c r="G1496" s="37" t="str">
        <f t="shared" si="71"/>
        <v/>
      </c>
    </row>
    <row r="1497" spans="5:7" x14ac:dyDescent="0.45">
      <c r="E1497" s="32" t="str">
        <f t="shared" si="69"/>
        <v>.0</v>
      </c>
      <c r="F1497" s="32" t="str">
        <f t="shared" si="70"/>
        <v>.0</v>
      </c>
      <c r="G1497" s="37" t="str">
        <f t="shared" si="71"/>
        <v/>
      </c>
    </row>
    <row r="1498" spans="5:7" x14ac:dyDescent="0.45">
      <c r="E1498" s="32" t="str">
        <f t="shared" si="69"/>
        <v>.0</v>
      </c>
      <c r="F1498" s="32" t="str">
        <f t="shared" si="70"/>
        <v>.0</v>
      </c>
      <c r="G1498" s="37" t="str">
        <f t="shared" si="71"/>
        <v/>
      </c>
    </row>
    <row r="1499" spans="5:7" x14ac:dyDescent="0.45">
      <c r="E1499" s="32" t="str">
        <f t="shared" si="69"/>
        <v>.0</v>
      </c>
      <c r="F1499" s="32" t="str">
        <f t="shared" si="70"/>
        <v>.0</v>
      </c>
      <c r="G1499" s="37" t="str">
        <f t="shared" si="71"/>
        <v/>
      </c>
    </row>
    <row r="1500" spans="5:7" x14ac:dyDescent="0.45">
      <c r="E1500" s="32" t="str">
        <f t="shared" si="69"/>
        <v>.0</v>
      </c>
      <c r="F1500" s="32" t="str">
        <f t="shared" si="70"/>
        <v>.0</v>
      </c>
      <c r="G1500" s="37" t="str">
        <f t="shared" si="71"/>
        <v/>
      </c>
    </row>
    <row r="1501" spans="5:7" x14ac:dyDescent="0.45">
      <c r="E1501" s="32" t="str">
        <f t="shared" si="69"/>
        <v>.0</v>
      </c>
      <c r="F1501" s="32" t="str">
        <f t="shared" si="70"/>
        <v>.0</v>
      </c>
      <c r="G1501" s="37" t="str">
        <f t="shared" si="71"/>
        <v/>
      </c>
    </row>
    <row r="1502" spans="5:7" x14ac:dyDescent="0.45">
      <c r="E1502" s="32" t="str">
        <f t="shared" ref="E1502:E1565" si="72">MID(B1502,3,2)&amp;"."&amp;IF(C1502&lt;10,"0"&amp;C1502,C1502)</f>
        <v>.0</v>
      </c>
      <c r="F1502" s="32" t="str">
        <f t="shared" ref="F1502:F1565" si="73">MID(B1502,3,2)&amp;"."&amp;IF(C1502&lt;10,"0"&amp;C1502,C1502)</f>
        <v>.0</v>
      </c>
      <c r="G1502" s="37" t="str">
        <f t="shared" ref="G1502:G1565" si="74">TEXT(D1502,"#,###,")</f>
        <v/>
      </c>
    </row>
    <row r="1503" spans="5:7" x14ac:dyDescent="0.45">
      <c r="E1503" s="32" t="str">
        <f t="shared" si="72"/>
        <v>.0</v>
      </c>
      <c r="F1503" s="32" t="str">
        <f t="shared" si="73"/>
        <v>.0</v>
      </c>
      <c r="G1503" s="37" t="str">
        <f t="shared" si="74"/>
        <v/>
      </c>
    </row>
    <row r="1504" spans="5:7" x14ac:dyDescent="0.45">
      <c r="E1504" s="32" t="str">
        <f t="shared" si="72"/>
        <v>.0</v>
      </c>
      <c r="F1504" s="32" t="str">
        <f t="shared" si="73"/>
        <v>.0</v>
      </c>
      <c r="G1504" s="37" t="str">
        <f t="shared" si="74"/>
        <v/>
      </c>
    </row>
    <row r="1505" spans="5:7" x14ac:dyDescent="0.45">
      <c r="E1505" s="32" t="str">
        <f t="shared" si="72"/>
        <v>.0</v>
      </c>
      <c r="F1505" s="32" t="str">
        <f t="shared" si="73"/>
        <v>.0</v>
      </c>
      <c r="G1505" s="37" t="str">
        <f t="shared" si="74"/>
        <v/>
      </c>
    </row>
    <row r="1506" spans="5:7" x14ac:dyDescent="0.45">
      <c r="E1506" s="32" t="str">
        <f t="shared" si="72"/>
        <v>.0</v>
      </c>
      <c r="F1506" s="32" t="str">
        <f t="shared" si="73"/>
        <v>.0</v>
      </c>
      <c r="G1506" s="37" t="str">
        <f t="shared" si="74"/>
        <v/>
      </c>
    </row>
    <row r="1507" spans="5:7" x14ac:dyDescent="0.45">
      <c r="E1507" s="32" t="str">
        <f t="shared" si="72"/>
        <v>.0</v>
      </c>
      <c r="F1507" s="32" t="str">
        <f t="shared" si="73"/>
        <v>.0</v>
      </c>
      <c r="G1507" s="37" t="str">
        <f t="shared" si="74"/>
        <v/>
      </c>
    </row>
    <row r="1508" spans="5:7" x14ac:dyDescent="0.45">
      <c r="E1508" s="32" t="str">
        <f t="shared" si="72"/>
        <v>.0</v>
      </c>
      <c r="F1508" s="32" t="str">
        <f t="shared" si="73"/>
        <v>.0</v>
      </c>
      <c r="G1508" s="37" t="str">
        <f t="shared" si="74"/>
        <v/>
      </c>
    </row>
    <row r="1509" spans="5:7" x14ac:dyDescent="0.45">
      <c r="E1509" s="32" t="str">
        <f t="shared" si="72"/>
        <v>.0</v>
      </c>
      <c r="F1509" s="32" t="str">
        <f t="shared" si="73"/>
        <v>.0</v>
      </c>
      <c r="G1509" s="37" t="str">
        <f t="shared" si="74"/>
        <v/>
      </c>
    </row>
    <row r="1510" spans="5:7" x14ac:dyDescent="0.45">
      <c r="E1510" s="32" t="str">
        <f t="shared" si="72"/>
        <v>.0</v>
      </c>
      <c r="F1510" s="32" t="str">
        <f t="shared" si="73"/>
        <v>.0</v>
      </c>
      <c r="G1510" s="37" t="str">
        <f t="shared" si="74"/>
        <v/>
      </c>
    </row>
    <row r="1511" spans="5:7" x14ac:dyDescent="0.45">
      <c r="E1511" s="32" t="str">
        <f t="shared" si="72"/>
        <v>.0</v>
      </c>
      <c r="F1511" s="32" t="str">
        <f t="shared" si="73"/>
        <v>.0</v>
      </c>
      <c r="G1511" s="37" t="str">
        <f t="shared" si="74"/>
        <v/>
      </c>
    </row>
    <row r="1512" spans="5:7" x14ac:dyDescent="0.45">
      <c r="E1512" s="32" t="str">
        <f t="shared" si="72"/>
        <v>.0</v>
      </c>
      <c r="F1512" s="32" t="str">
        <f t="shared" si="73"/>
        <v>.0</v>
      </c>
      <c r="G1512" s="37" t="str">
        <f t="shared" si="74"/>
        <v/>
      </c>
    </row>
    <row r="1513" spans="5:7" x14ac:dyDescent="0.45">
      <c r="E1513" s="32" t="str">
        <f t="shared" si="72"/>
        <v>.0</v>
      </c>
      <c r="F1513" s="32" t="str">
        <f t="shared" si="73"/>
        <v>.0</v>
      </c>
      <c r="G1513" s="37" t="str">
        <f t="shared" si="74"/>
        <v/>
      </c>
    </row>
    <row r="1514" spans="5:7" x14ac:dyDescent="0.45">
      <c r="E1514" s="32" t="str">
        <f t="shared" si="72"/>
        <v>.0</v>
      </c>
      <c r="F1514" s="32" t="str">
        <f t="shared" si="73"/>
        <v>.0</v>
      </c>
      <c r="G1514" s="37" t="str">
        <f t="shared" si="74"/>
        <v/>
      </c>
    </row>
    <row r="1515" spans="5:7" x14ac:dyDescent="0.45">
      <c r="E1515" s="32" t="str">
        <f t="shared" si="72"/>
        <v>.0</v>
      </c>
      <c r="F1515" s="32" t="str">
        <f t="shared" si="73"/>
        <v>.0</v>
      </c>
      <c r="G1515" s="37" t="str">
        <f t="shared" si="74"/>
        <v/>
      </c>
    </row>
    <row r="1516" spans="5:7" x14ac:dyDescent="0.45">
      <c r="E1516" s="32" t="str">
        <f t="shared" si="72"/>
        <v>.0</v>
      </c>
      <c r="F1516" s="32" t="str">
        <f t="shared" si="73"/>
        <v>.0</v>
      </c>
      <c r="G1516" s="37" t="str">
        <f t="shared" si="74"/>
        <v/>
      </c>
    </row>
    <row r="1517" spans="5:7" x14ac:dyDescent="0.45">
      <c r="E1517" s="32" t="str">
        <f t="shared" si="72"/>
        <v>.0</v>
      </c>
      <c r="F1517" s="32" t="str">
        <f t="shared" si="73"/>
        <v>.0</v>
      </c>
      <c r="G1517" s="37" t="str">
        <f t="shared" si="74"/>
        <v/>
      </c>
    </row>
    <row r="1518" spans="5:7" x14ac:dyDescent="0.45">
      <c r="E1518" s="32" t="str">
        <f t="shared" si="72"/>
        <v>.0</v>
      </c>
      <c r="F1518" s="32" t="str">
        <f t="shared" si="73"/>
        <v>.0</v>
      </c>
      <c r="G1518" s="37" t="str">
        <f t="shared" si="74"/>
        <v/>
      </c>
    </row>
    <row r="1519" spans="5:7" x14ac:dyDescent="0.45">
      <c r="E1519" s="32" t="str">
        <f t="shared" si="72"/>
        <v>.0</v>
      </c>
      <c r="F1519" s="32" t="str">
        <f t="shared" si="73"/>
        <v>.0</v>
      </c>
      <c r="G1519" s="37" t="str">
        <f t="shared" si="74"/>
        <v/>
      </c>
    </row>
    <row r="1520" spans="5:7" x14ac:dyDescent="0.45">
      <c r="E1520" s="32" t="str">
        <f t="shared" si="72"/>
        <v>.0</v>
      </c>
      <c r="F1520" s="32" t="str">
        <f t="shared" si="73"/>
        <v>.0</v>
      </c>
      <c r="G1520" s="37" t="str">
        <f t="shared" si="74"/>
        <v/>
      </c>
    </row>
    <row r="1521" spans="5:7" x14ac:dyDescent="0.45">
      <c r="E1521" s="32" t="str">
        <f t="shared" si="72"/>
        <v>.0</v>
      </c>
      <c r="F1521" s="32" t="str">
        <f t="shared" si="73"/>
        <v>.0</v>
      </c>
      <c r="G1521" s="37" t="str">
        <f t="shared" si="74"/>
        <v/>
      </c>
    </row>
    <row r="1522" spans="5:7" x14ac:dyDescent="0.45">
      <c r="E1522" s="32" t="str">
        <f t="shared" si="72"/>
        <v>.0</v>
      </c>
      <c r="F1522" s="32" t="str">
        <f t="shared" si="73"/>
        <v>.0</v>
      </c>
      <c r="G1522" s="37" t="str">
        <f t="shared" si="74"/>
        <v/>
      </c>
    </row>
    <row r="1523" spans="5:7" x14ac:dyDescent="0.45">
      <c r="E1523" s="32" t="str">
        <f t="shared" si="72"/>
        <v>.0</v>
      </c>
      <c r="F1523" s="32" t="str">
        <f t="shared" si="73"/>
        <v>.0</v>
      </c>
      <c r="G1523" s="37" t="str">
        <f t="shared" si="74"/>
        <v/>
      </c>
    </row>
    <row r="1524" spans="5:7" x14ac:dyDescent="0.45">
      <c r="E1524" s="32" t="str">
        <f t="shared" si="72"/>
        <v>.0</v>
      </c>
      <c r="F1524" s="32" t="str">
        <f t="shared" si="73"/>
        <v>.0</v>
      </c>
      <c r="G1524" s="37" t="str">
        <f t="shared" si="74"/>
        <v/>
      </c>
    </row>
    <row r="1525" spans="5:7" x14ac:dyDescent="0.45">
      <c r="E1525" s="32" t="str">
        <f t="shared" si="72"/>
        <v>.0</v>
      </c>
      <c r="F1525" s="32" t="str">
        <f t="shared" si="73"/>
        <v>.0</v>
      </c>
      <c r="G1525" s="37" t="str">
        <f t="shared" si="74"/>
        <v/>
      </c>
    </row>
    <row r="1526" spans="5:7" x14ac:dyDescent="0.45">
      <c r="E1526" s="32" t="str">
        <f t="shared" si="72"/>
        <v>.0</v>
      </c>
      <c r="F1526" s="32" t="str">
        <f t="shared" si="73"/>
        <v>.0</v>
      </c>
      <c r="G1526" s="37" t="str">
        <f t="shared" si="74"/>
        <v/>
      </c>
    </row>
    <row r="1527" spans="5:7" x14ac:dyDescent="0.45">
      <c r="E1527" s="32" t="str">
        <f t="shared" si="72"/>
        <v>.0</v>
      </c>
      <c r="F1527" s="32" t="str">
        <f t="shared" si="73"/>
        <v>.0</v>
      </c>
      <c r="G1527" s="37" t="str">
        <f t="shared" si="74"/>
        <v/>
      </c>
    </row>
    <row r="1528" spans="5:7" x14ac:dyDescent="0.45">
      <c r="E1528" s="32" t="str">
        <f t="shared" si="72"/>
        <v>.0</v>
      </c>
      <c r="F1528" s="32" t="str">
        <f t="shared" si="73"/>
        <v>.0</v>
      </c>
      <c r="G1528" s="37" t="str">
        <f t="shared" si="74"/>
        <v/>
      </c>
    </row>
    <row r="1529" spans="5:7" x14ac:dyDescent="0.45">
      <c r="E1529" s="32" t="str">
        <f t="shared" si="72"/>
        <v>.0</v>
      </c>
      <c r="F1529" s="32" t="str">
        <f t="shared" si="73"/>
        <v>.0</v>
      </c>
      <c r="G1529" s="37" t="str">
        <f t="shared" si="74"/>
        <v/>
      </c>
    </row>
    <row r="1530" spans="5:7" x14ac:dyDescent="0.45">
      <c r="E1530" s="32" t="str">
        <f t="shared" si="72"/>
        <v>.0</v>
      </c>
      <c r="F1530" s="32" t="str">
        <f t="shared" si="73"/>
        <v>.0</v>
      </c>
      <c r="G1530" s="37" t="str">
        <f t="shared" si="74"/>
        <v/>
      </c>
    </row>
    <row r="1531" spans="5:7" x14ac:dyDescent="0.45">
      <c r="E1531" s="32" t="str">
        <f t="shared" si="72"/>
        <v>.0</v>
      </c>
      <c r="F1531" s="32" t="str">
        <f t="shared" si="73"/>
        <v>.0</v>
      </c>
      <c r="G1531" s="37" t="str">
        <f t="shared" si="74"/>
        <v/>
      </c>
    </row>
    <row r="1532" spans="5:7" x14ac:dyDescent="0.45">
      <c r="E1532" s="32" t="str">
        <f t="shared" si="72"/>
        <v>.0</v>
      </c>
      <c r="F1532" s="32" t="str">
        <f t="shared" si="73"/>
        <v>.0</v>
      </c>
      <c r="G1532" s="37" t="str">
        <f t="shared" si="74"/>
        <v/>
      </c>
    </row>
    <row r="1533" spans="5:7" x14ac:dyDescent="0.45">
      <c r="E1533" s="32" t="str">
        <f t="shared" si="72"/>
        <v>.0</v>
      </c>
      <c r="F1533" s="32" t="str">
        <f t="shared" si="73"/>
        <v>.0</v>
      </c>
      <c r="G1533" s="37" t="str">
        <f t="shared" si="74"/>
        <v/>
      </c>
    </row>
    <row r="1534" spans="5:7" x14ac:dyDescent="0.45">
      <c r="E1534" s="32" t="str">
        <f t="shared" si="72"/>
        <v>.0</v>
      </c>
      <c r="F1534" s="32" t="str">
        <f t="shared" si="73"/>
        <v>.0</v>
      </c>
      <c r="G1534" s="37" t="str">
        <f t="shared" si="74"/>
        <v/>
      </c>
    </row>
    <row r="1535" spans="5:7" x14ac:dyDescent="0.45">
      <c r="E1535" s="32" t="str">
        <f t="shared" si="72"/>
        <v>.0</v>
      </c>
      <c r="F1535" s="32" t="str">
        <f t="shared" si="73"/>
        <v>.0</v>
      </c>
      <c r="G1535" s="37" t="str">
        <f t="shared" si="74"/>
        <v/>
      </c>
    </row>
    <row r="1536" spans="5:7" x14ac:dyDescent="0.45">
      <c r="E1536" s="32" t="str">
        <f t="shared" si="72"/>
        <v>.0</v>
      </c>
      <c r="F1536" s="32" t="str">
        <f t="shared" si="73"/>
        <v>.0</v>
      </c>
      <c r="G1536" s="37" t="str">
        <f t="shared" si="74"/>
        <v/>
      </c>
    </row>
    <row r="1537" spans="5:7" x14ac:dyDescent="0.45">
      <c r="E1537" s="32" t="str">
        <f t="shared" si="72"/>
        <v>.0</v>
      </c>
      <c r="F1537" s="32" t="str">
        <f t="shared" si="73"/>
        <v>.0</v>
      </c>
      <c r="G1537" s="37" t="str">
        <f t="shared" si="74"/>
        <v/>
      </c>
    </row>
    <row r="1538" spans="5:7" x14ac:dyDescent="0.45">
      <c r="E1538" s="32" t="str">
        <f t="shared" si="72"/>
        <v>.0</v>
      </c>
      <c r="F1538" s="32" t="str">
        <f t="shared" si="73"/>
        <v>.0</v>
      </c>
      <c r="G1538" s="37" t="str">
        <f t="shared" si="74"/>
        <v/>
      </c>
    </row>
    <row r="1539" spans="5:7" x14ac:dyDescent="0.45">
      <c r="E1539" s="32" t="str">
        <f t="shared" si="72"/>
        <v>.0</v>
      </c>
      <c r="F1539" s="32" t="str">
        <f t="shared" si="73"/>
        <v>.0</v>
      </c>
      <c r="G1539" s="37" t="str">
        <f t="shared" si="74"/>
        <v/>
      </c>
    </row>
    <row r="1540" spans="5:7" x14ac:dyDescent="0.45">
      <c r="E1540" s="32" t="str">
        <f t="shared" si="72"/>
        <v>.0</v>
      </c>
      <c r="F1540" s="32" t="str">
        <f t="shared" si="73"/>
        <v>.0</v>
      </c>
      <c r="G1540" s="37" t="str">
        <f t="shared" si="74"/>
        <v/>
      </c>
    </row>
    <row r="1541" spans="5:7" x14ac:dyDescent="0.45">
      <c r="E1541" s="32" t="str">
        <f t="shared" si="72"/>
        <v>.0</v>
      </c>
      <c r="F1541" s="32" t="str">
        <f t="shared" si="73"/>
        <v>.0</v>
      </c>
      <c r="G1541" s="37" t="str">
        <f t="shared" si="74"/>
        <v/>
      </c>
    </row>
    <row r="1542" spans="5:7" x14ac:dyDescent="0.45">
      <c r="E1542" s="32" t="str">
        <f t="shared" si="72"/>
        <v>.0</v>
      </c>
      <c r="F1542" s="32" t="str">
        <f t="shared" si="73"/>
        <v>.0</v>
      </c>
      <c r="G1542" s="37" t="str">
        <f t="shared" si="74"/>
        <v/>
      </c>
    </row>
    <row r="1543" spans="5:7" x14ac:dyDescent="0.45">
      <c r="E1543" s="32" t="str">
        <f t="shared" si="72"/>
        <v>.0</v>
      </c>
      <c r="F1543" s="32" t="str">
        <f t="shared" si="73"/>
        <v>.0</v>
      </c>
      <c r="G1543" s="37" t="str">
        <f t="shared" si="74"/>
        <v/>
      </c>
    </row>
    <row r="1544" spans="5:7" x14ac:dyDescent="0.45">
      <c r="E1544" s="32" t="str">
        <f t="shared" si="72"/>
        <v>.0</v>
      </c>
      <c r="F1544" s="32" t="str">
        <f t="shared" si="73"/>
        <v>.0</v>
      </c>
      <c r="G1544" s="37" t="str">
        <f t="shared" si="74"/>
        <v/>
      </c>
    </row>
    <row r="1545" spans="5:7" x14ac:dyDescent="0.45">
      <c r="E1545" s="32" t="str">
        <f t="shared" si="72"/>
        <v>.0</v>
      </c>
      <c r="F1545" s="32" t="str">
        <f t="shared" si="73"/>
        <v>.0</v>
      </c>
      <c r="G1545" s="37" t="str">
        <f t="shared" si="74"/>
        <v/>
      </c>
    </row>
    <row r="1546" spans="5:7" x14ac:dyDescent="0.45">
      <c r="E1546" s="32" t="str">
        <f t="shared" si="72"/>
        <v>.0</v>
      </c>
      <c r="F1546" s="32" t="str">
        <f t="shared" si="73"/>
        <v>.0</v>
      </c>
      <c r="G1546" s="37" t="str">
        <f t="shared" si="74"/>
        <v/>
      </c>
    </row>
    <row r="1547" spans="5:7" x14ac:dyDescent="0.45">
      <c r="E1547" s="32" t="str">
        <f t="shared" si="72"/>
        <v>.0</v>
      </c>
      <c r="F1547" s="32" t="str">
        <f t="shared" si="73"/>
        <v>.0</v>
      </c>
      <c r="G1547" s="37" t="str">
        <f t="shared" si="74"/>
        <v/>
      </c>
    </row>
    <row r="1548" spans="5:7" x14ac:dyDescent="0.45">
      <c r="E1548" s="32" t="str">
        <f t="shared" si="72"/>
        <v>.0</v>
      </c>
      <c r="F1548" s="32" t="str">
        <f t="shared" si="73"/>
        <v>.0</v>
      </c>
      <c r="G1548" s="37" t="str">
        <f t="shared" si="74"/>
        <v/>
      </c>
    </row>
    <row r="1549" spans="5:7" x14ac:dyDescent="0.45">
      <c r="E1549" s="32" t="str">
        <f t="shared" si="72"/>
        <v>.0</v>
      </c>
      <c r="F1549" s="32" t="str">
        <f t="shared" si="73"/>
        <v>.0</v>
      </c>
      <c r="G1549" s="37" t="str">
        <f t="shared" si="74"/>
        <v/>
      </c>
    </row>
    <row r="1550" spans="5:7" x14ac:dyDescent="0.45">
      <c r="E1550" s="32" t="str">
        <f t="shared" si="72"/>
        <v>.0</v>
      </c>
      <c r="F1550" s="32" t="str">
        <f t="shared" si="73"/>
        <v>.0</v>
      </c>
      <c r="G1550" s="37" t="str">
        <f t="shared" si="74"/>
        <v/>
      </c>
    </row>
    <row r="1551" spans="5:7" x14ac:dyDescent="0.45">
      <c r="E1551" s="32" t="str">
        <f t="shared" si="72"/>
        <v>.0</v>
      </c>
      <c r="F1551" s="32" t="str">
        <f t="shared" si="73"/>
        <v>.0</v>
      </c>
      <c r="G1551" s="37" t="str">
        <f t="shared" si="74"/>
        <v/>
      </c>
    </row>
    <row r="1552" spans="5:7" x14ac:dyDescent="0.45">
      <c r="E1552" s="32" t="str">
        <f t="shared" si="72"/>
        <v>.0</v>
      </c>
      <c r="F1552" s="32" t="str">
        <f t="shared" si="73"/>
        <v>.0</v>
      </c>
      <c r="G1552" s="37" t="str">
        <f t="shared" si="74"/>
        <v/>
      </c>
    </row>
    <row r="1553" spans="5:7" x14ac:dyDescent="0.45">
      <c r="E1553" s="32" t="str">
        <f t="shared" si="72"/>
        <v>.0</v>
      </c>
      <c r="F1553" s="32" t="str">
        <f t="shared" si="73"/>
        <v>.0</v>
      </c>
      <c r="G1553" s="37" t="str">
        <f t="shared" si="74"/>
        <v/>
      </c>
    </row>
    <row r="1554" spans="5:7" x14ac:dyDescent="0.45">
      <c r="E1554" s="32" t="str">
        <f t="shared" si="72"/>
        <v>.0</v>
      </c>
      <c r="F1554" s="32" t="str">
        <f t="shared" si="73"/>
        <v>.0</v>
      </c>
      <c r="G1554" s="37" t="str">
        <f t="shared" si="74"/>
        <v/>
      </c>
    </row>
    <row r="1555" spans="5:7" x14ac:dyDescent="0.45">
      <c r="E1555" s="32" t="str">
        <f t="shared" si="72"/>
        <v>.0</v>
      </c>
      <c r="F1555" s="32" t="str">
        <f t="shared" si="73"/>
        <v>.0</v>
      </c>
      <c r="G1555" s="37" t="str">
        <f t="shared" si="74"/>
        <v/>
      </c>
    </row>
    <row r="1556" spans="5:7" x14ac:dyDescent="0.45">
      <c r="E1556" s="32" t="str">
        <f t="shared" si="72"/>
        <v>.0</v>
      </c>
      <c r="F1556" s="32" t="str">
        <f t="shared" si="73"/>
        <v>.0</v>
      </c>
      <c r="G1556" s="37" t="str">
        <f t="shared" si="74"/>
        <v/>
      </c>
    </row>
    <row r="1557" spans="5:7" x14ac:dyDescent="0.45">
      <c r="E1557" s="32" t="str">
        <f t="shared" si="72"/>
        <v>.0</v>
      </c>
      <c r="F1557" s="32" t="str">
        <f t="shared" si="73"/>
        <v>.0</v>
      </c>
      <c r="G1557" s="37" t="str">
        <f t="shared" si="74"/>
        <v/>
      </c>
    </row>
    <row r="1558" spans="5:7" x14ac:dyDescent="0.45">
      <c r="E1558" s="32" t="str">
        <f t="shared" si="72"/>
        <v>.0</v>
      </c>
      <c r="F1558" s="32" t="str">
        <f t="shared" si="73"/>
        <v>.0</v>
      </c>
      <c r="G1558" s="37" t="str">
        <f t="shared" si="74"/>
        <v/>
      </c>
    </row>
    <row r="1559" spans="5:7" x14ac:dyDescent="0.45">
      <c r="E1559" s="32" t="str">
        <f t="shared" si="72"/>
        <v>.0</v>
      </c>
      <c r="F1559" s="32" t="str">
        <f t="shared" si="73"/>
        <v>.0</v>
      </c>
      <c r="G1559" s="37" t="str">
        <f t="shared" si="74"/>
        <v/>
      </c>
    </row>
    <row r="1560" spans="5:7" x14ac:dyDescent="0.45">
      <c r="E1560" s="32" t="str">
        <f t="shared" si="72"/>
        <v>.0</v>
      </c>
      <c r="F1560" s="32" t="str">
        <f t="shared" si="73"/>
        <v>.0</v>
      </c>
      <c r="G1560" s="37" t="str">
        <f t="shared" si="74"/>
        <v/>
      </c>
    </row>
    <row r="1561" spans="5:7" x14ac:dyDescent="0.45">
      <c r="E1561" s="32" t="str">
        <f t="shared" si="72"/>
        <v>.0</v>
      </c>
      <c r="F1561" s="32" t="str">
        <f t="shared" si="73"/>
        <v>.0</v>
      </c>
      <c r="G1561" s="37" t="str">
        <f t="shared" si="74"/>
        <v/>
      </c>
    </row>
    <row r="1562" spans="5:7" x14ac:dyDescent="0.45">
      <c r="E1562" s="32" t="str">
        <f t="shared" si="72"/>
        <v>.0</v>
      </c>
      <c r="F1562" s="32" t="str">
        <f t="shared" si="73"/>
        <v>.0</v>
      </c>
      <c r="G1562" s="37" t="str">
        <f t="shared" si="74"/>
        <v/>
      </c>
    </row>
    <row r="1563" spans="5:7" x14ac:dyDescent="0.45">
      <c r="E1563" s="32" t="str">
        <f t="shared" si="72"/>
        <v>.0</v>
      </c>
      <c r="F1563" s="32" t="str">
        <f t="shared" si="73"/>
        <v>.0</v>
      </c>
      <c r="G1563" s="37" t="str">
        <f t="shared" si="74"/>
        <v/>
      </c>
    </row>
    <row r="1564" spans="5:7" x14ac:dyDescent="0.45">
      <c r="E1564" s="32" t="str">
        <f t="shared" si="72"/>
        <v>.0</v>
      </c>
      <c r="F1564" s="32" t="str">
        <f t="shared" si="73"/>
        <v>.0</v>
      </c>
      <c r="G1564" s="37" t="str">
        <f t="shared" si="74"/>
        <v/>
      </c>
    </row>
    <row r="1565" spans="5:7" x14ac:dyDescent="0.45">
      <c r="E1565" s="32" t="str">
        <f t="shared" si="72"/>
        <v>.0</v>
      </c>
      <c r="F1565" s="32" t="str">
        <f t="shared" si="73"/>
        <v>.0</v>
      </c>
      <c r="G1565" s="37" t="str">
        <f t="shared" si="74"/>
        <v/>
      </c>
    </row>
    <row r="1566" spans="5:7" x14ac:dyDescent="0.45">
      <c r="E1566" s="32" t="str">
        <f t="shared" ref="E1566:E1629" si="75">MID(B1566,3,2)&amp;"."&amp;IF(C1566&lt;10,"0"&amp;C1566,C1566)</f>
        <v>.0</v>
      </c>
      <c r="F1566" s="32" t="str">
        <f t="shared" ref="F1566:F1629" si="76">MID(B1566,3,2)&amp;"."&amp;IF(C1566&lt;10,"0"&amp;C1566,C1566)</f>
        <v>.0</v>
      </c>
      <c r="G1566" s="37" t="str">
        <f t="shared" ref="G1566:G1629" si="77">TEXT(D1566,"#,###,")</f>
        <v/>
      </c>
    </row>
    <row r="1567" spans="5:7" x14ac:dyDescent="0.45">
      <c r="E1567" s="32" t="str">
        <f t="shared" si="75"/>
        <v>.0</v>
      </c>
      <c r="F1567" s="32" t="str">
        <f t="shared" si="76"/>
        <v>.0</v>
      </c>
      <c r="G1567" s="37" t="str">
        <f t="shared" si="77"/>
        <v/>
      </c>
    </row>
    <row r="1568" spans="5:7" x14ac:dyDescent="0.45">
      <c r="E1568" s="32" t="str">
        <f t="shared" si="75"/>
        <v>.0</v>
      </c>
      <c r="F1568" s="32" t="str">
        <f t="shared" si="76"/>
        <v>.0</v>
      </c>
      <c r="G1568" s="37" t="str">
        <f t="shared" si="77"/>
        <v/>
      </c>
    </row>
    <row r="1569" spans="5:7" x14ac:dyDescent="0.45">
      <c r="E1569" s="32" t="str">
        <f t="shared" si="75"/>
        <v>.0</v>
      </c>
      <c r="F1569" s="32" t="str">
        <f t="shared" si="76"/>
        <v>.0</v>
      </c>
      <c r="G1569" s="37" t="str">
        <f t="shared" si="77"/>
        <v/>
      </c>
    </row>
    <row r="1570" spans="5:7" x14ac:dyDescent="0.45">
      <c r="E1570" s="32" t="str">
        <f t="shared" si="75"/>
        <v>.0</v>
      </c>
      <c r="F1570" s="32" t="str">
        <f t="shared" si="76"/>
        <v>.0</v>
      </c>
      <c r="G1570" s="37" t="str">
        <f t="shared" si="77"/>
        <v/>
      </c>
    </row>
    <row r="1571" spans="5:7" x14ac:dyDescent="0.45">
      <c r="E1571" s="32" t="str">
        <f t="shared" si="75"/>
        <v>.0</v>
      </c>
      <c r="F1571" s="32" t="str">
        <f t="shared" si="76"/>
        <v>.0</v>
      </c>
      <c r="G1571" s="37" t="str">
        <f t="shared" si="77"/>
        <v/>
      </c>
    </row>
    <row r="1572" spans="5:7" x14ac:dyDescent="0.45">
      <c r="E1572" s="32" t="str">
        <f t="shared" si="75"/>
        <v>.0</v>
      </c>
      <c r="F1572" s="32" t="str">
        <f t="shared" si="76"/>
        <v>.0</v>
      </c>
      <c r="G1572" s="37" t="str">
        <f t="shared" si="77"/>
        <v/>
      </c>
    </row>
    <row r="1573" spans="5:7" x14ac:dyDescent="0.45">
      <c r="E1573" s="32" t="str">
        <f t="shared" si="75"/>
        <v>.0</v>
      </c>
      <c r="F1573" s="32" t="str">
        <f t="shared" si="76"/>
        <v>.0</v>
      </c>
      <c r="G1573" s="37" t="str">
        <f t="shared" si="77"/>
        <v/>
      </c>
    </row>
    <row r="1574" spans="5:7" x14ac:dyDescent="0.45">
      <c r="E1574" s="32" t="str">
        <f t="shared" si="75"/>
        <v>.0</v>
      </c>
      <c r="F1574" s="32" t="str">
        <f t="shared" si="76"/>
        <v>.0</v>
      </c>
      <c r="G1574" s="37" t="str">
        <f t="shared" si="77"/>
        <v/>
      </c>
    </row>
    <row r="1575" spans="5:7" x14ac:dyDescent="0.45">
      <c r="E1575" s="32" t="str">
        <f t="shared" si="75"/>
        <v>.0</v>
      </c>
      <c r="F1575" s="32" t="str">
        <f t="shared" si="76"/>
        <v>.0</v>
      </c>
      <c r="G1575" s="37" t="str">
        <f t="shared" si="77"/>
        <v/>
      </c>
    </row>
    <row r="1576" spans="5:7" x14ac:dyDescent="0.45">
      <c r="E1576" s="32" t="str">
        <f t="shared" si="75"/>
        <v>.0</v>
      </c>
      <c r="F1576" s="32" t="str">
        <f t="shared" si="76"/>
        <v>.0</v>
      </c>
      <c r="G1576" s="37" t="str">
        <f t="shared" si="77"/>
        <v/>
      </c>
    </row>
    <row r="1577" spans="5:7" x14ac:dyDescent="0.45">
      <c r="E1577" s="32" t="str">
        <f t="shared" si="75"/>
        <v>.0</v>
      </c>
      <c r="F1577" s="32" t="str">
        <f t="shared" si="76"/>
        <v>.0</v>
      </c>
      <c r="G1577" s="37" t="str">
        <f t="shared" si="77"/>
        <v/>
      </c>
    </row>
    <row r="1578" spans="5:7" x14ac:dyDescent="0.45">
      <c r="E1578" s="32" t="str">
        <f t="shared" si="75"/>
        <v>.0</v>
      </c>
      <c r="F1578" s="32" t="str">
        <f t="shared" si="76"/>
        <v>.0</v>
      </c>
      <c r="G1578" s="37" t="str">
        <f t="shared" si="77"/>
        <v/>
      </c>
    </row>
    <row r="1579" spans="5:7" x14ac:dyDescent="0.45">
      <c r="E1579" s="32" t="str">
        <f t="shared" si="75"/>
        <v>.0</v>
      </c>
      <c r="F1579" s="32" t="str">
        <f t="shared" si="76"/>
        <v>.0</v>
      </c>
      <c r="G1579" s="37" t="str">
        <f t="shared" si="77"/>
        <v/>
      </c>
    </row>
    <row r="1580" spans="5:7" x14ac:dyDescent="0.45">
      <c r="E1580" s="32" t="str">
        <f t="shared" si="75"/>
        <v>.0</v>
      </c>
      <c r="F1580" s="32" t="str">
        <f t="shared" si="76"/>
        <v>.0</v>
      </c>
      <c r="G1580" s="37" t="str">
        <f t="shared" si="77"/>
        <v/>
      </c>
    </row>
    <row r="1581" spans="5:7" x14ac:dyDescent="0.45">
      <c r="E1581" s="32" t="str">
        <f t="shared" si="75"/>
        <v>.0</v>
      </c>
      <c r="F1581" s="32" t="str">
        <f t="shared" si="76"/>
        <v>.0</v>
      </c>
      <c r="G1581" s="37" t="str">
        <f t="shared" si="77"/>
        <v/>
      </c>
    </row>
    <row r="1582" spans="5:7" x14ac:dyDescent="0.45">
      <c r="E1582" s="32" t="str">
        <f t="shared" si="75"/>
        <v>.0</v>
      </c>
      <c r="F1582" s="32" t="str">
        <f t="shared" si="76"/>
        <v>.0</v>
      </c>
      <c r="G1582" s="37" t="str">
        <f t="shared" si="77"/>
        <v/>
      </c>
    </row>
    <row r="1583" spans="5:7" x14ac:dyDescent="0.45">
      <c r="E1583" s="32" t="str">
        <f t="shared" si="75"/>
        <v>.0</v>
      </c>
      <c r="F1583" s="32" t="str">
        <f t="shared" si="76"/>
        <v>.0</v>
      </c>
      <c r="G1583" s="37" t="str">
        <f t="shared" si="77"/>
        <v/>
      </c>
    </row>
    <row r="1584" spans="5:7" x14ac:dyDescent="0.45">
      <c r="E1584" s="32" t="str">
        <f t="shared" si="75"/>
        <v>.0</v>
      </c>
      <c r="F1584" s="32" t="str">
        <f t="shared" si="76"/>
        <v>.0</v>
      </c>
      <c r="G1584" s="37" t="str">
        <f t="shared" si="77"/>
        <v/>
      </c>
    </row>
    <row r="1585" spans="5:7" x14ac:dyDescent="0.45">
      <c r="E1585" s="32" t="str">
        <f t="shared" si="75"/>
        <v>.0</v>
      </c>
      <c r="F1585" s="32" t="str">
        <f t="shared" si="76"/>
        <v>.0</v>
      </c>
      <c r="G1585" s="37" t="str">
        <f t="shared" si="77"/>
        <v/>
      </c>
    </row>
    <row r="1586" spans="5:7" x14ac:dyDescent="0.45">
      <c r="E1586" s="32" t="str">
        <f t="shared" si="75"/>
        <v>.0</v>
      </c>
      <c r="F1586" s="32" t="str">
        <f t="shared" si="76"/>
        <v>.0</v>
      </c>
      <c r="G1586" s="37" t="str">
        <f t="shared" si="77"/>
        <v/>
      </c>
    </row>
    <row r="1587" spans="5:7" x14ac:dyDescent="0.45">
      <c r="E1587" s="32" t="str">
        <f t="shared" si="75"/>
        <v>.0</v>
      </c>
      <c r="F1587" s="32" t="str">
        <f t="shared" si="76"/>
        <v>.0</v>
      </c>
      <c r="G1587" s="37" t="str">
        <f t="shared" si="77"/>
        <v/>
      </c>
    </row>
    <row r="1588" spans="5:7" x14ac:dyDescent="0.45">
      <c r="E1588" s="32" t="str">
        <f t="shared" si="75"/>
        <v>.0</v>
      </c>
      <c r="F1588" s="32" t="str">
        <f t="shared" si="76"/>
        <v>.0</v>
      </c>
      <c r="G1588" s="37" t="str">
        <f t="shared" si="77"/>
        <v/>
      </c>
    </row>
    <row r="1589" spans="5:7" x14ac:dyDescent="0.45">
      <c r="E1589" s="32" t="str">
        <f t="shared" si="75"/>
        <v>.0</v>
      </c>
      <c r="F1589" s="32" t="str">
        <f t="shared" si="76"/>
        <v>.0</v>
      </c>
      <c r="G1589" s="37" t="str">
        <f t="shared" si="77"/>
        <v/>
      </c>
    </row>
    <row r="1590" spans="5:7" x14ac:dyDescent="0.45">
      <c r="E1590" s="32" t="str">
        <f t="shared" si="75"/>
        <v>.0</v>
      </c>
      <c r="F1590" s="32" t="str">
        <f t="shared" si="76"/>
        <v>.0</v>
      </c>
      <c r="G1590" s="37" t="str">
        <f t="shared" si="77"/>
        <v/>
      </c>
    </row>
    <row r="1591" spans="5:7" x14ac:dyDescent="0.45">
      <c r="E1591" s="32" t="str">
        <f t="shared" si="75"/>
        <v>.0</v>
      </c>
      <c r="F1591" s="32" t="str">
        <f t="shared" si="76"/>
        <v>.0</v>
      </c>
      <c r="G1591" s="37" t="str">
        <f t="shared" si="77"/>
        <v/>
      </c>
    </row>
    <row r="1592" spans="5:7" x14ac:dyDescent="0.45">
      <c r="E1592" s="32" t="str">
        <f t="shared" si="75"/>
        <v>.0</v>
      </c>
      <c r="F1592" s="32" t="str">
        <f t="shared" si="76"/>
        <v>.0</v>
      </c>
      <c r="G1592" s="37" t="str">
        <f t="shared" si="77"/>
        <v/>
      </c>
    </row>
    <row r="1593" spans="5:7" x14ac:dyDescent="0.45">
      <c r="E1593" s="32" t="str">
        <f t="shared" si="75"/>
        <v>.0</v>
      </c>
      <c r="F1593" s="32" t="str">
        <f t="shared" si="76"/>
        <v>.0</v>
      </c>
      <c r="G1593" s="37" t="str">
        <f t="shared" si="77"/>
        <v/>
      </c>
    </row>
    <row r="1594" spans="5:7" x14ac:dyDescent="0.45">
      <c r="E1594" s="32" t="str">
        <f t="shared" si="75"/>
        <v>.0</v>
      </c>
      <c r="F1594" s="32" t="str">
        <f t="shared" si="76"/>
        <v>.0</v>
      </c>
      <c r="G1594" s="37" t="str">
        <f t="shared" si="77"/>
        <v/>
      </c>
    </row>
    <row r="1595" spans="5:7" x14ac:dyDescent="0.45">
      <c r="E1595" s="32" t="str">
        <f t="shared" si="75"/>
        <v>.0</v>
      </c>
      <c r="F1595" s="32" t="str">
        <f t="shared" si="76"/>
        <v>.0</v>
      </c>
      <c r="G1595" s="37" t="str">
        <f t="shared" si="77"/>
        <v/>
      </c>
    </row>
    <row r="1596" spans="5:7" x14ac:dyDescent="0.45">
      <c r="E1596" s="32" t="str">
        <f t="shared" si="75"/>
        <v>.0</v>
      </c>
      <c r="F1596" s="32" t="str">
        <f t="shared" si="76"/>
        <v>.0</v>
      </c>
      <c r="G1596" s="37" t="str">
        <f t="shared" si="77"/>
        <v/>
      </c>
    </row>
    <row r="1597" spans="5:7" x14ac:dyDescent="0.45">
      <c r="E1597" s="32" t="str">
        <f t="shared" si="75"/>
        <v>.0</v>
      </c>
      <c r="F1597" s="32" t="str">
        <f t="shared" si="76"/>
        <v>.0</v>
      </c>
      <c r="G1597" s="37" t="str">
        <f t="shared" si="77"/>
        <v/>
      </c>
    </row>
    <row r="1598" spans="5:7" x14ac:dyDescent="0.45">
      <c r="E1598" s="32" t="str">
        <f t="shared" si="75"/>
        <v>.0</v>
      </c>
      <c r="F1598" s="32" t="str">
        <f t="shared" si="76"/>
        <v>.0</v>
      </c>
      <c r="G1598" s="37" t="str">
        <f t="shared" si="77"/>
        <v/>
      </c>
    </row>
    <row r="1599" spans="5:7" x14ac:dyDescent="0.45">
      <c r="E1599" s="32" t="str">
        <f t="shared" si="75"/>
        <v>.0</v>
      </c>
      <c r="F1599" s="32" t="str">
        <f t="shared" si="76"/>
        <v>.0</v>
      </c>
      <c r="G1599" s="37" t="str">
        <f t="shared" si="77"/>
        <v/>
      </c>
    </row>
    <row r="1600" spans="5:7" x14ac:dyDescent="0.45">
      <c r="E1600" s="32" t="str">
        <f t="shared" si="75"/>
        <v>.0</v>
      </c>
      <c r="F1600" s="32" t="str">
        <f t="shared" si="76"/>
        <v>.0</v>
      </c>
      <c r="G1600" s="37" t="str">
        <f t="shared" si="77"/>
        <v/>
      </c>
    </row>
    <row r="1601" spans="5:7" x14ac:dyDescent="0.45">
      <c r="E1601" s="32" t="str">
        <f t="shared" si="75"/>
        <v>.0</v>
      </c>
      <c r="F1601" s="32" t="str">
        <f t="shared" si="76"/>
        <v>.0</v>
      </c>
      <c r="G1601" s="37" t="str">
        <f t="shared" si="77"/>
        <v/>
      </c>
    </row>
    <row r="1602" spans="5:7" x14ac:dyDescent="0.45">
      <c r="E1602" s="32" t="str">
        <f t="shared" si="75"/>
        <v>.0</v>
      </c>
      <c r="F1602" s="32" t="str">
        <f t="shared" si="76"/>
        <v>.0</v>
      </c>
      <c r="G1602" s="37" t="str">
        <f t="shared" si="77"/>
        <v/>
      </c>
    </row>
    <row r="1603" spans="5:7" x14ac:dyDescent="0.45">
      <c r="E1603" s="32" t="str">
        <f t="shared" si="75"/>
        <v>.0</v>
      </c>
      <c r="F1603" s="32" t="str">
        <f t="shared" si="76"/>
        <v>.0</v>
      </c>
      <c r="G1603" s="37" t="str">
        <f t="shared" si="77"/>
        <v/>
      </c>
    </row>
    <row r="1604" spans="5:7" x14ac:dyDescent="0.45">
      <c r="E1604" s="32" t="str">
        <f t="shared" si="75"/>
        <v>.0</v>
      </c>
      <c r="F1604" s="32" t="str">
        <f t="shared" si="76"/>
        <v>.0</v>
      </c>
      <c r="G1604" s="37" t="str">
        <f t="shared" si="77"/>
        <v/>
      </c>
    </row>
    <row r="1605" spans="5:7" x14ac:dyDescent="0.45">
      <c r="E1605" s="32" t="str">
        <f t="shared" si="75"/>
        <v>.0</v>
      </c>
      <c r="F1605" s="32" t="str">
        <f t="shared" si="76"/>
        <v>.0</v>
      </c>
      <c r="G1605" s="37" t="str">
        <f t="shared" si="77"/>
        <v/>
      </c>
    </row>
    <row r="1606" spans="5:7" x14ac:dyDescent="0.45">
      <c r="E1606" s="32" t="str">
        <f t="shared" si="75"/>
        <v>.0</v>
      </c>
      <c r="F1606" s="32" t="str">
        <f t="shared" si="76"/>
        <v>.0</v>
      </c>
      <c r="G1606" s="37" t="str">
        <f t="shared" si="77"/>
        <v/>
      </c>
    </row>
    <row r="1607" spans="5:7" x14ac:dyDescent="0.45">
      <c r="E1607" s="32" t="str">
        <f t="shared" si="75"/>
        <v>.0</v>
      </c>
      <c r="F1607" s="32" t="str">
        <f t="shared" si="76"/>
        <v>.0</v>
      </c>
      <c r="G1607" s="37" t="str">
        <f t="shared" si="77"/>
        <v/>
      </c>
    </row>
    <row r="1608" spans="5:7" x14ac:dyDescent="0.45">
      <c r="E1608" s="32" t="str">
        <f t="shared" si="75"/>
        <v>.0</v>
      </c>
      <c r="F1608" s="32" t="str">
        <f t="shared" si="76"/>
        <v>.0</v>
      </c>
      <c r="G1608" s="37" t="str">
        <f t="shared" si="77"/>
        <v/>
      </c>
    </row>
    <row r="1609" spans="5:7" x14ac:dyDescent="0.45">
      <c r="E1609" s="32" t="str">
        <f t="shared" si="75"/>
        <v>.0</v>
      </c>
      <c r="F1609" s="32" t="str">
        <f t="shared" si="76"/>
        <v>.0</v>
      </c>
      <c r="G1609" s="37" t="str">
        <f t="shared" si="77"/>
        <v/>
      </c>
    </row>
    <row r="1610" spans="5:7" x14ac:dyDescent="0.45">
      <c r="E1610" s="32" t="str">
        <f t="shared" si="75"/>
        <v>.0</v>
      </c>
      <c r="F1610" s="32" t="str">
        <f t="shared" si="76"/>
        <v>.0</v>
      </c>
      <c r="G1610" s="37" t="str">
        <f t="shared" si="77"/>
        <v/>
      </c>
    </row>
    <row r="1611" spans="5:7" x14ac:dyDescent="0.45">
      <c r="E1611" s="32" t="str">
        <f t="shared" si="75"/>
        <v>.0</v>
      </c>
      <c r="F1611" s="32" t="str">
        <f t="shared" si="76"/>
        <v>.0</v>
      </c>
      <c r="G1611" s="37" t="str">
        <f t="shared" si="77"/>
        <v/>
      </c>
    </row>
    <row r="1612" spans="5:7" x14ac:dyDescent="0.45">
      <c r="E1612" s="32" t="str">
        <f t="shared" si="75"/>
        <v>.0</v>
      </c>
      <c r="F1612" s="32" t="str">
        <f t="shared" si="76"/>
        <v>.0</v>
      </c>
      <c r="G1612" s="37" t="str">
        <f t="shared" si="77"/>
        <v/>
      </c>
    </row>
    <row r="1613" spans="5:7" x14ac:dyDescent="0.45">
      <c r="E1613" s="32" t="str">
        <f t="shared" si="75"/>
        <v>.0</v>
      </c>
      <c r="F1613" s="32" t="str">
        <f t="shared" si="76"/>
        <v>.0</v>
      </c>
      <c r="G1613" s="37" t="str">
        <f t="shared" si="77"/>
        <v/>
      </c>
    </row>
    <row r="1614" spans="5:7" x14ac:dyDescent="0.45">
      <c r="E1614" s="32" t="str">
        <f t="shared" si="75"/>
        <v>.0</v>
      </c>
      <c r="F1614" s="32" t="str">
        <f t="shared" si="76"/>
        <v>.0</v>
      </c>
      <c r="G1614" s="37" t="str">
        <f t="shared" si="77"/>
        <v/>
      </c>
    </row>
    <row r="1615" spans="5:7" x14ac:dyDescent="0.45">
      <c r="E1615" s="32" t="str">
        <f t="shared" si="75"/>
        <v>.0</v>
      </c>
      <c r="F1615" s="32" t="str">
        <f t="shared" si="76"/>
        <v>.0</v>
      </c>
      <c r="G1615" s="37" t="str">
        <f t="shared" si="77"/>
        <v/>
      </c>
    </row>
    <row r="1616" spans="5:7" x14ac:dyDescent="0.45">
      <c r="E1616" s="32" t="str">
        <f t="shared" si="75"/>
        <v>.0</v>
      </c>
      <c r="F1616" s="32" t="str">
        <f t="shared" si="76"/>
        <v>.0</v>
      </c>
      <c r="G1616" s="37" t="str">
        <f t="shared" si="77"/>
        <v/>
      </c>
    </row>
    <row r="1617" spans="5:7" x14ac:dyDescent="0.45">
      <c r="E1617" s="32" t="str">
        <f t="shared" si="75"/>
        <v>.0</v>
      </c>
      <c r="F1617" s="32" t="str">
        <f t="shared" si="76"/>
        <v>.0</v>
      </c>
      <c r="G1617" s="37" t="str">
        <f t="shared" si="77"/>
        <v/>
      </c>
    </row>
    <row r="1618" spans="5:7" x14ac:dyDescent="0.45">
      <c r="E1618" s="32" t="str">
        <f t="shared" si="75"/>
        <v>.0</v>
      </c>
      <c r="F1618" s="32" t="str">
        <f t="shared" si="76"/>
        <v>.0</v>
      </c>
      <c r="G1618" s="37" t="str">
        <f t="shared" si="77"/>
        <v/>
      </c>
    </row>
    <row r="1619" spans="5:7" x14ac:dyDescent="0.45">
      <c r="E1619" s="32" t="str">
        <f t="shared" si="75"/>
        <v>.0</v>
      </c>
      <c r="F1619" s="32" t="str">
        <f t="shared" si="76"/>
        <v>.0</v>
      </c>
      <c r="G1619" s="37" t="str">
        <f t="shared" si="77"/>
        <v/>
      </c>
    </row>
    <row r="1620" spans="5:7" x14ac:dyDescent="0.45">
      <c r="E1620" s="32" t="str">
        <f t="shared" si="75"/>
        <v>.0</v>
      </c>
      <c r="F1620" s="32" t="str">
        <f t="shared" si="76"/>
        <v>.0</v>
      </c>
      <c r="G1620" s="37" t="str">
        <f t="shared" si="77"/>
        <v/>
      </c>
    </row>
    <row r="1621" spans="5:7" x14ac:dyDescent="0.45">
      <c r="E1621" s="32" t="str">
        <f t="shared" si="75"/>
        <v>.0</v>
      </c>
      <c r="F1621" s="32" t="str">
        <f t="shared" si="76"/>
        <v>.0</v>
      </c>
      <c r="G1621" s="37" t="str">
        <f t="shared" si="77"/>
        <v/>
      </c>
    </row>
    <row r="1622" spans="5:7" x14ac:dyDescent="0.45">
      <c r="E1622" s="32" t="str">
        <f t="shared" si="75"/>
        <v>.0</v>
      </c>
      <c r="F1622" s="32" t="str">
        <f t="shared" si="76"/>
        <v>.0</v>
      </c>
      <c r="G1622" s="37" t="str">
        <f t="shared" si="77"/>
        <v/>
      </c>
    </row>
    <row r="1623" spans="5:7" x14ac:dyDescent="0.45">
      <c r="E1623" s="32" t="str">
        <f t="shared" si="75"/>
        <v>.0</v>
      </c>
      <c r="F1623" s="32" t="str">
        <f t="shared" si="76"/>
        <v>.0</v>
      </c>
      <c r="G1623" s="37" t="str">
        <f t="shared" si="77"/>
        <v/>
      </c>
    </row>
    <row r="1624" spans="5:7" x14ac:dyDescent="0.45">
      <c r="E1624" s="32" t="str">
        <f t="shared" si="75"/>
        <v>.0</v>
      </c>
      <c r="F1624" s="32" t="str">
        <f t="shared" si="76"/>
        <v>.0</v>
      </c>
      <c r="G1624" s="37" t="str">
        <f t="shared" si="77"/>
        <v/>
      </c>
    </row>
    <row r="1625" spans="5:7" x14ac:dyDescent="0.45">
      <c r="E1625" s="32" t="str">
        <f t="shared" si="75"/>
        <v>.0</v>
      </c>
      <c r="F1625" s="32" t="str">
        <f t="shared" si="76"/>
        <v>.0</v>
      </c>
      <c r="G1625" s="37" t="str">
        <f t="shared" si="77"/>
        <v/>
      </c>
    </row>
    <row r="1626" spans="5:7" x14ac:dyDescent="0.45">
      <c r="E1626" s="32" t="str">
        <f t="shared" si="75"/>
        <v>.0</v>
      </c>
      <c r="F1626" s="32" t="str">
        <f t="shared" si="76"/>
        <v>.0</v>
      </c>
      <c r="G1626" s="37" t="str">
        <f t="shared" si="77"/>
        <v/>
      </c>
    </row>
    <row r="1627" spans="5:7" x14ac:dyDescent="0.45">
      <c r="E1627" s="32" t="str">
        <f t="shared" si="75"/>
        <v>.0</v>
      </c>
      <c r="F1627" s="32" t="str">
        <f t="shared" si="76"/>
        <v>.0</v>
      </c>
      <c r="G1627" s="37" t="str">
        <f t="shared" si="77"/>
        <v/>
      </c>
    </row>
    <row r="1628" spans="5:7" x14ac:dyDescent="0.45">
      <c r="E1628" s="32" t="str">
        <f t="shared" si="75"/>
        <v>.0</v>
      </c>
      <c r="F1628" s="32" t="str">
        <f t="shared" si="76"/>
        <v>.0</v>
      </c>
      <c r="G1628" s="37" t="str">
        <f t="shared" si="77"/>
        <v/>
      </c>
    </row>
    <row r="1629" spans="5:7" x14ac:dyDescent="0.45">
      <c r="E1629" s="32" t="str">
        <f t="shared" si="75"/>
        <v>.0</v>
      </c>
      <c r="F1629" s="32" t="str">
        <f t="shared" si="76"/>
        <v>.0</v>
      </c>
      <c r="G1629" s="37" t="str">
        <f t="shared" si="77"/>
        <v/>
      </c>
    </row>
    <row r="1630" spans="5:7" x14ac:dyDescent="0.45">
      <c r="E1630" s="32" t="str">
        <f t="shared" ref="E1630:E1693" si="78">MID(B1630,3,2)&amp;"."&amp;IF(C1630&lt;10,"0"&amp;C1630,C1630)</f>
        <v>.0</v>
      </c>
      <c r="F1630" s="32" t="str">
        <f t="shared" ref="F1630:F1693" si="79">MID(B1630,3,2)&amp;"."&amp;IF(C1630&lt;10,"0"&amp;C1630,C1630)</f>
        <v>.0</v>
      </c>
      <c r="G1630" s="37" t="str">
        <f t="shared" ref="G1630:G1693" si="80">TEXT(D1630,"#,###,")</f>
        <v/>
      </c>
    </row>
    <row r="1631" spans="5:7" x14ac:dyDescent="0.45">
      <c r="E1631" s="32" t="str">
        <f t="shared" si="78"/>
        <v>.0</v>
      </c>
      <c r="F1631" s="32" t="str">
        <f t="shared" si="79"/>
        <v>.0</v>
      </c>
      <c r="G1631" s="37" t="str">
        <f t="shared" si="80"/>
        <v/>
      </c>
    </row>
    <row r="1632" spans="5:7" x14ac:dyDescent="0.45">
      <c r="E1632" s="32" t="str">
        <f t="shared" si="78"/>
        <v>.0</v>
      </c>
      <c r="F1632" s="32" t="str">
        <f t="shared" si="79"/>
        <v>.0</v>
      </c>
      <c r="G1632" s="37" t="str">
        <f t="shared" si="80"/>
        <v/>
      </c>
    </row>
    <row r="1633" spans="5:7" x14ac:dyDescent="0.45">
      <c r="E1633" s="32" t="str">
        <f t="shared" si="78"/>
        <v>.0</v>
      </c>
      <c r="F1633" s="32" t="str">
        <f t="shared" si="79"/>
        <v>.0</v>
      </c>
      <c r="G1633" s="37" t="str">
        <f t="shared" si="80"/>
        <v/>
      </c>
    </row>
    <row r="1634" spans="5:7" x14ac:dyDescent="0.45">
      <c r="E1634" s="32" t="str">
        <f t="shared" si="78"/>
        <v>.0</v>
      </c>
      <c r="F1634" s="32" t="str">
        <f t="shared" si="79"/>
        <v>.0</v>
      </c>
      <c r="G1634" s="37" t="str">
        <f t="shared" si="80"/>
        <v/>
      </c>
    </row>
    <row r="1635" spans="5:7" x14ac:dyDescent="0.45">
      <c r="E1635" s="32" t="str">
        <f t="shared" si="78"/>
        <v>.0</v>
      </c>
      <c r="F1635" s="32" t="str">
        <f t="shared" si="79"/>
        <v>.0</v>
      </c>
      <c r="G1635" s="37" t="str">
        <f t="shared" si="80"/>
        <v/>
      </c>
    </row>
    <row r="1636" spans="5:7" x14ac:dyDescent="0.45">
      <c r="E1636" s="32" t="str">
        <f t="shared" si="78"/>
        <v>.0</v>
      </c>
      <c r="F1636" s="32" t="str">
        <f t="shared" si="79"/>
        <v>.0</v>
      </c>
      <c r="G1636" s="37" t="str">
        <f t="shared" si="80"/>
        <v/>
      </c>
    </row>
    <row r="1637" spans="5:7" x14ac:dyDescent="0.45">
      <c r="E1637" s="32" t="str">
        <f t="shared" si="78"/>
        <v>.0</v>
      </c>
      <c r="F1637" s="32" t="str">
        <f t="shared" si="79"/>
        <v>.0</v>
      </c>
      <c r="G1637" s="37" t="str">
        <f t="shared" si="80"/>
        <v/>
      </c>
    </row>
    <row r="1638" spans="5:7" x14ac:dyDescent="0.45">
      <c r="E1638" s="32" t="str">
        <f t="shared" si="78"/>
        <v>.0</v>
      </c>
      <c r="F1638" s="32" t="str">
        <f t="shared" si="79"/>
        <v>.0</v>
      </c>
      <c r="G1638" s="37" t="str">
        <f t="shared" si="80"/>
        <v/>
      </c>
    </row>
    <row r="1639" spans="5:7" x14ac:dyDescent="0.45">
      <c r="E1639" s="32" t="str">
        <f t="shared" si="78"/>
        <v>.0</v>
      </c>
      <c r="F1639" s="32" t="str">
        <f t="shared" si="79"/>
        <v>.0</v>
      </c>
      <c r="G1639" s="37" t="str">
        <f t="shared" si="80"/>
        <v/>
      </c>
    </row>
    <row r="1640" spans="5:7" x14ac:dyDescent="0.45">
      <c r="E1640" s="32" t="str">
        <f t="shared" si="78"/>
        <v>.0</v>
      </c>
      <c r="F1640" s="32" t="str">
        <f t="shared" si="79"/>
        <v>.0</v>
      </c>
      <c r="G1640" s="37" t="str">
        <f t="shared" si="80"/>
        <v/>
      </c>
    </row>
    <row r="1641" spans="5:7" x14ac:dyDescent="0.45">
      <c r="E1641" s="32" t="str">
        <f t="shared" si="78"/>
        <v>.0</v>
      </c>
      <c r="F1641" s="32" t="str">
        <f t="shared" si="79"/>
        <v>.0</v>
      </c>
      <c r="G1641" s="37" t="str">
        <f t="shared" si="80"/>
        <v/>
      </c>
    </row>
    <row r="1642" spans="5:7" x14ac:dyDescent="0.45">
      <c r="E1642" s="32" t="str">
        <f t="shared" si="78"/>
        <v>.0</v>
      </c>
      <c r="F1642" s="32" t="str">
        <f t="shared" si="79"/>
        <v>.0</v>
      </c>
      <c r="G1642" s="37" t="str">
        <f t="shared" si="80"/>
        <v/>
      </c>
    </row>
    <row r="1643" spans="5:7" x14ac:dyDescent="0.45">
      <c r="E1643" s="32" t="str">
        <f t="shared" si="78"/>
        <v>.0</v>
      </c>
      <c r="F1643" s="32" t="str">
        <f t="shared" si="79"/>
        <v>.0</v>
      </c>
      <c r="G1643" s="37" t="str">
        <f t="shared" si="80"/>
        <v/>
      </c>
    </row>
    <row r="1644" spans="5:7" x14ac:dyDescent="0.45">
      <c r="E1644" s="32" t="str">
        <f t="shared" si="78"/>
        <v>.0</v>
      </c>
      <c r="F1644" s="32" t="str">
        <f t="shared" si="79"/>
        <v>.0</v>
      </c>
      <c r="G1644" s="37" t="str">
        <f t="shared" si="80"/>
        <v/>
      </c>
    </row>
    <row r="1645" spans="5:7" x14ac:dyDescent="0.45">
      <c r="E1645" s="32" t="str">
        <f t="shared" si="78"/>
        <v>.0</v>
      </c>
      <c r="F1645" s="32" t="str">
        <f t="shared" si="79"/>
        <v>.0</v>
      </c>
      <c r="G1645" s="37" t="str">
        <f t="shared" si="80"/>
        <v/>
      </c>
    </row>
    <row r="1646" spans="5:7" x14ac:dyDescent="0.45">
      <c r="E1646" s="32" t="str">
        <f t="shared" si="78"/>
        <v>.0</v>
      </c>
      <c r="F1646" s="32" t="str">
        <f t="shared" si="79"/>
        <v>.0</v>
      </c>
      <c r="G1646" s="37" t="str">
        <f t="shared" si="80"/>
        <v/>
      </c>
    </row>
    <row r="1647" spans="5:7" x14ac:dyDescent="0.45">
      <c r="E1647" s="32" t="str">
        <f t="shared" si="78"/>
        <v>.0</v>
      </c>
      <c r="F1647" s="32" t="str">
        <f t="shared" si="79"/>
        <v>.0</v>
      </c>
      <c r="G1647" s="37" t="str">
        <f t="shared" si="80"/>
        <v/>
      </c>
    </row>
    <row r="1648" spans="5:7" x14ac:dyDescent="0.45">
      <c r="E1648" s="32" t="str">
        <f t="shared" si="78"/>
        <v>.0</v>
      </c>
      <c r="F1648" s="32" t="str">
        <f t="shared" si="79"/>
        <v>.0</v>
      </c>
      <c r="G1648" s="37" t="str">
        <f t="shared" si="80"/>
        <v/>
      </c>
    </row>
    <row r="1649" spans="5:7" x14ac:dyDescent="0.45">
      <c r="E1649" s="32" t="str">
        <f t="shared" si="78"/>
        <v>.0</v>
      </c>
      <c r="F1649" s="32" t="str">
        <f t="shared" si="79"/>
        <v>.0</v>
      </c>
      <c r="G1649" s="37" t="str">
        <f t="shared" si="80"/>
        <v/>
      </c>
    </row>
    <row r="1650" spans="5:7" x14ac:dyDescent="0.45">
      <c r="E1650" s="32" t="str">
        <f t="shared" si="78"/>
        <v>.0</v>
      </c>
      <c r="F1650" s="32" t="str">
        <f t="shared" si="79"/>
        <v>.0</v>
      </c>
      <c r="G1650" s="37" t="str">
        <f t="shared" si="80"/>
        <v/>
      </c>
    </row>
    <row r="1651" spans="5:7" x14ac:dyDescent="0.45">
      <c r="E1651" s="32" t="str">
        <f t="shared" si="78"/>
        <v>.0</v>
      </c>
      <c r="F1651" s="32" t="str">
        <f t="shared" si="79"/>
        <v>.0</v>
      </c>
      <c r="G1651" s="37" t="str">
        <f t="shared" si="80"/>
        <v/>
      </c>
    </row>
    <row r="1652" spans="5:7" x14ac:dyDescent="0.45">
      <c r="E1652" s="32" t="str">
        <f t="shared" si="78"/>
        <v>.0</v>
      </c>
      <c r="F1652" s="32" t="str">
        <f t="shared" si="79"/>
        <v>.0</v>
      </c>
      <c r="G1652" s="37" t="str">
        <f t="shared" si="80"/>
        <v/>
      </c>
    </row>
    <row r="1653" spans="5:7" x14ac:dyDescent="0.45">
      <c r="E1653" s="32" t="str">
        <f t="shared" si="78"/>
        <v>.0</v>
      </c>
      <c r="F1653" s="32" t="str">
        <f t="shared" si="79"/>
        <v>.0</v>
      </c>
      <c r="G1653" s="37" t="str">
        <f t="shared" si="80"/>
        <v/>
      </c>
    </row>
    <row r="1654" spans="5:7" x14ac:dyDescent="0.45">
      <c r="E1654" s="32" t="str">
        <f t="shared" si="78"/>
        <v>.0</v>
      </c>
      <c r="F1654" s="32" t="str">
        <f t="shared" si="79"/>
        <v>.0</v>
      </c>
      <c r="G1654" s="37" t="str">
        <f t="shared" si="80"/>
        <v/>
      </c>
    </row>
    <row r="1655" spans="5:7" x14ac:dyDescent="0.45">
      <c r="E1655" s="32" t="str">
        <f t="shared" si="78"/>
        <v>.0</v>
      </c>
      <c r="F1655" s="32" t="str">
        <f t="shared" si="79"/>
        <v>.0</v>
      </c>
      <c r="G1655" s="37" t="str">
        <f t="shared" si="80"/>
        <v/>
      </c>
    </row>
    <row r="1656" spans="5:7" x14ac:dyDescent="0.45">
      <c r="E1656" s="32" t="str">
        <f t="shared" si="78"/>
        <v>.0</v>
      </c>
      <c r="F1656" s="32" t="str">
        <f t="shared" si="79"/>
        <v>.0</v>
      </c>
      <c r="G1656" s="37" t="str">
        <f t="shared" si="80"/>
        <v/>
      </c>
    </row>
    <row r="1657" spans="5:7" x14ac:dyDescent="0.45">
      <c r="E1657" s="32" t="str">
        <f t="shared" si="78"/>
        <v>.0</v>
      </c>
      <c r="F1657" s="32" t="str">
        <f t="shared" si="79"/>
        <v>.0</v>
      </c>
      <c r="G1657" s="37" t="str">
        <f t="shared" si="80"/>
        <v/>
      </c>
    </row>
    <row r="1658" spans="5:7" x14ac:dyDescent="0.45">
      <c r="E1658" s="32" t="str">
        <f t="shared" si="78"/>
        <v>.0</v>
      </c>
      <c r="F1658" s="32" t="str">
        <f t="shared" si="79"/>
        <v>.0</v>
      </c>
      <c r="G1658" s="37" t="str">
        <f t="shared" si="80"/>
        <v/>
      </c>
    </row>
    <row r="1659" spans="5:7" x14ac:dyDescent="0.45">
      <c r="E1659" s="32" t="str">
        <f t="shared" si="78"/>
        <v>.0</v>
      </c>
      <c r="F1659" s="32" t="str">
        <f t="shared" si="79"/>
        <v>.0</v>
      </c>
      <c r="G1659" s="37" t="str">
        <f t="shared" si="80"/>
        <v/>
      </c>
    </row>
    <row r="1660" spans="5:7" x14ac:dyDescent="0.45">
      <c r="E1660" s="32" t="str">
        <f t="shared" si="78"/>
        <v>.0</v>
      </c>
      <c r="F1660" s="32" t="str">
        <f t="shared" si="79"/>
        <v>.0</v>
      </c>
      <c r="G1660" s="37" t="str">
        <f t="shared" si="80"/>
        <v/>
      </c>
    </row>
    <row r="1661" spans="5:7" x14ac:dyDescent="0.45">
      <c r="E1661" s="32" t="str">
        <f t="shared" si="78"/>
        <v>.0</v>
      </c>
      <c r="F1661" s="32" t="str">
        <f t="shared" si="79"/>
        <v>.0</v>
      </c>
      <c r="G1661" s="37" t="str">
        <f t="shared" si="80"/>
        <v/>
      </c>
    </row>
    <row r="1662" spans="5:7" x14ac:dyDescent="0.45">
      <c r="E1662" s="32" t="str">
        <f t="shared" si="78"/>
        <v>.0</v>
      </c>
      <c r="F1662" s="32" t="str">
        <f t="shared" si="79"/>
        <v>.0</v>
      </c>
      <c r="G1662" s="37" t="str">
        <f t="shared" si="80"/>
        <v/>
      </c>
    </row>
    <row r="1663" spans="5:7" x14ac:dyDescent="0.45">
      <c r="E1663" s="32" t="str">
        <f t="shared" si="78"/>
        <v>.0</v>
      </c>
      <c r="F1663" s="32" t="str">
        <f t="shared" si="79"/>
        <v>.0</v>
      </c>
      <c r="G1663" s="37" t="str">
        <f t="shared" si="80"/>
        <v/>
      </c>
    </row>
    <row r="1664" spans="5:7" x14ac:dyDescent="0.45">
      <c r="E1664" s="32" t="str">
        <f t="shared" si="78"/>
        <v>.0</v>
      </c>
      <c r="F1664" s="32" t="str">
        <f t="shared" si="79"/>
        <v>.0</v>
      </c>
      <c r="G1664" s="37" t="str">
        <f t="shared" si="80"/>
        <v/>
      </c>
    </row>
    <row r="1665" spans="5:7" x14ac:dyDescent="0.45">
      <c r="E1665" s="32" t="str">
        <f t="shared" si="78"/>
        <v>.0</v>
      </c>
      <c r="F1665" s="32" t="str">
        <f t="shared" si="79"/>
        <v>.0</v>
      </c>
      <c r="G1665" s="37" t="str">
        <f t="shared" si="80"/>
        <v/>
      </c>
    </row>
    <row r="1666" spans="5:7" x14ac:dyDescent="0.45">
      <c r="E1666" s="32" t="str">
        <f t="shared" si="78"/>
        <v>.0</v>
      </c>
      <c r="F1666" s="32" t="str">
        <f t="shared" si="79"/>
        <v>.0</v>
      </c>
      <c r="G1666" s="37" t="str">
        <f t="shared" si="80"/>
        <v/>
      </c>
    </row>
    <row r="1667" spans="5:7" x14ac:dyDescent="0.45">
      <c r="E1667" s="32" t="str">
        <f t="shared" si="78"/>
        <v>.0</v>
      </c>
      <c r="F1667" s="32" t="str">
        <f t="shared" si="79"/>
        <v>.0</v>
      </c>
      <c r="G1667" s="37" t="str">
        <f t="shared" si="80"/>
        <v/>
      </c>
    </row>
    <row r="1668" spans="5:7" x14ac:dyDescent="0.45">
      <c r="E1668" s="32" t="str">
        <f t="shared" si="78"/>
        <v>.0</v>
      </c>
      <c r="F1668" s="32" t="str">
        <f t="shared" si="79"/>
        <v>.0</v>
      </c>
      <c r="G1668" s="37" t="str">
        <f t="shared" si="80"/>
        <v/>
      </c>
    </row>
    <row r="1669" spans="5:7" x14ac:dyDescent="0.45">
      <c r="E1669" s="32" t="str">
        <f t="shared" si="78"/>
        <v>.0</v>
      </c>
      <c r="F1669" s="32" t="str">
        <f t="shared" si="79"/>
        <v>.0</v>
      </c>
      <c r="G1669" s="37" t="str">
        <f t="shared" si="80"/>
        <v/>
      </c>
    </row>
    <row r="1670" spans="5:7" x14ac:dyDescent="0.45">
      <c r="E1670" s="32" t="str">
        <f t="shared" si="78"/>
        <v>.0</v>
      </c>
      <c r="F1670" s="32" t="str">
        <f t="shared" si="79"/>
        <v>.0</v>
      </c>
      <c r="G1670" s="37" t="str">
        <f t="shared" si="80"/>
        <v/>
      </c>
    </row>
    <row r="1671" spans="5:7" x14ac:dyDescent="0.45">
      <c r="E1671" s="32" t="str">
        <f t="shared" si="78"/>
        <v>.0</v>
      </c>
      <c r="F1671" s="32" t="str">
        <f t="shared" si="79"/>
        <v>.0</v>
      </c>
      <c r="G1671" s="37" t="str">
        <f t="shared" si="80"/>
        <v/>
      </c>
    </row>
    <row r="1672" spans="5:7" x14ac:dyDescent="0.45">
      <c r="E1672" s="32" t="str">
        <f t="shared" si="78"/>
        <v>.0</v>
      </c>
      <c r="F1672" s="32" t="str">
        <f t="shared" si="79"/>
        <v>.0</v>
      </c>
      <c r="G1672" s="37" t="str">
        <f t="shared" si="80"/>
        <v/>
      </c>
    </row>
    <row r="1673" spans="5:7" x14ac:dyDescent="0.45">
      <c r="E1673" s="32" t="str">
        <f t="shared" si="78"/>
        <v>.0</v>
      </c>
      <c r="F1673" s="32" t="str">
        <f t="shared" si="79"/>
        <v>.0</v>
      </c>
      <c r="G1673" s="37" t="str">
        <f t="shared" si="80"/>
        <v/>
      </c>
    </row>
    <row r="1674" spans="5:7" x14ac:dyDescent="0.45">
      <c r="E1674" s="32" t="str">
        <f t="shared" si="78"/>
        <v>.0</v>
      </c>
      <c r="F1674" s="32" t="str">
        <f t="shared" si="79"/>
        <v>.0</v>
      </c>
      <c r="G1674" s="37" t="str">
        <f t="shared" si="80"/>
        <v/>
      </c>
    </row>
    <row r="1675" spans="5:7" x14ac:dyDescent="0.45">
      <c r="E1675" s="32" t="str">
        <f t="shared" si="78"/>
        <v>.0</v>
      </c>
      <c r="F1675" s="32" t="str">
        <f t="shared" si="79"/>
        <v>.0</v>
      </c>
      <c r="G1675" s="37" t="str">
        <f t="shared" si="80"/>
        <v/>
      </c>
    </row>
    <row r="1676" spans="5:7" x14ac:dyDescent="0.45">
      <c r="E1676" s="32" t="str">
        <f t="shared" si="78"/>
        <v>.0</v>
      </c>
      <c r="F1676" s="32" t="str">
        <f t="shared" si="79"/>
        <v>.0</v>
      </c>
      <c r="G1676" s="37" t="str">
        <f t="shared" si="80"/>
        <v/>
      </c>
    </row>
    <row r="1677" spans="5:7" x14ac:dyDescent="0.45">
      <c r="E1677" s="32" t="str">
        <f t="shared" si="78"/>
        <v>.0</v>
      </c>
      <c r="F1677" s="32" t="str">
        <f t="shared" si="79"/>
        <v>.0</v>
      </c>
      <c r="G1677" s="37" t="str">
        <f t="shared" si="80"/>
        <v/>
      </c>
    </row>
    <row r="1678" spans="5:7" x14ac:dyDescent="0.45">
      <c r="E1678" s="32" t="str">
        <f t="shared" si="78"/>
        <v>.0</v>
      </c>
      <c r="F1678" s="32" t="str">
        <f t="shared" si="79"/>
        <v>.0</v>
      </c>
      <c r="G1678" s="37" t="str">
        <f t="shared" si="80"/>
        <v/>
      </c>
    </row>
    <row r="1679" spans="5:7" x14ac:dyDescent="0.45">
      <c r="E1679" s="32" t="str">
        <f t="shared" si="78"/>
        <v>.0</v>
      </c>
      <c r="F1679" s="32" t="str">
        <f t="shared" si="79"/>
        <v>.0</v>
      </c>
      <c r="G1679" s="37" t="str">
        <f t="shared" si="80"/>
        <v/>
      </c>
    </row>
    <row r="1680" spans="5:7" x14ac:dyDescent="0.45">
      <c r="E1680" s="32" t="str">
        <f t="shared" si="78"/>
        <v>.0</v>
      </c>
      <c r="F1680" s="32" t="str">
        <f t="shared" si="79"/>
        <v>.0</v>
      </c>
      <c r="G1680" s="37" t="str">
        <f t="shared" si="80"/>
        <v/>
      </c>
    </row>
    <row r="1681" spans="5:7" x14ac:dyDescent="0.45">
      <c r="E1681" s="32" t="str">
        <f t="shared" si="78"/>
        <v>.0</v>
      </c>
      <c r="F1681" s="32" t="str">
        <f t="shared" si="79"/>
        <v>.0</v>
      </c>
      <c r="G1681" s="37" t="str">
        <f t="shared" si="80"/>
        <v/>
      </c>
    </row>
    <row r="1682" spans="5:7" x14ac:dyDescent="0.45">
      <c r="E1682" s="32" t="str">
        <f t="shared" si="78"/>
        <v>.0</v>
      </c>
      <c r="F1682" s="32" t="str">
        <f t="shared" si="79"/>
        <v>.0</v>
      </c>
      <c r="G1682" s="37" t="str">
        <f t="shared" si="80"/>
        <v/>
      </c>
    </row>
    <row r="1683" spans="5:7" x14ac:dyDescent="0.45">
      <c r="E1683" s="32" t="str">
        <f t="shared" si="78"/>
        <v>.0</v>
      </c>
      <c r="F1683" s="32" t="str">
        <f t="shared" si="79"/>
        <v>.0</v>
      </c>
      <c r="G1683" s="37" t="str">
        <f t="shared" si="80"/>
        <v/>
      </c>
    </row>
    <row r="1684" spans="5:7" x14ac:dyDescent="0.45">
      <c r="E1684" s="32" t="str">
        <f t="shared" si="78"/>
        <v>.0</v>
      </c>
      <c r="F1684" s="32" t="str">
        <f t="shared" si="79"/>
        <v>.0</v>
      </c>
      <c r="G1684" s="37" t="str">
        <f t="shared" si="80"/>
        <v/>
      </c>
    </row>
    <row r="1685" spans="5:7" x14ac:dyDescent="0.45">
      <c r="E1685" s="32" t="str">
        <f t="shared" si="78"/>
        <v>.0</v>
      </c>
      <c r="F1685" s="32" t="str">
        <f t="shared" si="79"/>
        <v>.0</v>
      </c>
      <c r="G1685" s="37" t="str">
        <f t="shared" si="80"/>
        <v/>
      </c>
    </row>
    <row r="1686" spans="5:7" x14ac:dyDescent="0.45">
      <c r="E1686" s="32" t="str">
        <f t="shared" si="78"/>
        <v>.0</v>
      </c>
      <c r="F1686" s="32" t="str">
        <f t="shared" si="79"/>
        <v>.0</v>
      </c>
      <c r="G1686" s="37" t="str">
        <f t="shared" si="80"/>
        <v/>
      </c>
    </row>
    <row r="1687" spans="5:7" x14ac:dyDescent="0.45">
      <c r="E1687" s="32" t="str">
        <f t="shared" si="78"/>
        <v>.0</v>
      </c>
      <c r="F1687" s="32" t="str">
        <f t="shared" si="79"/>
        <v>.0</v>
      </c>
      <c r="G1687" s="37" t="str">
        <f t="shared" si="80"/>
        <v/>
      </c>
    </row>
    <row r="1688" spans="5:7" x14ac:dyDescent="0.45">
      <c r="E1688" s="32" t="str">
        <f t="shared" si="78"/>
        <v>.0</v>
      </c>
      <c r="F1688" s="32" t="str">
        <f t="shared" si="79"/>
        <v>.0</v>
      </c>
      <c r="G1688" s="37" t="str">
        <f t="shared" si="80"/>
        <v/>
      </c>
    </row>
    <row r="1689" spans="5:7" x14ac:dyDescent="0.45">
      <c r="E1689" s="32" t="str">
        <f t="shared" si="78"/>
        <v>.0</v>
      </c>
      <c r="F1689" s="32" t="str">
        <f t="shared" si="79"/>
        <v>.0</v>
      </c>
      <c r="G1689" s="37" t="str">
        <f t="shared" si="80"/>
        <v/>
      </c>
    </row>
    <row r="1690" spans="5:7" x14ac:dyDescent="0.45">
      <c r="E1690" s="32" t="str">
        <f t="shared" si="78"/>
        <v>.0</v>
      </c>
      <c r="F1690" s="32" t="str">
        <f t="shared" si="79"/>
        <v>.0</v>
      </c>
      <c r="G1690" s="37" t="str">
        <f t="shared" si="80"/>
        <v/>
      </c>
    </row>
    <row r="1691" spans="5:7" x14ac:dyDescent="0.45">
      <c r="E1691" s="32" t="str">
        <f t="shared" si="78"/>
        <v>.0</v>
      </c>
      <c r="F1691" s="32" t="str">
        <f t="shared" si="79"/>
        <v>.0</v>
      </c>
      <c r="G1691" s="37" t="str">
        <f t="shared" si="80"/>
        <v/>
      </c>
    </row>
    <row r="1692" spans="5:7" x14ac:dyDescent="0.45">
      <c r="E1692" s="32" t="str">
        <f t="shared" si="78"/>
        <v>.0</v>
      </c>
      <c r="F1692" s="32" t="str">
        <f t="shared" si="79"/>
        <v>.0</v>
      </c>
      <c r="G1692" s="37" t="str">
        <f t="shared" si="80"/>
        <v/>
      </c>
    </row>
    <row r="1693" spans="5:7" x14ac:dyDescent="0.45">
      <c r="E1693" s="32" t="str">
        <f t="shared" si="78"/>
        <v>.0</v>
      </c>
      <c r="F1693" s="32" t="str">
        <f t="shared" si="79"/>
        <v>.0</v>
      </c>
      <c r="G1693" s="37" t="str">
        <f t="shared" si="80"/>
        <v/>
      </c>
    </row>
    <row r="1694" spans="5:7" x14ac:dyDescent="0.45">
      <c r="E1694" s="32" t="str">
        <f t="shared" ref="E1694:E1757" si="81">MID(B1694,3,2)&amp;"."&amp;IF(C1694&lt;10,"0"&amp;C1694,C1694)</f>
        <v>.0</v>
      </c>
      <c r="F1694" s="32" t="str">
        <f t="shared" ref="F1694:F1757" si="82">MID(B1694,3,2)&amp;"."&amp;IF(C1694&lt;10,"0"&amp;C1694,C1694)</f>
        <v>.0</v>
      </c>
      <c r="G1694" s="37" t="str">
        <f t="shared" ref="G1694:G1757" si="83">TEXT(D1694,"#,###,")</f>
        <v/>
      </c>
    </row>
    <row r="1695" spans="5:7" x14ac:dyDescent="0.45">
      <c r="E1695" s="32" t="str">
        <f t="shared" si="81"/>
        <v>.0</v>
      </c>
      <c r="F1695" s="32" t="str">
        <f t="shared" si="82"/>
        <v>.0</v>
      </c>
      <c r="G1695" s="37" t="str">
        <f t="shared" si="83"/>
        <v/>
      </c>
    </row>
    <row r="1696" spans="5:7" x14ac:dyDescent="0.45">
      <c r="E1696" s="32" t="str">
        <f t="shared" si="81"/>
        <v>.0</v>
      </c>
      <c r="F1696" s="32" t="str">
        <f t="shared" si="82"/>
        <v>.0</v>
      </c>
      <c r="G1696" s="37" t="str">
        <f t="shared" si="83"/>
        <v/>
      </c>
    </row>
    <row r="1697" spans="5:7" x14ac:dyDescent="0.45">
      <c r="E1697" s="32" t="str">
        <f t="shared" si="81"/>
        <v>.0</v>
      </c>
      <c r="F1697" s="32" t="str">
        <f t="shared" si="82"/>
        <v>.0</v>
      </c>
      <c r="G1697" s="37" t="str">
        <f t="shared" si="83"/>
        <v/>
      </c>
    </row>
    <row r="1698" spans="5:7" x14ac:dyDescent="0.45">
      <c r="E1698" s="32" t="str">
        <f t="shared" si="81"/>
        <v>.0</v>
      </c>
      <c r="F1698" s="32" t="str">
        <f t="shared" si="82"/>
        <v>.0</v>
      </c>
      <c r="G1698" s="37" t="str">
        <f t="shared" si="83"/>
        <v/>
      </c>
    </row>
    <row r="1699" spans="5:7" x14ac:dyDescent="0.45">
      <c r="E1699" s="32" t="str">
        <f t="shared" si="81"/>
        <v>.0</v>
      </c>
      <c r="F1699" s="32" t="str">
        <f t="shared" si="82"/>
        <v>.0</v>
      </c>
      <c r="G1699" s="37" t="str">
        <f t="shared" si="83"/>
        <v/>
      </c>
    </row>
    <row r="1700" spans="5:7" x14ac:dyDescent="0.45">
      <c r="E1700" s="32" t="str">
        <f t="shared" si="81"/>
        <v>.0</v>
      </c>
      <c r="F1700" s="32" t="str">
        <f t="shared" si="82"/>
        <v>.0</v>
      </c>
      <c r="G1700" s="37" t="str">
        <f t="shared" si="83"/>
        <v/>
      </c>
    </row>
    <row r="1701" spans="5:7" x14ac:dyDescent="0.45">
      <c r="E1701" s="32" t="str">
        <f t="shared" si="81"/>
        <v>.0</v>
      </c>
      <c r="F1701" s="32" t="str">
        <f t="shared" si="82"/>
        <v>.0</v>
      </c>
      <c r="G1701" s="37" t="str">
        <f t="shared" si="83"/>
        <v/>
      </c>
    </row>
    <row r="1702" spans="5:7" x14ac:dyDescent="0.45">
      <c r="E1702" s="32" t="str">
        <f t="shared" si="81"/>
        <v>.0</v>
      </c>
      <c r="F1702" s="32" t="str">
        <f t="shared" si="82"/>
        <v>.0</v>
      </c>
      <c r="G1702" s="37" t="str">
        <f t="shared" si="83"/>
        <v/>
      </c>
    </row>
    <row r="1703" spans="5:7" x14ac:dyDescent="0.45">
      <c r="E1703" s="32" t="str">
        <f t="shared" si="81"/>
        <v>.0</v>
      </c>
      <c r="F1703" s="32" t="str">
        <f t="shared" si="82"/>
        <v>.0</v>
      </c>
      <c r="G1703" s="37" t="str">
        <f t="shared" si="83"/>
        <v/>
      </c>
    </row>
    <row r="1704" spans="5:7" x14ac:dyDescent="0.45">
      <c r="E1704" s="32" t="str">
        <f t="shared" si="81"/>
        <v>.0</v>
      </c>
      <c r="F1704" s="32" t="str">
        <f t="shared" si="82"/>
        <v>.0</v>
      </c>
      <c r="G1704" s="37" t="str">
        <f t="shared" si="83"/>
        <v/>
      </c>
    </row>
    <row r="1705" spans="5:7" x14ac:dyDescent="0.45">
      <c r="E1705" s="32" t="str">
        <f t="shared" si="81"/>
        <v>.0</v>
      </c>
      <c r="F1705" s="32" t="str">
        <f t="shared" si="82"/>
        <v>.0</v>
      </c>
      <c r="G1705" s="37" t="str">
        <f t="shared" si="83"/>
        <v/>
      </c>
    </row>
    <row r="1706" spans="5:7" x14ac:dyDescent="0.45">
      <c r="E1706" s="32" t="str">
        <f t="shared" si="81"/>
        <v>.0</v>
      </c>
      <c r="F1706" s="32" t="str">
        <f t="shared" si="82"/>
        <v>.0</v>
      </c>
      <c r="G1706" s="37" t="str">
        <f t="shared" si="83"/>
        <v/>
      </c>
    </row>
    <row r="1707" spans="5:7" x14ac:dyDescent="0.45">
      <c r="E1707" s="32" t="str">
        <f t="shared" si="81"/>
        <v>.0</v>
      </c>
      <c r="F1707" s="32" t="str">
        <f t="shared" si="82"/>
        <v>.0</v>
      </c>
      <c r="G1707" s="37" t="str">
        <f t="shared" si="83"/>
        <v/>
      </c>
    </row>
    <row r="1708" spans="5:7" x14ac:dyDescent="0.45">
      <c r="E1708" s="32" t="str">
        <f t="shared" si="81"/>
        <v>.0</v>
      </c>
      <c r="F1708" s="32" t="str">
        <f t="shared" si="82"/>
        <v>.0</v>
      </c>
      <c r="G1708" s="37" t="str">
        <f t="shared" si="83"/>
        <v/>
      </c>
    </row>
    <row r="1709" spans="5:7" x14ac:dyDescent="0.45">
      <c r="E1709" s="32" t="str">
        <f t="shared" si="81"/>
        <v>.0</v>
      </c>
      <c r="F1709" s="32" t="str">
        <f t="shared" si="82"/>
        <v>.0</v>
      </c>
      <c r="G1709" s="37" t="str">
        <f t="shared" si="83"/>
        <v/>
      </c>
    </row>
    <row r="1710" spans="5:7" x14ac:dyDescent="0.45">
      <c r="E1710" s="32" t="str">
        <f t="shared" si="81"/>
        <v>.0</v>
      </c>
      <c r="F1710" s="32" t="str">
        <f t="shared" si="82"/>
        <v>.0</v>
      </c>
      <c r="G1710" s="37" t="str">
        <f t="shared" si="83"/>
        <v/>
      </c>
    </row>
    <row r="1711" spans="5:7" x14ac:dyDescent="0.45">
      <c r="E1711" s="32" t="str">
        <f t="shared" si="81"/>
        <v>.0</v>
      </c>
      <c r="F1711" s="32" t="str">
        <f t="shared" si="82"/>
        <v>.0</v>
      </c>
      <c r="G1711" s="37" t="str">
        <f t="shared" si="83"/>
        <v/>
      </c>
    </row>
    <row r="1712" spans="5:7" x14ac:dyDescent="0.45">
      <c r="E1712" s="32" t="str">
        <f t="shared" si="81"/>
        <v>.0</v>
      </c>
      <c r="F1712" s="32" t="str">
        <f t="shared" si="82"/>
        <v>.0</v>
      </c>
      <c r="G1712" s="37" t="str">
        <f t="shared" si="83"/>
        <v/>
      </c>
    </row>
    <row r="1713" spans="5:7" x14ac:dyDescent="0.45">
      <c r="E1713" s="32" t="str">
        <f t="shared" si="81"/>
        <v>.0</v>
      </c>
      <c r="F1713" s="32" t="str">
        <f t="shared" si="82"/>
        <v>.0</v>
      </c>
      <c r="G1713" s="37" t="str">
        <f t="shared" si="83"/>
        <v/>
      </c>
    </row>
    <row r="1714" spans="5:7" x14ac:dyDescent="0.45">
      <c r="E1714" s="32" t="str">
        <f t="shared" si="81"/>
        <v>.0</v>
      </c>
      <c r="F1714" s="32" t="str">
        <f t="shared" si="82"/>
        <v>.0</v>
      </c>
      <c r="G1714" s="37" t="str">
        <f t="shared" si="83"/>
        <v/>
      </c>
    </row>
    <row r="1715" spans="5:7" x14ac:dyDescent="0.45">
      <c r="E1715" s="32" t="str">
        <f t="shared" si="81"/>
        <v>.0</v>
      </c>
      <c r="F1715" s="32" t="str">
        <f t="shared" si="82"/>
        <v>.0</v>
      </c>
      <c r="G1715" s="37" t="str">
        <f t="shared" si="83"/>
        <v/>
      </c>
    </row>
    <row r="1716" spans="5:7" x14ac:dyDescent="0.45">
      <c r="E1716" s="32" t="str">
        <f t="shared" si="81"/>
        <v>.0</v>
      </c>
      <c r="F1716" s="32" t="str">
        <f t="shared" si="82"/>
        <v>.0</v>
      </c>
      <c r="G1716" s="37" t="str">
        <f t="shared" si="83"/>
        <v/>
      </c>
    </row>
    <row r="1717" spans="5:7" x14ac:dyDescent="0.45">
      <c r="E1717" s="32" t="str">
        <f t="shared" si="81"/>
        <v>.0</v>
      </c>
      <c r="F1717" s="32" t="str">
        <f t="shared" si="82"/>
        <v>.0</v>
      </c>
      <c r="G1717" s="37" t="str">
        <f t="shared" si="83"/>
        <v/>
      </c>
    </row>
    <row r="1718" spans="5:7" x14ac:dyDescent="0.45">
      <c r="E1718" s="32" t="str">
        <f t="shared" si="81"/>
        <v>.0</v>
      </c>
      <c r="F1718" s="32" t="str">
        <f t="shared" si="82"/>
        <v>.0</v>
      </c>
      <c r="G1718" s="37" t="str">
        <f t="shared" si="83"/>
        <v/>
      </c>
    </row>
    <row r="1719" spans="5:7" x14ac:dyDescent="0.45">
      <c r="E1719" s="32" t="str">
        <f t="shared" si="81"/>
        <v>.0</v>
      </c>
      <c r="F1719" s="32" t="str">
        <f t="shared" si="82"/>
        <v>.0</v>
      </c>
      <c r="G1719" s="37" t="str">
        <f t="shared" si="83"/>
        <v/>
      </c>
    </row>
    <row r="1720" spans="5:7" x14ac:dyDescent="0.45">
      <c r="E1720" s="32" t="str">
        <f t="shared" si="81"/>
        <v>.0</v>
      </c>
      <c r="F1720" s="32" t="str">
        <f t="shared" si="82"/>
        <v>.0</v>
      </c>
      <c r="G1720" s="37" t="str">
        <f t="shared" si="83"/>
        <v/>
      </c>
    </row>
    <row r="1721" spans="5:7" x14ac:dyDescent="0.45">
      <c r="E1721" s="32" t="str">
        <f t="shared" si="81"/>
        <v>.0</v>
      </c>
      <c r="F1721" s="32" t="str">
        <f t="shared" si="82"/>
        <v>.0</v>
      </c>
      <c r="G1721" s="37" t="str">
        <f t="shared" si="83"/>
        <v/>
      </c>
    </row>
    <row r="1722" spans="5:7" x14ac:dyDescent="0.45">
      <c r="E1722" s="32" t="str">
        <f t="shared" si="81"/>
        <v>.0</v>
      </c>
      <c r="F1722" s="32" t="str">
        <f t="shared" si="82"/>
        <v>.0</v>
      </c>
      <c r="G1722" s="37" t="str">
        <f t="shared" si="83"/>
        <v/>
      </c>
    </row>
    <row r="1723" spans="5:7" x14ac:dyDescent="0.45">
      <c r="E1723" s="32" t="str">
        <f t="shared" si="81"/>
        <v>.0</v>
      </c>
      <c r="F1723" s="32" t="str">
        <f t="shared" si="82"/>
        <v>.0</v>
      </c>
      <c r="G1723" s="37" t="str">
        <f t="shared" si="83"/>
        <v/>
      </c>
    </row>
    <row r="1724" spans="5:7" x14ac:dyDescent="0.45">
      <c r="E1724" s="32" t="str">
        <f t="shared" si="81"/>
        <v>.0</v>
      </c>
      <c r="F1724" s="32" t="str">
        <f t="shared" si="82"/>
        <v>.0</v>
      </c>
      <c r="G1724" s="37" t="str">
        <f t="shared" si="83"/>
        <v/>
      </c>
    </row>
    <row r="1725" spans="5:7" x14ac:dyDescent="0.45">
      <c r="E1725" s="32" t="str">
        <f t="shared" si="81"/>
        <v>.0</v>
      </c>
      <c r="F1725" s="32" t="str">
        <f t="shared" si="82"/>
        <v>.0</v>
      </c>
      <c r="G1725" s="37" t="str">
        <f t="shared" si="83"/>
        <v/>
      </c>
    </row>
    <row r="1726" spans="5:7" x14ac:dyDescent="0.45">
      <c r="E1726" s="32" t="str">
        <f t="shared" si="81"/>
        <v>.0</v>
      </c>
      <c r="F1726" s="32" t="str">
        <f t="shared" si="82"/>
        <v>.0</v>
      </c>
      <c r="G1726" s="37" t="str">
        <f t="shared" si="83"/>
        <v/>
      </c>
    </row>
    <row r="1727" spans="5:7" x14ac:dyDescent="0.45">
      <c r="E1727" s="32" t="str">
        <f t="shared" si="81"/>
        <v>.0</v>
      </c>
      <c r="F1727" s="32" t="str">
        <f t="shared" si="82"/>
        <v>.0</v>
      </c>
      <c r="G1727" s="37" t="str">
        <f t="shared" si="83"/>
        <v/>
      </c>
    </row>
    <row r="1728" spans="5:7" x14ac:dyDescent="0.45">
      <c r="E1728" s="32" t="str">
        <f t="shared" si="81"/>
        <v>.0</v>
      </c>
      <c r="F1728" s="32" t="str">
        <f t="shared" si="82"/>
        <v>.0</v>
      </c>
      <c r="G1728" s="37" t="str">
        <f t="shared" si="83"/>
        <v/>
      </c>
    </row>
    <row r="1729" spans="5:7" x14ac:dyDescent="0.45">
      <c r="E1729" s="32" t="str">
        <f t="shared" si="81"/>
        <v>.0</v>
      </c>
      <c r="F1729" s="32" t="str">
        <f t="shared" si="82"/>
        <v>.0</v>
      </c>
      <c r="G1729" s="37" t="str">
        <f t="shared" si="83"/>
        <v/>
      </c>
    </row>
    <row r="1730" spans="5:7" x14ac:dyDescent="0.45">
      <c r="E1730" s="32" t="str">
        <f t="shared" si="81"/>
        <v>.0</v>
      </c>
      <c r="F1730" s="32" t="str">
        <f t="shared" si="82"/>
        <v>.0</v>
      </c>
      <c r="G1730" s="37" t="str">
        <f t="shared" si="83"/>
        <v/>
      </c>
    </row>
    <row r="1731" spans="5:7" x14ac:dyDescent="0.45">
      <c r="E1731" s="32" t="str">
        <f t="shared" si="81"/>
        <v>.0</v>
      </c>
      <c r="F1731" s="32" t="str">
        <f t="shared" si="82"/>
        <v>.0</v>
      </c>
      <c r="G1731" s="37" t="str">
        <f t="shared" si="83"/>
        <v/>
      </c>
    </row>
    <row r="1732" spans="5:7" x14ac:dyDescent="0.45">
      <c r="E1732" s="32" t="str">
        <f t="shared" si="81"/>
        <v>.0</v>
      </c>
      <c r="F1732" s="32" t="str">
        <f t="shared" si="82"/>
        <v>.0</v>
      </c>
      <c r="G1732" s="37" t="str">
        <f t="shared" si="83"/>
        <v/>
      </c>
    </row>
    <row r="1733" spans="5:7" x14ac:dyDescent="0.45">
      <c r="E1733" s="32" t="str">
        <f t="shared" si="81"/>
        <v>.0</v>
      </c>
      <c r="F1733" s="32" t="str">
        <f t="shared" si="82"/>
        <v>.0</v>
      </c>
      <c r="G1733" s="37" t="str">
        <f t="shared" si="83"/>
        <v/>
      </c>
    </row>
    <row r="1734" spans="5:7" x14ac:dyDescent="0.45">
      <c r="E1734" s="32" t="str">
        <f t="shared" si="81"/>
        <v>.0</v>
      </c>
      <c r="F1734" s="32" t="str">
        <f t="shared" si="82"/>
        <v>.0</v>
      </c>
      <c r="G1734" s="37" t="str">
        <f t="shared" si="83"/>
        <v/>
      </c>
    </row>
    <row r="1735" spans="5:7" x14ac:dyDescent="0.45">
      <c r="E1735" s="32" t="str">
        <f t="shared" si="81"/>
        <v>.0</v>
      </c>
      <c r="F1735" s="32" t="str">
        <f t="shared" si="82"/>
        <v>.0</v>
      </c>
      <c r="G1735" s="37" t="str">
        <f t="shared" si="83"/>
        <v/>
      </c>
    </row>
    <row r="1736" spans="5:7" x14ac:dyDescent="0.45">
      <c r="E1736" s="32" t="str">
        <f t="shared" si="81"/>
        <v>.0</v>
      </c>
      <c r="F1736" s="32" t="str">
        <f t="shared" si="82"/>
        <v>.0</v>
      </c>
      <c r="G1736" s="37" t="str">
        <f t="shared" si="83"/>
        <v/>
      </c>
    </row>
    <row r="1737" spans="5:7" x14ac:dyDescent="0.45">
      <c r="E1737" s="32" t="str">
        <f t="shared" si="81"/>
        <v>.0</v>
      </c>
      <c r="F1737" s="32" t="str">
        <f t="shared" si="82"/>
        <v>.0</v>
      </c>
      <c r="G1737" s="37" t="str">
        <f t="shared" si="83"/>
        <v/>
      </c>
    </row>
    <row r="1738" spans="5:7" x14ac:dyDescent="0.45">
      <c r="E1738" s="32" t="str">
        <f t="shared" si="81"/>
        <v>.0</v>
      </c>
      <c r="F1738" s="32" t="str">
        <f t="shared" si="82"/>
        <v>.0</v>
      </c>
      <c r="G1738" s="37" t="str">
        <f t="shared" si="83"/>
        <v/>
      </c>
    </row>
    <row r="1739" spans="5:7" x14ac:dyDescent="0.45">
      <c r="E1739" s="32" t="str">
        <f t="shared" si="81"/>
        <v>.0</v>
      </c>
      <c r="F1739" s="32" t="str">
        <f t="shared" si="82"/>
        <v>.0</v>
      </c>
      <c r="G1739" s="37" t="str">
        <f t="shared" si="83"/>
        <v/>
      </c>
    </row>
    <row r="1740" spans="5:7" x14ac:dyDescent="0.45">
      <c r="E1740" s="32" t="str">
        <f t="shared" si="81"/>
        <v>.0</v>
      </c>
      <c r="F1740" s="32" t="str">
        <f t="shared" si="82"/>
        <v>.0</v>
      </c>
      <c r="G1740" s="37" t="str">
        <f t="shared" si="83"/>
        <v/>
      </c>
    </row>
    <row r="1741" spans="5:7" x14ac:dyDescent="0.45">
      <c r="E1741" s="32" t="str">
        <f t="shared" si="81"/>
        <v>.0</v>
      </c>
      <c r="F1741" s="32" t="str">
        <f t="shared" si="82"/>
        <v>.0</v>
      </c>
      <c r="G1741" s="37" t="str">
        <f t="shared" si="83"/>
        <v/>
      </c>
    </row>
    <row r="1742" spans="5:7" x14ac:dyDescent="0.45">
      <c r="E1742" s="32" t="str">
        <f t="shared" si="81"/>
        <v>.0</v>
      </c>
      <c r="F1742" s="32" t="str">
        <f t="shared" si="82"/>
        <v>.0</v>
      </c>
      <c r="G1742" s="37" t="str">
        <f t="shared" si="83"/>
        <v/>
      </c>
    </row>
    <row r="1743" spans="5:7" x14ac:dyDescent="0.45">
      <c r="E1743" s="32" t="str">
        <f t="shared" si="81"/>
        <v>.0</v>
      </c>
      <c r="F1743" s="32" t="str">
        <f t="shared" si="82"/>
        <v>.0</v>
      </c>
      <c r="G1743" s="37" t="str">
        <f t="shared" si="83"/>
        <v/>
      </c>
    </row>
    <row r="1744" spans="5:7" x14ac:dyDescent="0.45">
      <c r="E1744" s="32" t="str">
        <f t="shared" si="81"/>
        <v>.0</v>
      </c>
      <c r="F1744" s="32" t="str">
        <f t="shared" si="82"/>
        <v>.0</v>
      </c>
      <c r="G1744" s="37" t="str">
        <f t="shared" si="83"/>
        <v/>
      </c>
    </row>
    <row r="1745" spans="5:7" x14ac:dyDescent="0.45">
      <c r="E1745" s="32" t="str">
        <f t="shared" si="81"/>
        <v>.0</v>
      </c>
      <c r="F1745" s="32" t="str">
        <f t="shared" si="82"/>
        <v>.0</v>
      </c>
      <c r="G1745" s="37" t="str">
        <f t="shared" si="83"/>
        <v/>
      </c>
    </row>
    <row r="1746" spans="5:7" x14ac:dyDescent="0.45">
      <c r="E1746" s="32" t="str">
        <f t="shared" si="81"/>
        <v>.0</v>
      </c>
      <c r="F1746" s="32" t="str">
        <f t="shared" si="82"/>
        <v>.0</v>
      </c>
      <c r="G1746" s="37" t="str">
        <f t="shared" si="83"/>
        <v/>
      </c>
    </row>
    <row r="1747" spans="5:7" x14ac:dyDescent="0.45">
      <c r="E1747" s="32" t="str">
        <f t="shared" si="81"/>
        <v>.0</v>
      </c>
      <c r="F1747" s="32" t="str">
        <f t="shared" si="82"/>
        <v>.0</v>
      </c>
      <c r="G1747" s="37" t="str">
        <f t="shared" si="83"/>
        <v/>
      </c>
    </row>
    <row r="1748" spans="5:7" x14ac:dyDescent="0.45">
      <c r="E1748" s="32" t="str">
        <f t="shared" si="81"/>
        <v>.0</v>
      </c>
      <c r="F1748" s="32" t="str">
        <f t="shared" si="82"/>
        <v>.0</v>
      </c>
      <c r="G1748" s="37" t="str">
        <f t="shared" si="83"/>
        <v/>
      </c>
    </row>
    <row r="1749" spans="5:7" x14ac:dyDescent="0.45">
      <c r="E1749" s="32" t="str">
        <f t="shared" si="81"/>
        <v>.0</v>
      </c>
      <c r="F1749" s="32" t="str">
        <f t="shared" si="82"/>
        <v>.0</v>
      </c>
      <c r="G1749" s="37" t="str">
        <f t="shared" si="83"/>
        <v/>
      </c>
    </row>
    <row r="1750" spans="5:7" x14ac:dyDescent="0.45">
      <c r="E1750" s="32" t="str">
        <f t="shared" si="81"/>
        <v>.0</v>
      </c>
      <c r="F1750" s="32" t="str">
        <f t="shared" si="82"/>
        <v>.0</v>
      </c>
      <c r="G1750" s="37" t="str">
        <f t="shared" si="83"/>
        <v/>
      </c>
    </row>
    <row r="1751" spans="5:7" x14ac:dyDescent="0.45">
      <c r="E1751" s="32" t="str">
        <f t="shared" si="81"/>
        <v>.0</v>
      </c>
      <c r="F1751" s="32" t="str">
        <f t="shared" si="82"/>
        <v>.0</v>
      </c>
      <c r="G1751" s="37" t="str">
        <f t="shared" si="83"/>
        <v/>
      </c>
    </row>
    <row r="1752" spans="5:7" x14ac:dyDescent="0.45">
      <c r="E1752" s="32" t="str">
        <f t="shared" si="81"/>
        <v>.0</v>
      </c>
      <c r="F1752" s="32" t="str">
        <f t="shared" si="82"/>
        <v>.0</v>
      </c>
      <c r="G1752" s="37" t="str">
        <f t="shared" si="83"/>
        <v/>
      </c>
    </row>
    <row r="1753" spans="5:7" x14ac:dyDescent="0.45">
      <c r="E1753" s="32" t="str">
        <f t="shared" si="81"/>
        <v>.0</v>
      </c>
      <c r="F1753" s="32" t="str">
        <f t="shared" si="82"/>
        <v>.0</v>
      </c>
      <c r="G1753" s="37" t="str">
        <f t="shared" si="83"/>
        <v/>
      </c>
    </row>
    <row r="1754" spans="5:7" x14ac:dyDescent="0.45">
      <c r="E1754" s="32" t="str">
        <f t="shared" si="81"/>
        <v>.0</v>
      </c>
      <c r="F1754" s="32" t="str">
        <f t="shared" si="82"/>
        <v>.0</v>
      </c>
      <c r="G1754" s="37" t="str">
        <f t="shared" si="83"/>
        <v/>
      </c>
    </row>
    <row r="1755" spans="5:7" x14ac:dyDescent="0.45">
      <c r="E1755" s="32" t="str">
        <f t="shared" si="81"/>
        <v>.0</v>
      </c>
      <c r="F1755" s="32" t="str">
        <f t="shared" si="82"/>
        <v>.0</v>
      </c>
      <c r="G1755" s="37" t="str">
        <f t="shared" si="83"/>
        <v/>
      </c>
    </row>
    <row r="1756" spans="5:7" x14ac:dyDescent="0.45">
      <c r="E1756" s="32" t="str">
        <f t="shared" si="81"/>
        <v>.0</v>
      </c>
      <c r="F1756" s="32" t="str">
        <f t="shared" si="82"/>
        <v>.0</v>
      </c>
      <c r="G1756" s="37" t="str">
        <f t="shared" si="83"/>
        <v/>
      </c>
    </row>
    <row r="1757" spans="5:7" x14ac:dyDescent="0.45">
      <c r="E1757" s="32" t="str">
        <f t="shared" si="81"/>
        <v>.0</v>
      </c>
      <c r="F1757" s="32" t="str">
        <f t="shared" si="82"/>
        <v>.0</v>
      </c>
      <c r="G1757" s="37" t="str">
        <f t="shared" si="83"/>
        <v/>
      </c>
    </row>
    <row r="1758" spans="5:7" x14ac:dyDescent="0.45">
      <c r="E1758" s="32" t="str">
        <f t="shared" ref="E1758:E1821" si="84">MID(B1758,3,2)&amp;"."&amp;IF(C1758&lt;10,"0"&amp;C1758,C1758)</f>
        <v>.0</v>
      </c>
      <c r="F1758" s="32" t="str">
        <f t="shared" ref="F1758:F1821" si="85">MID(B1758,3,2)&amp;"."&amp;IF(C1758&lt;10,"0"&amp;C1758,C1758)</f>
        <v>.0</v>
      </c>
      <c r="G1758" s="37" t="str">
        <f t="shared" ref="G1758:G1821" si="86">TEXT(D1758,"#,###,")</f>
        <v/>
      </c>
    </row>
    <row r="1759" spans="5:7" x14ac:dyDescent="0.45">
      <c r="E1759" s="32" t="str">
        <f t="shared" si="84"/>
        <v>.0</v>
      </c>
      <c r="F1759" s="32" t="str">
        <f t="shared" si="85"/>
        <v>.0</v>
      </c>
      <c r="G1759" s="37" t="str">
        <f t="shared" si="86"/>
        <v/>
      </c>
    </row>
    <row r="1760" spans="5:7" x14ac:dyDescent="0.45">
      <c r="E1760" s="32" t="str">
        <f t="shared" si="84"/>
        <v>.0</v>
      </c>
      <c r="F1760" s="32" t="str">
        <f t="shared" si="85"/>
        <v>.0</v>
      </c>
      <c r="G1760" s="37" t="str">
        <f t="shared" si="86"/>
        <v/>
      </c>
    </row>
    <row r="1761" spans="5:7" x14ac:dyDescent="0.45">
      <c r="E1761" s="32" t="str">
        <f t="shared" si="84"/>
        <v>.0</v>
      </c>
      <c r="F1761" s="32" t="str">
        <f t="shared" si="85"/>
        <v>.0</v>
      </c>
      <c r="G1761" s="37" t="str">
        <f t="shared" si="86"/>
        <v/>
      </c>
    </row>
    <row r="1762" spans="5:7" x14ac:dyDescent="0.45">
      <c r="E1762" s="32" t="str">
        <f t="shared" si="84"/>
        <v>.0</v>
      </c>
      <c r="F1762" s="32" t="str">
        <f t="shared" si="85"/>
        <v>.0</v>
      </c>
      <c r="G1762" s="37" t="str">
        <f t="shared" si="86"/>
        <v/>
      </c>
    </row>
    <row r="1763" spans="5:7" x14ac:dyDescent="0.45">
      <c r="E1763" s="32" t="str">
        <f t="shared" si="84"/>
        <v>.0</v>
      </c>
      <c r="F1763" s="32" t="str">
        <f t="shared" si="85"/>
        <v>.0</v>
      </c>
      <c r="G1763" s="37" t="str">
        <f t="shared" si="86"/>
        <v/>
      </c>
    </row>
    <row r="1764" spans="5:7" x14ac:dyDescent="0.45">
      <c r="E1764" s="32" t="str">
        <f t="shared" si="84"/>
        <v>.0</v>
      </c>
      <c r="F1764" s="32" t="str">
        <f t="shared" si="85"/>
        <v>.0</v>
      </c>
      <c r="G1764" s="37" t="str">
        <f t="shared" si="86"/>
        <v/>
      </c>
    </row>
    <row r="1765" spans="5:7" x14ac:dyDescent="0.45">
      <c r="E1765" s="32" t="str">
        <f t="shared" si="84"/>
        <v>.0</v>
      </c>
      <c r="F1765" s="32" t="str">
        <f t="shared" si="85"/>
        <v>.0</v>
      </c>
      <c r="G1765" s="37" t="str">
        <f t="shared" si="86"/>
        <v/>
      </c>
    </row>
    <row r="1766" spans="5:7" x14ac:dyDescent="0.45">
      <c r="E1766" s="32" t="str">
        <f t="shared" si="84"/>
        <v>.0</v>
      </c>
      <c r="F1766" s="32" t="str">
        <f t="shared" si="85"/>
        <v>.0</v>
      </c>
      <c r="G1766" s="37" t="str">
        <f t="shared" si="86"/>
        <v/>
      </c>
    </row>
    <row r="1767" spans="5:7" x14ac:dyDescent="0.45">
      <c r="E1767" s="32" t="str">
        <f t="shared" si="84"/>
        <v>.0</v>
      </c>
      <c r="F1767" s="32" t="str">
        <f t="shared" si="85"/>
        <v>.0</v>
      </c>
      <c r="G1767" s="37" t="str">
        <f t="shared" si="86"/>
        <v/>
      </c>
    </row>
    <row r="1768" spans="5:7" x14ac:dyDescent="0.45">
      <c r="E1768" s="32" t="str">
        <f t="shared" si="84"/>
        <v>.0</v>
      </c>
      <c r="F1768" s="32" t="str">
        <f t="shared" si="85"/>
        <v>.0</v>
      </c>
      <c r="G1768" s="37" t="str">
        <f t="shared" si="86"/>
        <v/>
      </c>
    </row>
    <row r="1769" spans="5:7" x14ac:dyDescent="0.45">
      <c r="E1769" s="32" t="str">
        <f t="shared" si="84"/>
        <v>.0</v>
      </c>
      <c r="F1769" s="32" t="str">
        <f t="shared" si="85"/>
        <v>.0</v>
      </c>
      <c r="G1769" s="37" t="str">
        <f t="shared" si="86"/>
        <v/>
      </c>
    </row>
    <row r="1770" spans="5:7" x14ac:dyDescent="0.45">
      <c r="E1770" s="32" t="str">
        <f t="shared" si="84"/>
        <v>.0</v>
      </c>
      <c r="F1770" s="32" t="str">
        <f t="shared" si="85"/>
        <v>.0</v>
      </c>
      <c r="G1770" s="37" t="str">
        <f t="shared" si="86"/>
        <v/>
      </c>
    </row>
    <row r="1771" spans="5:7" x14ac:dyDescent="0.45">
      <c r="E1771" s="32" t="str">
        <f t="shared" si="84"/>
        <v>.0</v>
      </c>
      <c r="F1771" s="32" t="str">
        <f t="shared" si="85"/>
        <v>.0</v>
      </c>
      <c r="G1771" s="37" t="str">
        <f t="shared" si="86"/>
        <v/>
      </c>
    </row>
    <row r="1772" spans="5:7" x14ac:dyDescent="0.45">
      <c r="E1772" s="32" t="str">
        <f t="shared" si="84"/>
        <v>.0</v>
      </c>
      <c r="F1772" s="32" t="str">
        <f t="shared" si="85"/>
        <v>.0</v>
      </c>
      <c r="G1772" s="37" t="str">
        <f t="shared" si="86"/>
        <v/>
      </c>
    </row>
    <row r="1773" spans="5:7" x14ac:dyDescent="0.45">
      <c r="E1773" s="32" t="str">
        <f t="shared" si="84"/>
        <v>.0</v>
      </c>
      <c r="F1773" s="32" t="str">
        <f t="shared" si="85"/>
        <v>.0</v>
      </c>
      <c r="G1773" s="37" t="str">
        <f t="shared" si="86"/>
        <v/>
      </c>
    </row>
    <row r="1774" spans="5:7" x14ac:dyDescent="0.45">
      <c r="E1774" s="32" t="str">
        <f t="shared" si="84"/>
        <v>.0</v>
      </c>
      <c r="F1774" s="32" t="str">
        <f t="shared" si="85"/>
        <v>.0</v>
      </c>
      <c r="G1774" s="37" t="str">
        <f t="shared" si="86"/>
        <v/>
      </c>
    </row>
    <row r="1775" spans="5:7" x14ac:dyDescent="0.45">
      <c r="E1775" s="32" t="str">
        <f t="shared" si="84"/>
        <v>.0</v>
      </c>
      <c r="F1775" s="32" t="str">
        <f t="shared" si="85"/>
        <v>.0</v>
      </c>
      <c r="G1775" s="37" t="str">
        <f t="shared" si="86"/>
        <v/>
      </c>
    </row>
    <row r="1776" spans="5:7" x14ac:dyDescent="0.45">
      <c r="E1776" s="32" t="str">
        <f t="shared" si="84"/>
        <v>.0</v>
      </c>
      <c r="F1776" s="32" t="str">
        <f t="shared" si="85"/>
        <v>.0</v>
      </c>
      <c r="G1776" s="37" t="str">
        <f t="shared" si="86"/>
        <v/>
      </c>
    </row>
    <row r="1777" spans="5:7" x14ac:dyDescent="0.45">
      <c r="E1777" s="32" t="str">
        <f t="shared" si="84"/>
        <v>.0</v>
      </c>
      <c r="F1777" s="32" t="str">
        <f t="shared" si="85"/>
        <v>.0</v>
      </c>
      <c r="G1777" s="37" t="str">
        <f t="shared" si="86"/>
        <v/>
      </c>
    </row>
    <row r="1778" spans="5:7" x14ac:dyDescent="0.45">
      <c r="E1778" s="32" t="str">
        <f t="shared" si="84"/>
        <v>.0</v>
      </c>
      <c r="F1778" s="32" t="str">
        <f t="shared" si="85"/>
        <v>.0</v>
      </c>
      <c r="G1778" s="37" t="str">
        <f t="shared" si="86"/>
        <v/>
      </c>
    </row>
    <row r="1779" spans="5:7" x14ac:dyDescent="0.45">
      <c r="E1779" s="32" t="str">
        <f t="shared" si="84"/>
        <v>.0</v>
      </c>
      <c r="F1779" s="32" t="str">
        <f t="shared" si="85"/>
        <v>.0</v>
      </c>
      <c r="G1779" s="37" t="str">
        <f t="shared" si="86"/>
        <v/>
      </c>
    </row>
    <row r="1780" spans="5:7" x14ac:dyDescent="0.45">
      <c r="E1780" s="32" t="str">
        <f t="shared" si="84"/>
        <v>.0</v>
      </c>
      <c r="F1780" s="32" t="str">
        <f t="shared" si="85"/>
        <v>.0</v>
      </c>
      <c r="G1780" s="37" t="str">
        <f t="shared" si="86"/>
        <v/>
      </c>
    </row>
    <row r="1781" spans="5:7" x14ac:dyDescent="0.45">
      <c r="E1781" s="32" t="str">
        <f t="shared" si="84"/>
        <v>.0</v>
      </c>
      <c r="F1781" s="32" t="str">
        <f t="shared" si="85"/>
        <v>.0</v>
      </c>
      <c r="G1781" s="37" t="str">
        <f t="shared" si="86"/>
        <v/>
      </c>
    </row>
    <row r="1782" spans="5:7" x14ac:dyDescent="0.45">
      <c r="E1782" s="32" t="str">
        <f t="shared" si="84"/>
        <v>.0</v>
      </c>
      <c r="F1782" s="32" t="str">
        <f t="shared" si="85"/>
        <v>.0</v>
      </c>
      <c r="G1782" s="37" t="str">
        <f t="shared" si="86"/>
        <v/>
      </c>
    </row>
    <row r="1783" spans="5:7" x14ac:dyDescent="0.45">
      <c r="E1783" s="32" t="str">
        <f t="shared" si="84"/>
        <v>.0</v>
      </c>
      <c r="F1783" s="32" t="str">
        <f t="shared" si="85"/>
        <v>.0</v>
      </c>
      <c r="G1783" s="37" t="str">
        <f t="shared" si="86"/>
        <v/>
      </c>
    </row>
    <row r="1784" spans="5:7" x14ac:dyDescent="0.45">
      <c r="E1784" s="32" t="str">
        <f t="shared" si="84"/>
        <v>.0</v>
      </c>
      <c r="F1784" s="32" t="str">
        <f t="shared" si="85"/>
        <v>.0</v>
      </c>
      <c r="G1784" s="37" t="str">
        <f t="shared" si="86"/>
        <v/>
      </c>
    </row>
    <row r="1785" spans="5:7" x14ac:dyDescent="0.45">
      <c r="E1785" s="32" t="str">
        <f t="shared" si="84"/>
        <v>.0</v>
      </c>
      <c r="F1785" s="32" t="str">
        <f t="shared" si="85"/>
        <v>.0</v>
      </c>
      <c r="G1785" s="37" t="str">
        <f t="shared" si="86"/>
        <v/>
      </c>
    </row>
    <row r="1786" spans="5:7" x14ac:dyDescent="0.45">
      <c r="E1786" s="32" t="str">
        <f t="shared" si="84"/>
        <v>.0</v>
      </c>
      <c r="F1786" s="32" t="str">
        <f t="shared" si="85"/>
        <v>.0</v>
      </c>
      <c r="G1786" s="37" t="str">
        <f t="shared" si="86"/>
        <v/>
      </c>
    </row>
    <row r="1787" spans="5:7" x14ac:dyDescent="0.45">
      <c r="E1787" s="32" t="str">
        <f t="shared" si="84"/>
        <v>.0</v>
      </c>
      <c r="F1787" s="32" t="str">
        <f t="shared" si="85"/>
        <v>.0</v>
      </c>
      <c r="G1787" s="37" t="str">
        <f t="shared" si="86"/>
        <v/>
      </c>
    </row>
    <row r="1788" spans="5:7" x14ac:dyDescent="0.45">
      <c r="E1788" s="32" t="str">
        <f t="shared" si="84"/>
        <v>.0</v>
      </c>
      <c r="F1788" s="32" t="str">
        <f t="shared" si="85"/>
        <v>.0</v>
      </c>
      <c r="G1788" s="37" t="str">
        <f t="shared" si="86"/>
        <v/>
      </c>
    </row>
    <row r="1789" spans="5:7" x14ac:dyDescent="0.45">
      <c r="E1789" s="32" t="str">
        <f t="shared" si="84"/>
        <v>.0</v>
      </c>
      <c r="F1789" s="32" t="str">
        <f t="shared" si="85"/>
        <v>.0</v>
      </c>
      <c r="G1789" s="37" t="str">
        <f t="shared" si="86"/>
        <v/>
      </c>
    </row>
    <row r="1790" spans="5:7" x14ac:dyDescent="0.45">
      <c r="E1790" s="32" t="str">
        <f t="shared" si="84"/>
        <v>.0</v>
      </c>
      <c r="F1790" s="32" t="str">
        <f t="shared" si="85"/>
        <v>.0</v>
      </c>
      <c r="G1790" s="37" t="str">
        <f t="shared" si="86"/>
        <v/>
      </c>
    </row>
    <row r="1791" spans="5:7" x14ac:dyDescent="0.45">
      <c r="E1791" s="32" t="str">
        <f t="shared" si="84"/>
        <v>.0</v>
      </c>
      <c r="F1791" s="32" t="str">
        <f t="shared" si="85"/>
        <v>.0</v>
      </c>
      <c r="G1791" s="37" t="str">
        <f t="shared" si="86"/>
        <v/>
      </c>
    </row>
    <row r="1792" spans="5:7" x14ac:dyDescent="0.45">
      <c r="E1792" s="32" t="str">
        <f t="shared" si="84"/>
        <v>.0</v>
      </c>
      <c r="F1792" s="32" t="str">
        <f t="shared" si="85"/>
        <v>.0</v>
      </c>
      <c r="G1792" s="37" t="str">
        <f t="shared" si="86"/>
        <v/>
      </c>
    </row>
    <row r="1793" spans="5:7" x14ac:dyDescent="0.45">
      <c r="E1793" s="32" t="str">
        <f t="shared" si="84"/>
        <v>.0</v>
      </c>
      <c r="F1793" s="32" t="str">
        <f t="shared" si="85"/>
        <v>.0</v>
      </c>
      <c r="G1793" s="37" t="str">
        <f t="shared" si="86"/>
        <v/>
      </c>
    </row>
    <row r="1794" spans="5:7" x14ac:dyDescent="0.45">
      <c r="E1794" s="32" t="str">
        <f t="shared" si="84"/>
        <v>.0</v>
      </c>
      <c r="F1794" s="32" t="str">
        <f t="shared" si="85"/>
        <v>.0</v>
      </c>
      <c r="G1794" s="37" t="str">
        <f t="shared" si="86"/>
        <v/>
      </c>
    </row>
    <row r="1795" spans="5:7" x14ac:dyDescent="0.45">
      <c r="E1795" s="32" t="str">
        <f t="shared" si="84"/>
        <v>.0</v>
      </c>
      <c r="F1795" s="32" t="str">
        <f t="shared" si="85"/>
        <v>.0</v>
      </c>
      <c r="G1795" s="37" t="str">
        <f t="shared" si="86"/>
        <v/>
      </c>
    </row>
    <row r="1796" spans="5:7" x14ac:dyDescent="0.45">
      <c r="E1796" s="32" t="str">
        <f t="shared" si="84"/>
        <v>.0</v>
      </c>
      <c r="F1796" s="32" t="str">
        <f t="shared" si="85"/>
        <v>.0</v>
      </c>
      <c r="G1796" s="37" t="str">
        <f t="shared" si="86"/>
        <v/>
      </c>
    </row>
    <row r="1797" spans="5:7" x14ac:dyDescent="0.45">
      <c r="E1797" s="32" t="str">
        <f t="shared" si="84"/>
        <v>.0</v>
      </c>
      <c r="F1797" s="32" t="str">
        <f t="shared" si="85"/>
        <v>.0</v>
      </c>
      <c r="G1797" s="37" t="str">
        <f t="shared" si="86"/>
        <v/>
      </c>
    </row>
    <row r="1798" spans="5:7" x14ac:dyDescent="0.45">
      <c r="E1798" s="32" t="str">
        <f t="shared" si="84"/>
        <v>.0</v>
      </c>
      <c r="F1798" s="32" t="str">
        <f t="shared" si="85"/>
        <v>.0</v>
      </c>
      <c r="G1798" s="37" t="str">
        <f t="shared" si="86"/>
        <v/>
      </c>
    </row>
    <row r="1799" spans="5:7" x14ac:dyDescent="0.45">
      <c r="E1799" s="32" t="str">
        <f t="shared" si="84"/>
        <v>.0</v>
      </c>
      <c r="F1799" s="32" t="str">
        <f t="shared" si="85"/>
        <v>.0</v>
      </c>
      <c r="G1799" s="37" t="str">
        <f t="shared" si="86"/>
        <v/>
      </c>
    </row>
    <row r="1800" spans="5:7" x14ac:dyDescent="0.45">
      <c r="E1800" s="32" t="str">
        <f t="shared" si="84"/>
        <v>.0</v>
      </c>
      <c r="F1800" s="32" t="str">
        <f t="shared" si="85"/>
        <v>.0</v>
      </c>
      <c r="G1800" s="37" t="str">
        <f t="shared" si="86"/>
        <v/>
      </c>
    </row>
    <row r="1801" spans="5:7" x14ac:dyDescent="0.45">
      <c r="E1801" s="32" t="str">
        <f t="shared" si="84"/>
        <v>.0</v>
      </c>
      <c r="F1801" s="32" t="str">
        <f t="shared" si="85"/>
        <v>.0</v>
      </c>
      <c r="G1801" s="37" t="str">
        <f t="shared" si="86"/>
        <v/>
      </c>
    </row>
    <row r="1802" spans="5:7" x14ac:dyDescent="0.45">
      <c r="E1802" s="32" t="str">
        <f t="shared" si="84"/>
        <v>.0</v>
      </c>
      <c r="F1802" s="32" t="str">
        <f t="shared" si="85"/>
        <v>.0</v>
      </c>
      <c r="G1802" s="37" t="str">
        <f t="shared" si="86"/>
        <v/>
      </c>
    </row>
    <row r="1803" spans="5:7" x14ac:dyDescent="0.45">
      <c r="E1803" s="32" t="str">
        <f t="shared" si="84"/>
        <v>.0</v>
      </c>
      <c r="F1803" s="32" t="str">
        <f t="shared" si="85"/>
        <v>.0</v>
      </c>
      <c r="G1803" s="37" t="str">
        <f t="shared" si="86"/>
        <v/>
      </c>
    </row>
    <row r="1804" spans="5:7" x14ac:dyDescent="0.45">
      <c r="E1804" s="32" t="str">
        <f t="shared" si="84"/>
        <v>.0</v>
      </c>
      <c r="F1804" s="32" t="str">
        <f t="shared" si="85"/>
        <v>.0</v>
      </c>
      <c r="G1804" s="37" t="str">
        <f t="shared" si="86"/>
        <v/>
      </c>
    </row>
    <row r="1805" spans="5:7" x14ac:dyDescent="0.45">
      <c r="E1805" s="32" t="str">
        <f t="shared" si="84"/>
        <v>.0</v>
      </c>
      <c r="F1805" s="32" t="str">
        <f t="shared" si="85"/>
        <v>.0</v>
      </c>
      <c r="G1805" s="37" t="str">
        <f t="shared" si="86"/>
        <v/>
      </c>
    </row>
    <row r="1806" spans="5:7" x14ac:dyDescent="0.45">
      <c r="E1806" s="32" t="str">
        <f t="shared" si="84"/>
        <v>.0</v>
      </c>
      <c r="F1806" s="32" t="str">
        <f t="shared" si="85"/>
        <v>.0</v>
      </c>
      <c r="G1806" s="37" t="str">
        <f t="shared" si="86"/>
        <v/>
      </c>
    </row>
    <row r="1807" spans="5:7" x14ac:dyDescent="0.45">
      <c r="E1807" s="32" t="str">
        <f t="shared" si="84"/>
        <v>.0</v>
      </c>
      <c r="F1807" s="32" t="str">
        <f t="shared" si="85"/>
        <v>.0</v>
      </c>
      <c r="G1807" s="37" t="str">
        <f t="shared" si="86"/>
        <v/>
      </c>
    </row>
    <row r="1808" spans="5:7" x14ac:dyDescent="0.45">
      <c r="E1808" s="32" t="str">
        <f t="shared" si="84"/>
        <v>.0</v>
      </c>
      <c r="F1808" s="32" t="str">
        <f t="shared" si="85"/>
        <v>.0</v>
      </c>
      <c r="G1808" s="37" t="str">
        <f t="shared" si="86"/>
        <v/>
      </c>
    </row>
    <row r="1809" spans="5:7" x14ac:dyDescent="0.45">
      <c r="E1809" s="32" t="str">
        <f t="shared" si="84"/>
        <v>.0</v>
      </c>
      <c r="F1809" s="32" t="str">
        <f t="shared" si="85"/>
        <v>.0</v>
      </c>
      <c r="G1809" s="37" t="str">
        <f t="shared" si="86"/>
        <v/>
      </c>
    </row>
    <row r="1810" spans="5:7" x14ac:dyDescent="0.45">
      <c r="E1810" s="32" t="str">
        <f t="shared" si="84"/>
        <v>.0</v>
      </c>
      <c r="F1810" s="32" t="str">
        <f t="shared" si="85"/>
        <v>.0</v>
      </c>
      <c r="G1810" s="37" t="str">
        <f t="shared" si="86"/>
        <v/>
      </c>
    </row>
    <row r="1811" spans="5:7" x14ac:dyDescent="0.45">
      <c r="E1811" s="32" t="str">
        <f t="shared" si="84"/>
        <v>.0</v>
      </c>
      <c r="F1811" s="32" t="str">
        <f t="shared" si="85"/>
        <v>.0</v>
      </c>
      <c r="G1811" s="37" t="str">
        <f t="shared" si="86"/>
        <v/>
      </c>
    </row>
    <row r="1812" spans="5:7" x14ac:dyDescent="0.45">
      <c r="E1812" s="32" t="str">
        <f t="shared" si="84"/>
        <v>.0</v>
      </c>
      <c r="F1812" s="32" t="str">
        <f t="shared" si="85"/>
        <v>.0</v>
      </c>
      <c r="G1812" s="37" t="str">
        <f t="shared" si="86"/>
        <v/>
      </c>
    </row>
    <row r="1813" spans="5:7" x14ac:dyDescent="0.45">
      <c r="E1813" s="32" t="str">
        <f t="shared" si="84"/>
        <v>.0</v>
      </c>
      <c r="F1813" s="32" t="str">
        <f t="shared" si="85"/>
        <v>.0</v>
      </c>
      <c r="G1813" s="37" t="str">
        <f t="shared" si="86"/>
        <v/>
      </c>
    </row>
    <row r="1814" spans="5:7" x14ac:dyDescent="0.45">
      <c r="E1814" s="32" t="str">
        <f t="shared" si="84"/>
        <v>.0</v>
      </c>
      <c r="F1814" s="32" t="str">
        <f t="shared" si="85"/>
        <v>.0</v>
      </c>
      <c r="G1814" s="37" t="str">
        <f t="shared" si="86"/>
        <v/>
      </c>
    </row>
    <row r="1815" spans="5:7" x14ac:dyDescent="0.45">
      <c r="E1815" s="32" t="str">
        <f t="shared" si="84"/>
        <v>.0</v>
      </c>
      <c r="F1815" s="32" t="str">
        <f t="shared" si="85"/>
        <v>.0</v>
      </c>
      <c r="G1815" s="37" t="str">
        <f t="shared" si="86"/>
        <v/>
      </c>
    </row>
    <row r="1816" spans="5:7" x14ac:dyDescent="0.45">
      <c r="E1816" s="32" t="str">
        <f t="shared" si="84"/>
        <v>.0</v>
      </c>
      <c r="F1816" s="32" t="str">
        <f t="shared" si="85"/>
        <v>.0</v>
      </c>
      <c r="G1816" s="37" t="str">
        <f t="shared" si="86"/>
        <v/>
      </c>
    </row>
    <row r="1817" spans="5:7" x14ac:dyDescent="0.45">
      <c r="E1817" s="32" t="str">
        <f t="shared" si="84"/>
        <v>.0</v>
      </c>
      <c r="F1817" s="32" t="str">
        <f t="shared" si="85"/>
        <v>.0</v>
      </c>
      <c r="G1817" s="37" t="str">
        <f t="shared" si="86"/>
        <v/>
      </c>
    </row>
    <row r="1818" spans="5:7" x14ac:dyDescent="0.45">
      <c r="E1818" s="32" t="str">
        <f t="shared" si="84"/>
        <v>.0</v>
      </c>
      <c r="F1818" s="32" t="str">
        <f t="shared" si="85"/>
        <v>.0</v>
      </c>
      <c r="G1818" s="37" t="str">
        <f t="shared" si="86"/>
        <v/>
      </c>
    </row>
    <row r="1819" spans="5:7" x14ac:dyDescent="0.45">
      <c r="E1819" s="32" t="str">
        <f t="shared" si="84"/>
        <v>.0</v>
      </c>
      <c r="F1819" s="32" t="str">
        <f t="shared" si="85"/>
        <v>.0</v>
      </c>
      <c r="G1819" s="37" t="str">
        <f t="shared" si="86"/>
        <v/>
      </c>
    </row>
    <row r="1820" spans="5:7" x14ac:dyDescent="0.45">
      <c r="E1820" s="32" t="str">
        <f t="shared" si="84"/>
        <v>.0</v>
      </c>
      <c r="F1820" s="32" t="str">
        <f t="shared" si="85"/>
        <v>.0</v>
      </c>
      <c r="G1820" s="37" t="str">
        <f t="shared" si="86"/>
        <v/>
      </c>
    </row>
    <row r="1821" spans="5:7" x14ac:dyDescent="0.45">
      <c r="E1821" s="32" t="str">
        <f t="shared" si="84"/>
        <v>.0</v>
      </c>
      <c r="F1821" s="32" t="str">
        <f t="shared" si="85"/>
        <v>.0</v>
      </c>
      <c r="G1821" s="37" t="str">
        <f t="shared" si="86"/>
        <v/>
      </c>
    </row>
    <row r="1822" spans="5:7" x14ac:dyDescent="0.45">
      <c r="E1822" s="32" t="str">
        <f t="shared" ref="E1822:E1885" si="87">MID(B1822,3,2)&amp;"."&amp;IF(C1822&lt;10,"0"&amp;C1822,C1822)</f>
        <v>.0</v>
      </c>
      <c r="F1822" s="32" t="str">
        <f t="shared" ref="F1822:F1885" si="88">MID(B1822,3,2)&amp;"."&amp;IF(C1822&lt;10,"0"&amp;C1822,C1822)</f>
        <v>.0</v>
      </c>
      <c r="G1822" s="37" t="str">
        <f t="shared" ref="G1822:G1885" si="89">TEXT(D1822,"#,###,")</f>
        <v/>
      </c>
    </row>
    <row r="1823" spans="5:7" x14ac:dyDescent="0.45">
      <c r="E1823" s="32" t="str">
        <f t="shared" si="87"/>
        <v>.0</v>
      </c>
      <c r="F1823" s="32" t="str">
        <f t="shared" si="88"/>
        <v>.0</v>
      </c>
      <c r="G1823" s="37" t="str">
        <f t="shared" si="89"/>
        <v/>
      </c>
    </row>
    <row r="1824" spans="5:7" x14ac:dyDescent="0.45">
      <c r="E1824" s="32" t="str">
        <f t="shared" si="87"/>
        <v>.0</v>
      </c>
      <c r="F1824" s="32" t="str">
        <f t="shared" si="88"/>
        <v>.0</v>
      </c>
      <c r="G1824" s="37" t="str">
        <f t="shared" si="89"/>
        <v/>
      </c>
    </row>
    <row r="1825" spans="5:7" x14ac:dyDescent="0.45">
      <c r="E1825" s="32" t="str">
        <f t="shared" si="87"/>
        <v>.0</v>
      </c>
      <c r="F1825" s="32" t="str">
        <f t="shared" si="88"/>
        <v>.0</v>
      </c>
      <c r="G1825" s="37" t="str">
        <f t="shared" si="89"/>
        <v/>
      </c>
    </row>
    <row r="1826" spans="5:7" x14ac:dyDescent="0.45">
      <c r="E1826" s="32" t="str">
        <f t="shared" si="87"/>
        <v>.0</v>
      </c>
      <c r="F1826" s="32" t="str">
        <f t="shared" si="88"/>
        <v>.0</v>
      </c>
      <c r="G1826" s="37" t="str">
        <f t="shared" si="89"/>
        <v/>
      </c>
    </row>
    <row r="1827" spans="5:7" x14ac:dyDescent="0.45">
      <c r="E1827" s="32" t="str">
        <f t="shared" si="87"/>
        <v>.0</v>
      </c>
      <c r="F1827" s="32" t="str">
        <f t="shared" si="88"/>
        <v>.0</v>
      </c>
      <c r="G1827" s="37" t="str">
        <f t="shared" si="89"/>
        <v/>
      </c>
    </row>
    <row r="1828" spans="5:7" x14ac:dyDescent="0.45">
      <c r="E1828" s="32" t="str">
        <f t="shared" si="87"/>
        <v>.0</v>
      </c>
      <c r="F1828" s="32" t="str">
        <f t="shared" si="88"/>
        <v>.0</v>
      </c>
      <c r="G1828" s="37" t="str">
        <f t="shared" si="89"/>
        <v/>
      </c>
    </row>
    <row r="1829" spans="5:7" x14ac:dyDescent="0.45">
      <c r="E1829" s="32" t="str">
        <f t="shared" si="87"/>
        <v>.0</v>
      </c>
      <c r="F1829" s="32" t="str">
        <f t="shared" si="88"/>
        <v>.0</v>
      </c>
      <c r="G1829" s="37" t="str">
        <f t="shared" si="89"/>
        <v/>
      </c>
    </row>
    <row r="1830" spans="5:7" x14ac:dyDescent="0.45">
      <c r="E1830" s="32" t="str">
        <f t="shared" si="87"/>
        <v>.0</v>
      </c>
      <c r="F1830" s="32" t="str">
        <f t="shared" si="88"/>
        <v>.0</v>
      </c>
      <c r="G1830" s="37" t="str">
        <f t="shared" si="89"/>
        <v/>
      </c>
    </row>
    <row r="1831" spans="5:7" x14ac:dyDescent="0.45">
      <c r="E1831" s="32" t="str">
        <f t="shared" si="87"/>
        <v>.0</v>
      </c>
      <c r="F1831" s="32" t="str">
        <f t="shared" si="88"/>
        <v>.0</v>
      </c>
      <c r="G1831" s="37" t="str">
        <f t="shared" si="89"/>
        <v/>
      </c>
    </row>
    <row r="1832" spans="5:7" x14ac:dyDescent="0.45">
      <c r="E1832" s="32" t="str">
        <f t="shared" si="87"/>
        <v>.0</v>
      </c>
      <c r="F1832" s="32" t="str">
        <f t="shared" si="88"/>
        <v>.0</v>
      </c>
      <c r="G1832" s="37" t="str">
        <f t="shared" si="89"/>
        <v/>
      </c>
    </row>
    <row r="1833" spans="5:7" x14ac:dyDescent="0.45">
      <c r="E1833" s="32" t="str">
        <f t="shared" si="87"/>
        <v>.0</v>
      </c>
      <c r="F1833" s="32" t="str">
        <f t="shared" si="88"/>
        <v>.0</v>
      </c>
      <c r="G1833" s="37" t="str">
        <f t="shared" si="89"/>
        <v/>
      </c>
    </row>
    <row r="1834" spans="5:7" x14ac:dyDescent="0.45">
      <c r="E1834" s="32" t="str">
        <f t="shared" si="87"/>
        <v>.0</v>
      </c>
      <c r="F1834" s="32" t="str">
        <f t="shared" si="88"/>
        <v>.0</v>
      </c>
      <c r="G1834" s="37" t="str">
        <f t="shared" si="89"/>
        <v/>
      </c>
    </row>
    <row r="1835" spans="5:7" x14ac:dyDescent="0.45">
      <c r="E1835" s="32" t="str">
        <f t="shared" si="87"/>
        <v>.0</v>
      </c>
      <c r="F1835" s="32" t="str">
        <f t="shared" si="88"/>
        <v>.0</v>
      </c>
      <c r="G1835" s="37" t="str">
        <f t="shared" si="89"/>
        <v/>
      </c>
    </row>
    <row r="1836" spans="5:7" x14ac:dyDescent="0.45">
      <c r="E1836" s="32" t="str">
        <f t="shared" si="87"/>
        <v>.0</v>
      </c>
      <c r="F1836" s="32" t="str">
        <f t="shared" si="88"/>
        <v>.0</v>
      </c>
      <c r="G1836" s="37" t="str">
        <f t="shared" si="89"/>
        <v/>
      </c>
    </row>
    <row r="1837" spans="5:7" x14ac:dyDescent="0.45">
      <c r="E1837" s="32" t="str">
        <f t="shared" si="87"/>
        <v>.0</v>
      </c>
      <c r="F1837" s="32" t="str">
        <f t="shared" si="88"/>
        <v>.0</v>
      </c>
      <c r="G1837" s="37" t="str">
        <f t="shared" si="89"/>
        <v/>
      </c>
    </row>
    <row r="1838" spans="5:7" x14ac:dyDescent="0.45">
      <c r="E1838" s="32" t="str">
        <f t="shared" si="87"/>
        <v>.0</v>
      </c>
      <c r="F1838" s="32" t="str">
        <f t="shared" si="88"/>
        <v>.0</v>
      </c>
      <c r="G1838" s="37" t="str">
        <f t="shared" si="89"/>
        <v/>
      </c>
    </row>
    <row r="1839" spans="5:7" x14ac:dyDescent="0.45">
      <c r="E1839" s="32" t="str">
        <f t="shared" si="87"/>
        <v>.0</v>
      </c>
      <c r="F1839" s="32" t="str">
        <f t="shared" si="88"/>
        <v>.0</v>
      </c>
      <c r="G1839" s="37" t="str">
        <f t="shared" si="89"/>
        <v/>
      </c>
    </row>
    <row r="1840" spans="5:7" x14ac:dyDescent="0.45">
      <c r="E1840" s="32" t="str">
        <f t="shared" si="87"/>
        <v>.0</v>
      </c>
      <c r="F1840" s="32" t="str">
        <f t="shared" si="88"/>
        <v>.0</v>
      </c>
      <c r="G1840" s="37" t="str">
        <f t="shared" si="89"/>
        <v/>
      </c>
    </row>
    <row r="1841" spans="5:7" x14ac:dyDescent="0.45">
      <c r="E1841" s="32" t="str">
        <f t="shared" si="87"/>
        <v>.0</v>
      </c>
      <c r="F1841" s="32" t="str">
        <f t="shared" si="88"/>
        <v>.0</v>
      </c>
      <c r="G1841" s="37" t="str">
        <f t="shared" si="89"/>
        <v/>
      </c>
    </row>
    <row r="1842" spans="5:7" x14ac:dyDescent="0.45">
      <c r="E1842" s="32" t="str">
        <f t="shared" si="87"/>
        <v>.0</v>
      </c>
      <c r="F1842" s="32" t="str">
        <f t="shared" si="88"/>
        <v>.0</v>
      </c>
      <c r="G1842" s="37" t="str">
        <f t="shared" si="89"/>
        <v/>
      </c>
    </row>
    <row r="1843" spans="5:7" x14ac:dyDescent="0.45">
      <c r="E1843" s="32" t="str">
        <f t="shared" si="87"/>
        <v>.0</v>
      </c>
      <c r="F1843" s="32" t="str">
        <f t="shared" si="88"/>
        <v>.0</v>
      </c>
      <c r="G1843" s="37" t="str">
        <f t="shared" si="89"/>
        <v/>
      </c>
    </row>
    <row r="1844" spans="5:7" x14ac:dyDescent="0.45">
      <c r="E1844" s="32" t="str">
        <f t="shared" si="87"/>
        <v>.0</v>
      </c>
      <c r="F1844" s="32" t="str">
        <f t="shared" si="88"/>
        <v>.0</v>
      </c>
      <c r="G1844" s="37" t="str">
        <f t="shared" si="89"/>
        <v/>
      </c>
    </row>
    <row r="1845" spans="5:7" x14ac:dyDescent="0.45">
      <c r="E1845" s="32" t="str">
        <f t="shared" si="87"/>
        <v>.0</v>
      </c>
      <c r="F1845" s="32" t="str">
        <f t="shared" si="88"/>
        <v>.0</v>
      </c>
      <c r="G1845" s="37" t="str">
        <f t="shared" si="89"/>
        <v/>
      </c>
    </row>
    <row r="1846" spans="5:7" x14ac:dyDescent="0.45">
      <c r="E1846" s="32" t="str">
        <f t="shared" si="87"/>
        <v>.0</v>
      </c>
      <c r="F1846" s="32" t="str">
        <f t="shared" si="88"/>
        <v>.0</v>
      </c>
      <c r="G1846" s="37" t="str">
        <f t="shared" si="89"/>
        <v/>
      </c>
    </row>
    <row r="1847" spans="5:7" x14ac:dyDescent="0.45">
      <c r="E1847" s="32" t="str">
        <f t="shared" si="87"/>
        <v>.0</v>
      </c>
      <c r="F1847" s="32" t="str">
        <f t="shared" si="88"/>
        <v>.0</v>
      </c>
      <c r="G1847" s="37" t="str">
        <f t="shared" si="89"/>
        <v/>
      </c>
    </row>
    <row r="1848" spans="5:7" x14ac:dyDescent="0.45">
      <c r="E1848" s="32" t="str">
        <f t="shared" si="87"/>
        <v>.0</v>
      </c>
      <c r="F1848" s="32" t="str">
        <f t="shared" si="88"/>
        <v>.0</v>
      </c>
      <c r="G1848" s="37" t="str">
        <f t="shared" si="89"/>
        <v/>
      </c>
    </row>
    <row r="1849" spans="5:7" x14ac:dyDescent="0.45">
      <c r="E1849" s="32" t="str">
        <f t="shared" si="87"/>
        <v>.0</v>
      </c>
      <c r="F1849" s="32" t="str">
        <f t="shared" si="88"/>
        <v>.0</v>
      </c>
      <c r="G1849" s="37" t="str">
        <f t="shared" si="89"/>
        <v/>
      </c>
    </row>
    <row r="1850" spans="5:7" x14ac:dyDescent="0.45">
      <c r="E1850" s="32" t="str">
        <f t="shared" si="87"/>
        <v>.0</v>
      </c>
      <c r="F1850" s="32" t="str">
        <f t="shared" si="88"/>
        <v>.0</v>
      </c>
      <c r="G1850" s="37" t="str">
        <f t="shared" si="89"/>
        <v/>
      </c>
    </row>
    <row r="1851" spans="5:7" x14ac:dyDescent="0.45">
      <c r="E1851" s="32" t="str">
        <f t="shared" si="87"/>
        <v>.0</v>
      </c>
      <c r="F1851" s="32" t="str">
        <f t="shared" si="88"/>
        <v>.0</v>
      </c>
      <c r="G1851" s="37" t="str">
        <f t="shared" si="89"/>
        <v/>
      </c>
    </row>
    <row r="1852" spans="5:7" x14ac:dyDescent="0.45">
      <c r="E1852" s="32" t="str">
        <f t="shared" si="87"/>
        <v>.0</v>
      </c>
      <c r="F1852" s="32" t="str">
        <f t="shared" si="88"/>
        <v>.0</v>
      </c>
      <c r="G1852" s="37" t="str">
        <f t="shared" si="89"/>
        <v/>
      </c>
    </row>
    <row r="1853" spans="5:7" x14ac:dyDescent="0.45">
      <c r="E1853" s="32" t="str">
        <f t="shared" si="87"/>
        <v>.0</v>
      </c>
      <c r="F1853" s="32" t="str">
        <f t="shared" si="88"/>
        <v>.0</v>
      </c>
      <c r="G1853" s="37" t="str">
        <f t="shared" si="89"/>
        <v/>
      </c>
    </row>
    <row r="1854" spans="5:7" x14ac:dyDescent="0.45">
      <c r="E1854" s="32" t="str">
        <f t="shared" si="87"/>
        <v>.0</v>
      </c>
      <c r="F1854" s="32" t="str">
        <f t="shared" si="88"/>
        <v>.0</v>
      </c>
      <c r="G1854" s="37" t="str">
        <f t="shared" si="89"/>
        <v/>
      </c>
    </row>
    <row r="1855" spans="5:7" x14ac:dyDescent="0.45">
      <c r="E1855" s="32" t="str">
        <f t="shared" si="87"/>
        <v>.0</v>
      </c>
      <c r="F1855" s="32" t="str">
        <f t="shared" si="88"/>
        <v>.0</v>
      </c>
      <c r="G1855" s="37" t="str">
        <f t="shared" si="89"/>
        <v/>
      </c>
    </row>
    <row r="1856" spans="5:7" x14ac:dyDescent="0.45">
      <c r="E1856" s="32" t="str">
        <f t="shared" si="87"/>
        <v>.0</v>
      </c>
      <c r="F1856" s="32" t="str">
        <f t="shared" si="88"/>
        <v>.0</v>
      </c>
      <c r="G1856" s="37" t="str">
        <f t="shared" si="89"/>
        <v/>
      </c>
    </row>
    <row r="1857" spans="5:7" x14ac:dyDescent="0.45">
      <c r="E1857" s="32" t="str">
        <f t="shared" si="87"/>
        <v>.0</v>
      </c>
      <c r="F1857" s="32" t="str">
        <f t="shared" si="88"/>
        <v>.0</v>
      </c>
      <c r="G1857" s="37" t="str">
        <f t="shared" si="89"/>
        <v/>
      </c>
    </row>
    <row r="1858" spans="5:7" x14ac:dyDescent="0.45">
      <c r="E1858" s="32" t="str">
        <f t="shared" si="87"/>
        <v>.0</v>
      </c>
      <c r="F1858" s="32" t="str">
        <f t="shared" si="88"/>
        <v>.0</v>
      </c>
      <c r="G1858" s="37" t="str">
        <f t="shared" si="89"/>
        <v/>
      </c>
    </row>
    <row r="1859" spans="5:7" x14ac:dyDescent="0.45">
      <c r="E1859" s="32" t="str">
        <f t="shared" si="87"/>
        <v>.0</v>
      </c>
      <c r="F1859" s="32" t="str">
        <f t="shared" si="88"/>
        <v>.0</v>
      </c>
      <c r="G1859" s="37" t="str">
        <f t="shared" si="89"/>
        <v/>
      </c>
    </row>
    <row r="1860" spans="5:7" x14ac:dyDescent="0.45">
      <c r="E1860" s="32" t="str">
        <f t="shared" si="87"/>
        <v>.0</v>
      </c>
      <c r="F1860" s="32" t="str">
        <f t="shared" si="88"/>
        <v>.0</v>
      </c>
      <c r="G1860" s="37" t="str">
        <f t="shared" si="89"/>
        <v/>
      </c>
    </row>
    <row r="1861" spans="5:7" x14ac:dyDescent="0.45">
      <c r="E1861" s="32" t="str">
        <f t="shared" si="87"/>
        <v>.0</v>
      </c>
      <c r="F1861" s="32" t="str">
        <f t="shared" si="88"/>
        <v>.0</v>
      </c>
      <c r="G1861" s="37" t="str">
        <f t="shared" si="89"/>
        <v/>
      </c>
    </row>
    <row r="1862" spans="5:7" x14ac:dyDescent="0.45">
      <c r="E1862" s="32" t="str">
        <f t="shared" si="87"/>
        <v>.0</v>
      </c>
      <c r="F1862" s="32" t="str">
        <f t="shared" si="88"/>
        <v>.0</v>
      </c>
      <c r="G1862" s="37" t="str">
        <f t="shared" si="89"/>
        <v/>
      </c>
    </row>
    <row r="1863" spans="5:7" x14ac:dyDescent="0.45">
      <c r="E1863" s="32" t="str">
        <f t="shared" si="87"/>
        <v>.0</v>
      </c>
      <c r="F1863" s="32" t="str">
        <f t="shared" si="88"/>
        <v>.0</v>
      </c>
      <c r="G1863" s="37" t="str">
        <f t="shared" si="89"/>
        <v/>
      </c>
    </row>
    <row r="1864" spans="5:7" x14ac:dyDescent="0.45">
      <c r="E1864" s="32" t="str">
        <f t="shared" si="87"/>
        <v>.0</v>
      </c>
      <c r="F1864" s="32" t="str">
        <f t="shared" si="88"/>
        <v>.0</v>
      </c>
      <c r="G1864" s="37" t="str">
        <f t="shared" si="89"/>
        <v/>
      </c>
    </row>
    <row r="1865" spans="5:7" x14ac:dyDescent="0.45">
      <c r="E1865" s="32" t="str">
        <f t="shared" si="87"/>
        <v>.0</v>
      </c>
      <c r="F1865" s="32" t="str">
        <f t="shared" si="88"/>
        <v>.0</v>
      </c>
      <c r="G1865" s="37" t="str">
        <f t="shared" si="89"/>
        <v/>
      </c>
    </row>
    <row r="1866" spans="5:7" x14ac:dyDescent="0.45">
      <c r="E1866" s="32" t="str">
        <f t="shared" si="87"/>
        <v>.0</v>
      </c>
      <c r="F1866" s="32" t="str">
        <f t="shared" si="88"/>
        <v>.0</v>
      </c>
      <c r="G1866" s="37" t="str">
        <f t="shared" si="89"/>
        <v/>
      </c>
    </row>
    <row r="1867" spans="5:7" x14ac:dyDescent="0.45">
      <c r="E1867" s="32" t="str">
        <f t="shared" si="87"/>
        <v>.0</v>
      </c>
      <c r="F1867" s="32" t="str">
        <f t="shared" si="88"/>
        <v>.0</v>
      </c>
      <c r="G1867" s="37" t="str">
        <f t="shared" si="89"/>
        <v/>
      </c>
    </row>
    <row r="1868" spans="5:7" x14ac:dyDescent="0.45">
      <c r="E1868" s="32" t="str">
        <f t="shared" si="87"/>
        <v>.0</v>
      </c>
      <c r="F1868" s="32" t="str">
        <f t="shared" si="88"/>
        <v>.0</v>
      </c>
      <c r="G1868" s="37" t="str">
        <f t="shared" si="89"/>
        <v/>
      </c>
    </row>
    <row r="1869" spans="5:7" x14ac:dyDescent="0.45">
      <c r="E1869" s="32" t="str">
        <f t="shared" si="87"/>
        <v>.0</v>
      </c>
      <c r="F1869" s="32" t="str">
        <f t="shared" si="88"/>
        <v>.0</v>
      </c>
      <c r="G1869" s="37" t="str">
        <f t="shared" si="89"/>
        <v/>
      </c>
    </row>
    <row r="1870" spans="5:7" x14ac:dyDescent="0.45">
      <c r="E1870" s="32" t="str">
        <f t="shared" si="87"/>
        <v>.0</v>
      </c>
      <c r="F1870" s="32" t="str">
        <f t="shared" si="88"/>
        <v>.0</v>
      </c>
      <c r="G1870" s="37" t="str">
        <f t="shared" si="89"/>
        <v/>
      </c>
    </row>
    <row r="1871" spans="5:7" x14ac:dyDescent="0.45">
      <c r="E1871" s="32" t="str">
        <f t="shared" si="87"/>
        <v>.0</v>
      </c>
      <c r="F1871" s="32" t="str">
        <f t="shared" si="88"/>
        <v>.0</v>
      </c>
      <c r="G1871" s="37" t="str">
        <f t="shared" si="89"/>
        <v/>
      </c>
    </row>
    <row r="1872" spans="5:7" x14ac:dyDescent="0.45">
      <c r="E1872" s="32" t="str">
        <f t="shared" si="87"/>
        <v>.0</v>
      </c>
      <c r="F1872" s="32" t="str">
        <f t="shared" si="88"/>
        <v>.0</v>
      </c>
      <c r="G1872" s="37" t="str">
        <f t="shared" si="89"/>
        <v/>
      </c>
    </row>
    <row r="1873" spans="5:7" x14ac:dyDescent="0.45">
      <c r="E1873" s="32" t="str">
        <f t="shared" si="87"/>
        <v>.0</v>
      </c>
      <c r="F1873" s="32" t="str">
        <f t="shared" si="88"/>
        <v>.0</v>
      </c>
      <c r="G1873" s="37" t="str">
        <f t="shared" si="89"/>
        <v/>
      </c>
    </row>
    <row r="1874" spans="5:7" x14ac:dyDescent="0.45">
      <c r="E1874" s="32" t="str">
        <f t="shared" si="87"/>
        <v>.0</v>
      </c>
      <c r="F1874" s="32" t="str">
        <f t="shared" si="88"/>
        <v>.0</v>
      </c>
      <c r="G1874" s="37" t="str">
        <f t="shared" si="89"/>
        <v/>
      </c>
    </row>
    <row r="1875" spans="5:7" x14ac:dyDescent="0.45">
      <c r="E1875" s="32" t="str">
        <f t="shared" si="87"/>
        <v>.0</v>
      </c>
      <c r="F1875" s="32" t="str">
        <f t="shared" si="88"/>
        <v>.0</v>
      </c>
      <c r="G1875" s="37" t="str">
        <f t="shared" si="89"/>
        <v/>
      </c>
    </row>
    <row r="1876" spans="5:7" x14ac:dyDescent="0.45">
      <c r="E1876" s="32" t="str">
        <f t="shared" si="87"/>
        <v>.0</v>
      </c>
      <c r="F1876" s="32" t="str">
        <f t="shared" si="88"/>
        <v>.0</v>
      </c>
      <c r="G1876" s="37" t="str">
        <f t="shared" si="89"/>
        <v/>
      </c>
    </row>
    <row r="1877" spans="5:7" x14ac:dyDescent="0.45">
      <c r="E1877" s="32" t="str">
        <f t="shared" si="87"/>
        <v>.0</v>
      </c>
      <c r="F1877" s="32" t="str">
        <f t="shared" si="88"/>
        <v>.0</v>
      </c>
      <c r="G1877" s="37" t="str">
        <f t="shared" si="89"/>
        <v/>
      </c>
    </row>
    <row r="1878" spans="5:7" x14ac:dyDescent="0.45">
      <c r="E1878" s="32" t="str">
        <f t="shared" si="87"/>
        <v>.0</v>
      </c>
      <c r="F1878" s="32" t="str">
        <f t="shared" si="88"/>
        <v>.0</v>
      </c>
      <c r="G1878" s="37" t="str">
        <f t="shared" si="89"/>
        <v/>
      </c>
    </row>
    <row r="1879" spans="5:7" x14ac:dyDescent="0.45">
      <c r="E1879" s="32" t="str">
        <f t="shared" si="87"/>
        <v>.0</v>
      </c>
      <c r="F1879" s="32" t="str">
        <f t="shared" si="88"/>
        <v>.0</v>
      </c>
      <c r="G1879" s="37" t="str">
        <f t="shared" si="89"/>
        <v/>
      </c>
    </row>
    <row r="1880" spans="5:7" x14ac:dyDescent="0.45">
      <c r="E1880" s="32" t="str">
        <f t="shared" si="87"/>
        <v>.0</v>
      </c>
      <c r="F1880" s="32" t="str">
        <f t="shared" si="88"/>
        <v>.0</v>
      </c>
      <c r="G1880" s="37" t="str">
        <f t="shared" si="89"/>
        <v/>
      </c>
    </row>
    <row r="1881" spans="5:7" x14ac:dyDescent="0.45">
      <c r="E1881" s="32" t="str">
        <f t="shared" si="87"/>
        <v>.0</v>
      </c>
      <c r="F1881" s="32" t="str">
        <f t="shared" si="88"/>
        <v>.0</v>
      </c>
      <c r="G1881" s="37" t="str">
        <f t="shared" si="89"/>
        <v/>
      </c>
    </row>
    <row r="1882" spans="5:7" x14ac:dyDescent="0.45">
      <c r="E1882" s="32" t="str">
        <f t="shared" si="87"/>
        <v>.0</v>
      </c>
      <c r="F1882" s="32" t="str">
        <f t="shared" si="88"/>
        <v>.0</v>
      </c>
      <c r="G1882" s="37" t="str">
        <f t="shared" si="89"/>
        <v/>
      </c>
    </row>
    <row r="1883" spans="5:7" x14ac:dyDescent="0.45">
      <c r="E1883" s="32" t="str">
        <f t="shared" si="87"/>
        <v>.0</v>
      </c>
      <c r="F1883" s="32" t="str">
        <f t="shared" si="88"/>
        <v>.0</v>
      </c>
      <c r="G1883" s="37" t="str">
        <f t="shared" si="89"/>
        <v/>
      </c>
    </row>
    <row r="1884" spans="5:7" x14ac:dyDescent="0.45">
      <c r="E1884" s="32" t="str">
        <f t="shared" si="87"/>
        <v>.0</v>
      </c>
      <c r="F1884" s="32" t="str">
        <f t="shared" si="88"/>
        <v>.0</v>
      </c>
      <c r="G1884" s="37" t="str">
        <f t="shared" si="89"/>
        <v/>
      </c>
    </row>
    <row r="1885" spans="5:7" x14ac:dyDescent="0.45">
      <c r="E1885" s="32" t="str">
        <f t="shared" si="87"/>
        <v>.0</v>
      </c>
      <c r="F1885" s="32" t="str">
        <f t="shared" si="88"/>
        <v>.0</v>
      </c>
      <c r="G1885" s="37" t="str">
        <f t="shared" si="89"/>
        <v/>
      </c>
    </row>
    <row r="1886" spans="5:7" x14ac:dyDescent="0.45">
      <c r="E1886" s="32" t="str">
        <f t="shared" ref="E1886:E1949" si="90">MID(B1886,3,2)&amp;"."&amp;IF(C1886&lt;10,"0"&amp;C1886,C1886)</f>
        <v>.0</v>
      </c>
      <c r="F1886" s="32" t="str">
        <f t="shared" ref="F1886:F1949" si="91">MID(B1886,3,2)&amp;"."&amp;IF(C1886&lt;10,"0"&amp;C1886,C1886)</f>
        <v>.0</v>
      </c>
      <c r="G1886" s="37" t="str">
        <f t="shared" ref="G1886:G1949" si="92">TEXT(D1886,"#,###,")</f>
        <v/>
      </c>
    </row>
    <row r="1887" spans="5:7" x14ac:dyDescent="0.45">
      <c r="E1887" s="32" t="str">
        <f t="shared" si="90"/>
        <v>.0</v>
      </c>
      <c r="F1887" s="32" t="str">
        <f t="shared" si="91"/>
        <v>.0</v>
      </c>
      <c r="G1887" s="37" t="str">
        <f t="shared" si="92"/>
        <v/>
      </c>
    </row>
    <row r="1888" spans="5:7" x14ac:dyDescent="0.45">
      <c r="E1888" s="32" t="str">
        <f t="shared" si="90"/>
        <v>.0</v>
      </c>
      <c r="F1888" s="32" t="str">
        <f t="shared" si="91"/>
        <v>.0</v>
      </c>
      <c r="G1888" s="37" t="str">
        <f t="shared" si="92"/>
        <v/>
      </c>
    </row>
    <row r="1889" spans="5:7" x14ac:dyDescent="0.45">
      <c r="E1889" s="32" t="str">
        <f t="shared" si="90"/>
        <v>.0</v>
      </c>
      <c r="F1889" s="32" t="str">
        <f t="shared" si="91"/>
        <v>.0</v>
      </c>
      <c r="G1889" s="37" t="str">
        <f t="shared" si="92"/>
        <v/>
      </c>
    </row>
    <row r="1890" spans="5:7" x14ac:dyDescent="0.45">
      <c r="E1890" s="32" t="str">
        <f t="shared" si="90"/>
        <v>.0</v>
      </c>
      <c r="F1890" s="32" t="str">
        <f t="shared" si="91"/>
        <v>.0</v>
      </c>
      <c r="G1890" s="37" t="str">
        <f t="shared" si="92"/>
        <v/>
      </c>
    </row>
    <row r="1891" spans="5:7" x14ac:dyDescent="0.45">
      <c r="E1891" s="32" t="str">
        <f t="shared" si="90"/>
        <v>.0</v>
      </c>
      <c r="F1891" s="32" t="str">
        <f t="shared" si="91"/>
        <v>.0</v>
      </c>
      <c r="G1891" s="37" t="str">
        <f t="shared" si="92"/>
        <v/>
      </c>
    </row>
    <row r="1892" spans="5:7" x14ac:dyDescent="0.45">
      <c r="E1892" s="32" t="str">
        <f t="shared" si="90"/>
        <v>.0</v>
      </c>
      <c r="F1892" s="32" t="str">
        <f t="shared" si="91"/>
        <v>.0</v>
      </c>
      <c r="G1892" s="37" t="str">
        <f t="shared" si="92"/>
        <v/>
      </c>
    </row>
    <row r="1893" spans="5:7" x14ac:dyDescent="0.45">
      <c r="E1893" s="32" t="str">
        <f t="shared" si="90"/>
        <v>.0</v>
      </c>
      <c r="F1893" s="32" t="str">
        <f t="shared" si="91"/>
        <v>.0</v>
      </c>
      <c r="G1893" s="37" t="str">
        <f t="shared" si="92"/>
        <v/>
      </c>
    </row>
    <row r="1894" spans="5:7" x14ac:dyDescent="0.45">
      <c r="E1894" s="32" t="str">
        <f t="shared" si="90"/>
        <v>.0</v>
      </c>
      <c r="F1894" s="32" t="str">
        <f t="shared" si="91"/>
        <v>.0</v>
      </c>
      <c r="G1894" s="37" t="str">
        <f t="shared" si="92"/>
        <v/>
      </c>
    </row>
    <row r="1895" spans="5:7" x14ac:dyDescent="0.45">
      <c r="E1895" s="32" t="str">
        <f t="shared" si="90"/>
        <v>.0</v>
      </c>
      <c r="F1895" s="32" t="str">
        <f t="shared" si="91"/>
        <v>.0</v>
      </c>
      <c r="G1895" s="37" t="str">
        <f t="shared" si="92"/>
        <v/>
      </c>
    </row>
    <row r="1896" spans="5:7" x14ac:dyDescent="0.45">
      <c r="E1896" s="32" t="str">
        <f t="shared" si="90"/>
        <v>.0</v>
      </c>
      <c r="F1896" s="32" t="str">
        <f t="shared" si="91"/>
        <v>.0</v>
      </c>
      <c r="G1896" s="37" t="str">
        <f t="shared" si="92"/>
        <v/>
      </c>
    </row>
    <row r="1897" spans="5:7" x14ac:dyDescent="0.45">
      <c r="E1897" s="32" t="str">
        <f t="shared" si="90"/>
        <v>.0</v>
      </c>
      <c r="F1897" s="32" t="str">
        <f t="shared" si="91"/>
        <v>.0</v>
      </c>
      <c r="G1897" s="37" t="str">
        <f t="shared" si="92"/>
        <v/>
      </c>
    </row>
    <row r="1898" spans="5:7" x14ac:dyDescent="0.45">
      <c r="E1898" s="32" t="str">
        <f t="shared" si="90"/>
        <v>.0</v>
      </c>
      <c r="F1898" s="32" t="str">
        <f t="shared" si="91"/>
        <v>.0</v>
      </c>
      <c r="G1898" s="37" t="str">
        <f t="shared" si="92"/>
        <v/>
      </c>
    </row>
    <row r="1899" spans="5:7" x14ac:dyDescent="0.45">
      <c r="E1899" s="32" t="str">
        <f t="shared" si="90"/>
        <v>.0</v>
      </c>
      <c r="F1899" s="32" t="str">
        <f t="shared" si="91"/>
        <v>.0</v>
      </c>
      <c r="G1899" s="37" t="str">
        <f t="shared" si="92"/>
        <v/>
      </c>
    </row>
    <row r="1900" spans="5:7" x14ac:dyDescent="0.45">
      <c r="E1900" s="32" t="str">
        <f t="shared" si="90"/>
        <v>.0</v>
      </c>
      <c r="F1900" s="32" t="str">
        <f t="shared" si="91"/>
        <v>.0</v>
      </c>
      <c r="G1900" s="37" t="str">
        <f t="shared" si="92"/>
        <v/>
      </c>
    </row>
    <row r="1901" spans="5:7" x14ac:dyDescent="0.45">
      <c r="E1901" s="32" t="str">
        <f t="shared" si="90"/>
        <v>.0</v>
      </c>
      <c r="F1901" s="32" t="str">
        <f t="shared" si="91"/>
        <v>.0</v>
      </c>
      <c r="G1901" s="37" t="str">
        <f t="shared" si="92"/>
        <v/>
      </c>
    </row>
    <row r="1902" spans="5:7" x14ac:dyDescent="0.45">
      <c r="E1902" s="32" t="str">
        <f t="shared" si="90"/>
        <v>.0</v>
      </c>
      <c r="F1902" s="32" t="str">
        <f t="shared" si="91"/>
        <v>.0</v>
      </c>
      <c r="G1902" s="37" t="str">
        <f t="shared" si="92"/>
        <v/>
      </c>
    </row>
    <row r="1903" spans="5:7" x14ac:dyDescent="0.45">
      <c r="E1903" s="32" t="str">
        <f t="shared" si="90"/>
        <v>.0</v>
      </c>
      <c r="F1903" s="32" t="str">
        <f t="shared" si="91"/>
        <v>.0</v>
      </c>
      <c r="G1903" s="37" t="str">
        <f t="shared" si="92"/>
        <v/>
      </c>
    </row>
    <row r="1904" spans="5:7" x14ac:dyDescent="0.45">
      <c r="E1904" s="32" t="str">
        <f t="shared" si="90"/>
        <v>.0</v>
      </c>
      <c r="F1904" s="32" t="str">
        <f t="shared" si="91"/>
        <v>.0</v>
      </c>
      <c r="G1904" s="37" t="str">
        <f t="shared" si="92"/>
        <v/>
      </c>
    </row>
    <row r="1905" spans="5:7" x14ac:dyDescent="0.45">
      <c r="E1905" s="32" t="str">
        <f t="shared" si="90"/>
        <v>.0</v>
      </c>
      <c r="F1905" s="32" t="str">
        <f t="shared" si="91"/>
        <v>.0</v>
      </c>
      <c r="G1905" s="37" t="str">
        <f t="shared" si="92"/>
        <v/>
      </c>
    </row>
    <row r="1906" spans="5:7" x14ac:dyDescent="0.45">
      <c r="E1906" s="32" t="str">
        <f t="shared" si="90"/>
        <v>.0</v>
      </c>
      <c r="F1906" s="32" t="str">
        <f t="shared" si="91"/>
        <v>.0</v>
      </c>
      <c r="G1906" s="37" t="str">
        <f t="shared" si="92"/>
        <v/>
      </c>
    </row>
    <row r="1907" spans="5:7" x14ac:dyDescent="0.45">
      <c r="E1907" s="32" t="str">
        <f t="shared" si="90"/>
        <v>.0</v>
      </c>
      <c r="F1907" s="32" t="str">
        <f t="shared" si="91"/>
        <v>.0</v>
      </c>
      <c r="G1907" s="37" t="str">
        <f t="shared" si="92"/>
        <v/>
      </c>
    </row>
    <row r="1908" spans="5:7" x14ac:dyDescent="0.45">
      <c r="E1908" s="32" t="str">
        <f t="shared" si="90"/>
        <v>.0</v>
      </c>
      <c r="F1908" s="32" t="str">
        <f t="shared" si="91"/>
        <v>.0</v>
      </c>
      <c r="G1908" s="37" t="str">
        <f t="shared" si="92"/>
        <v/>
      </c>
    </row>
    <row r="1909" spans="5:7" x14ac:dyDescent="0.45">
      <c r="E1909" s="32" t="str">
        <f t="shared" si="90"/>
        <v>.0</v>
      </c>
      <c r="F1909" s="32" t="str">
        <f t="shared" si="91"/>
        <v>.0</v>
      </c>
      <c r="G1909" s="37" t="str">
        <f t="shared" si="92"/>
        <v/>
      </c>
    </row>
    <row r="1910" spans="5:7" x14ac:dyDescent="0.45">
      <c r="E1910" s="32" t="str">
        <f t="shared" si="90"/>
        <v>.0</v>
      </c>
      <c r="F1910" s="32" t="str">
        <f t="shared" si="91"/>
        <v>.0</v>
      </c>
      <c r="G1910" s="37" t="str">
        <f t="shared" si="92"/>
        <v/>
      </c>
    </row>
    <row r="1911" spans="5:7" x14ac:dyDescent="0.45">
      <c r="E1911" s="32" t="str">
        <f t="shared" si="90"/>
        <v>.0</v>
      </c>
      <c r="F1911" s="32" t="str">
        <f t="shared" si="91"/>
        <v>.0</v>
      </c>
      <c r="G1911" s="37" t="str">
        <f t="shared" si="92"/>
        <v/>
      </c>
    </row>
    <row r="1912" spans="5:7" x14ac:dyDescent="0.45">
      <c r="E1912" s="32" t="str">
        <f t="shared" si="90"/>
        <v>.0</v>
      </c>
      <c r="F1912" s="32" t="str">
        <f t="shared" si="91"/>
        <v>.0</v>
      </c>
      <c r="G1912" s="37" t="str">
        <f t="shared" si="92"/>
        <v/>
      </c>
    </row>
    <row r="1913" spans="5:7" x14ac:dyDescent="0.45">
      <c r="E1913" s="32" t="str">
        <f t="shared" si="90"/>
        <v>.0</v>
      </c>
      <c r="F1913" s="32" t="str">
        <f t="shared" si="91"/>
        <v>.0</v>
      </c>
      <c r="G1913" s="37" t="str">
        <f t="shared" si="92"/>
        <v/>
      </c>
    </row>
    <row r="1914" spans="5:7" x14ac:dyDescent="0.45">
      <c r="E1914" s="32" t="str">
        <f t="shared" si="90"/>
        <v>.0</v>
      </c>
      <c r="F1914" s="32" t="str">
        <f t="shared" si="91"/>
        <v>.0</v>
      </c>
      <c r="G1914" s="37" t="str">
        <f t="shared" si="92"/>
        <v/>
      </c>
    </row>
    <row r="1915" spans="5:7" x14ac:dyDescent="0.45">
      <c r="E1915" s="32" t="str">
        <f t="shared" si="90"/>
        <v>.0</v>
      </c>
      <c r="F1915" s="32" t="str">
        <f t="shared" si="91"/>
        <v>.0</v>
      </c>
      <c r="G1915" s="37" t="str">
        <f t="shared" si="92"/>
        <v/>
      </c>
    </row>
    <row r="1916" spans="5:7" x14ac:dyDescent="0.45">
      <c r="E1916" s="32" t="str">
        <f t="shared" si="90"/>
        <v>.0</v>
      </c>
      <c r="F1916" s="32" t="str">
        <f t="shared" si="91"/>
        <v>.0</v>
      </c>
      <c r="G1916" s="37" t="str">
        <f t="shared" si="92"/>
        <v/>
      </c>
    </row>
    <row r="1917" spans="5:7" x14ac:dyDescent="0.45">
      <c r="E1917" s="32" t="str">
        <f t="shared" si="90"/>
        <v>.0</v>
      </c>
      <c r="F1917" s="32" t="str">
        <f t="shared" si="91"/>
        <v>.0</v>
      </c>
      <c r="G1917" s="37" t="str">
        <f t="shared" si="92"/>
        <v/>
      </c>
    </row>
    <row r="1918" spans="5:7" x14ac:dyDescent="0.45">
      <c r="E1918" s="32" t="str">
        <f t="shared" si="90"/>
        <v>.0</v>
      </c>
      <c r="F1918" s="32" t="str">
        <f t="shared" si="91"/>
        <v>.0</v>
      </c>
      <c r="G1918" s="37" t="str">
        <f t="shared" si="92"/>
        <v/>
      </c>
    </row>
    <row r="1919" spans="5:7" x14ac:dyDescent="0.45">
      <c r="E1919" s="32" t="str">
        <f t="shared" si="90"/>
        <v>.0</v>
      </c>
      <c r="F1919" s="32" t="str">
        <f t="shared" si="91"/>
        <v>.0</v>
      </c>
      <c r="G1919" s="37" t="str">
        <f t="shared" si="92"/>
        <v/>
      </c>
    </row>
    <row r="1920" spans="5:7" x14ac:dyDescent="0.45">
      <c r="E1920" s="32" t="str">
        <f t="shared" si="90"/>
        <v>.0</v>
      </c>
      <c r="F1920" s="32" t="str">
        <f t="shared" si="91"/>
        <v>.0</v>
      </c>
      <c r="G1920" s="37" t="str">
        <f t="shared" si="92"/>
        <v/>
      </c>
    </row>
    <row r="1921" spans="5:7" x14ac:dyDescent="0.45">
      <c r="E1921" s="32" t="str">
        <f t="shared" si="90"/>
        <v>.0</v>
      </c>
      <c r="F1921" s="32" t="str">
        <f t="shared" si="91"/>
        <v>.0</v>
      </c>
      <c r="G1921" s="37" t="str">
        <f t="shared" si="92"/>
        <v/>
      </c>
    </row>
    <row r="1922" spans="5:7" x14ac:dyDescent="0.45">
      <c r="E1922" s="32" t="str">
        <f t="shared" si="90"/>
        <v>.0</v>
      </c>
      <c r="F1922" s="32" t="str">
        <f t="shared" si="91"/>
        <v>.0</v>
      </c>
      <c r="G1922" s="37" t="str">
        <f t="shared" si="92"/>
        <v/>
      </c>
    </row>
    <row r="1923" spans="5:7" x14ac:dyDescent="0.45">
      <c r="E1923" s="32" t="str">
        <f t="shared" si="90"/>
        <v>.0</v>
      </c>
      <c r="F1923" s="32" t="str">
        <f t="shared" si="91"/>
        <v>.0</v>
      </c>
      <c r="G1923" s="37" t="str">
        <f t="shared" si="92"/>
        <v/>
      </c>
    </row>
    <row r="1924" spans="5:7" x14ac:dyDescent="0.45">
      <c r="E1924" s="32" t="str">
        <f t="shared" si="90"/>
        <v>.0</v>
      </c>
      <c r="F1924" s="32" t="str">
        <f t="shared" si="91"/>
        <v>.0</v>
      </c>
      <c r="G1924" s="37" t="str">
        <f t="shared" si="92"/>
        <v/>
      </c>
    </row>
    <row r="1925" spans="5:7" x14ac:dyDescent="0.45">
      <c r="E1925" s="32" t="str">
        <f t="shared" si="90"/>
        <v>.0</v>
      </c>
      <c r="F1925" s="32" t="str">
        <f t="shared" si="91"/>
        <v>.0</v>
      </c>
      <c r="G1925" s="37" t="str">
        <f t="shared" si="92"/>
        <v/>
      </c>
    </row>
    <row r="1926" spans="5:7" x14ac:dyDescent="0.45">
      <c r="E1926" s="32" t="str">
        <f t="shared" si="90"/>
        <v>.0</v>
      </c>
      <c r="F1926" s="32" t="str">
        <f t="shared" si="91"/>
        <v>.0</v>
      </c>
      <c r="G1926" s="37" t="str">
        <f t="shared" si="92"/>
        <v/>
      </c>
    </row>
    <row r="1927" spans="5:7" x14ac:dyDescent="0.45">
      <c r="E1927" s="32" t="str">
        <f t="shared" si="90"/>
        <v>.0</v>
      </c>
      <c r="F1927" s="32" t="str">
        <f t="shared" si="91"/>
        <v>.0</v>
      </c>
      <c r="G1927" s="37" t="str">
        <f t="shared" si="92"/>
        <v/>
      </c>
    </row>
    <row r="1928" spans="5:7" x14ac:dyDescent="0.45">
      <c r="E1928" s="32" t="str">
        <f t="shared" si="90"/>
        <v>.0</v>
      </c>
      <c r="F1928" s="32" t="str">
        <f t="shared" si="91"/>
        <v>.0</v>
      </c>
      <c r="G1928" s="37" t="str">
        <f t="shared" si="92"/>
        <v/>
      </c>
    </row>
    <row r="1929" spans="5:7" x14ac:dyDescent="0.45">
      <c r="E1929" s="32" t="str">
        <f t="shared" si="90"/>
        <v>.0</v>
      </c>
      <c r="F1929" s="32" t="str">
        <f t="shared" si="91"/>
        <v>.0</v>
      </c>
      <c r="G1929" s="37" t="str">
        <f t="shared" si="92"/>
        <v/>
      </c>
    </row>
    <row r="1930" spans="5:7" x14ac:dyDescent="0.45">
      <c r="E1930" s="32" t="str">
        <f t="shared" si="90"/>
        <v>.0</v>
      </c>
      <c r="F1930" s="32" t="str">
        <f t="shared" si="91"/>
        <v>.0</v>
      </c>
      <c r="G1930" s="37" t="str">
        <f t="shared" si="92"/>
        <v/>
      </c>
    </row>
    <row r="1931" spans="5:7" x14ac:dyDescent="0.45">
      <c r="E1931" s="32" t="str">
        <f t="shared" si="90"/>
        <v>.0</v>
      </c>
      <c r="F1931" s="32" t="str">
        <f t="shared" si="91"/>
        <v>.0</v>
      </c>
      <c r="G1931" s="37" t="str">
        <f t="shared" si="92"/>
        <v/>
      </c>
    </row>
    <row r="1932" spans="5:7" x14ac:dyDescent="0.45">
      <c r="E1932" s="32" t="str">
        <f t="shared" si="90"/>
        <v>.0</v>
      </c>
      <c r="F1932" s="32" t="str">
        <f t="shared" si="91"/>
        <v>.0</v>
      </c>
      <c r="G1932" s="37" t="str">
        <f t="shared" si="92"/>
        <v/>
      </c>
    </row>
    <row r="1933" spans="5:7" x14ac:dyDescent="0.45">
      <c r="E1933" s="32" t="str">
        <f t="shared" si="90"/>
        <v>.0</v>
      </c>
      <c r="F1933" s="32" t="str">
        <f t="shared" si="91"/>
        <v>.0</v>
      </c>
      <c r="G1933" s="37" t="str">
        <f t="shared" si="92"/>
        <v/>
      </c>
    </row>
    <row r="1934" spans="5:7" x14ac:dyDescent="0.45">
      <c r="E1934" s="32" t="str">
        <f t="shared" si="90"/>
        <v>.0</v>
      </c>
      <c r="F1934" s="32" t="str">
        <f t="shared" si="91"/>
        <v>.0</v>
      </c>
      <c r="G1934" s="37" t="str">
        <f t="shared" si="92"/>
        <v/>
      </c>
    </row>
    <row r="1935" spans="5:7" x14ac:dyDescent="0.45">
      <c r="E1935" s="32" t="str">
        <f t="shared" si="90"/>
        <v>.0</v>
      </c>
      <c r="F1935" s="32" t="str">
        <f t="shared" si="91"/>
        <v>.0</v>
      </c>
      <c r="G1935" s="37" t="str">
        <f t="shared" si="92"/>
        <v/>
      </c>
    </row>
    <row r="1936" spans="5:7" x14ac:dyDescent="0.45">
      <c r="E1936" s="32" t="str">
        <f t="shared" si="90"/>
        <v>.0</v>
      </c>
      <c r="F1936" s="32" t="str">
        <f t="shared" si="91"/>
        <v>.0</v>
      </c>
      <c r="G1936" s="37" t="str">
        <f t="shared" si="92"/>
        <v/>
      </c>
    </row>
    <row r="1937" spans="5:7" x14ac:dyDescent="0.45">
      <c r="E1937" s="32" t="str">
        <f t="shared" si="90"/>
        <v>.0</v>
      </c>
      <c r="F1937" s="32" t="str">
        <f t="shared" si="91"/>
        <v>.0</v>
      </c>
      <c r="G1937" s="37" t="str">
        <f t="shared" si="92"/>
        <v/>
      </c>
    </row>
    <row r="1938" spans="5:7" x14ac:dyDescent="0.45">
      <c r="E1938" s="32" t="str">
        <f t="shared" si="90"/>
        <v>.0</v>
      </c>
      <c r="F1938" s="32" t="str">
        <f t="shared" si="91"/>
        <v>.0</v>
      </c>
      <c r="G1938" s="37" t="str">
        <f t="shared" si="92"/>
        <v/>
      </c>
    </row>
    <row r="1939" spans="5:7" x14ac:dyDescent="0.45">
      <c r="E1939" s="32" t="str">
        <f t="shared" si="90"/>
        <v>.0</v>
      </c>
      <c r="F1939" s="32" t="str">
        <f t="shared" si="91"/>
        <v>.0</v>
      </c>
      <c r="G1939" s="37" t="str">
        <f t="shared" si="92"/>
        <v/>
      </c>
    </row>
    <row r="1940" spans="5:7" x14ac:dyDescent="0.45">
      <c r="E1940" s="32" t="str">
        <f t="shared" si="90"/>
        <v>.0</v>
      </c>
      <c r="F1940" s="32" t="str">
        <f t="shared" si="91"/>
        <v>.0</v>
      </c>
      <c r="G1940" s="37" t="str">
        <f t="shared" si="92"/>
        <v/>
      </c>
    </row>
    <row r="1941" spans="5:7" x14ac:dyDescent="0.45">
      <c r="E1941" s="32" t="str">
        <f t="shared" si="90"/>
        <v>.0</v>
      </c>
      <c r="F1941" s="32" t="str">
        <f t="shared" si="91"/>
        <v>.0</v>
      </c>
      <c r="G1941" s="37" t="str">
        <f t="shared" si="92"/>
        <v/>
      </c>
    </row>
    <row r="1942" spans="5:7" x14ac:dyDescent="0.45">
      <c r="E1942" s="32" t="str">
        <f t="shared" si="90"/>
        <v>.0</v>
      </c>
      <c r="F1942" s="32" t="str">
        <f t="shared" si="91"/>
        <v>.0</v>
      </c>
      <c r="G1942" s="37" t="str">
        <f t="shared" si="92"/>
        <v/>
      </c>
    </row>
    <row r="1943" spans="5:7" x14ac:dyDescent="0.45">
      <c r="E1943" s="32" t="str">
        <f t="shared" si="90"/>
        <v>.0</v>
      </c>
      <c r="F1943" s="32" t="str">
        <f t="shared" si="91"/>
        <v>.0</v>
      </c>
      <c r="G1943" s="37" t="str">
        <f t="shared" si="92"/>
        <v/>
      </c>
    </row>
    <row r="1944" spans="5:7" x14ac:dyDescent="0.45">
      <c r="E1944" s="32" t="str">
        <f t="shared" si="90"/>
        <v>.0</v>
      </c>
      <c r="F1944" s="32" t="str">
        <f t="shared" si="91"/>
        <v>.0</v>
      </c>
      <c r="G1944" s="37" t="str">
        <f t="shared" si="92"/>
        <v/>
      </c>
    </row>
    <row r="1945" spans="5:7" x14ac:dyDescent="0.45">
      <c r="E1945" s="32" t="str">
        <f t="shared" si="90"/>
        <v>.0</v>
      </c>
      <c r="F1945" s="32" t="str">
        <f t="shared" si="91"/>
        <v>.0</v>
      </c>
      <c r="G1945" s="37" t="str">
        <f t="shared" si="92"/>
        <v/>
      </c>
    </row>
    <row r="1946" spans="5:7" x14ac:dyDescent="0.45">
      <c r="E1946" s="32" t="str">
        <f t="shared" si="90"/>
        <v>.0</v>
      </c>
      <c r="F1946" s="32" t="str">
        <f t="shared" si="91"/>
        <v>.0</v>
      </c>
      <c r="G1946" s="37" t="str">
        <f t="shared" si="92"/>
        <v/>
      </c>
    </row>
    <row r="1947" spans="5:7" x14ac:dyDescent="0.45">
      <c r="E1947" s="32" t="str">
        <f t="shared" si="90"/>
        <v>.0</v>
      </c>
      <c r="F1947" s="32" t="str">
        <f t="shared" si="91"/>
        <v>.0</v>
      </c>
      <c r="G1947" s="37" t="str">
        <f t="shared" si="92"/>
        <v/>
      </c>
    </row>
    <row r="1948" spans="5:7" x14ac:dyDescent="0.45">
      <c r="E1948" s="32" t="str">
        <f t="shared" si="90"/>
        <v>.0</v>
      </c>
      <c r="F1948" s="32" t="str">
        <f t="shared" si="91"/>
        <v>.0</v>
      </c>
      <c r="G1948" s="37" t="str">
        <f t="shared" si="92"/>
        <v/>
      </c>
    </row>
    <row r="1949" spans="5:7" x14ac:dyDescent="0.45">
      <c r="E1949" s="32" t="str">
        <f t="shared" si="90"/>
        <v>.0</v>
      </c>
      <c r="F1949" s="32" t="str">
        <f t="shared" si="91"/>
        <v>.0</v>
      </c>
      <c r="G1949" s="37" t="str">
        <f t="shared" si="92"/>
        <v/>
      </c>
    </row>
    <row r="1950" spans="5:7" x14ac:dyDescent="0.45">
      <c r="E1950" s="32" t="str">
        <f t="shared" ref="E1950:E2013" si="93">MID(B1950,3,2)&amp;"."&amp;IF(C1950&lt;10,"0"&amp;C1950,C1950)</f>
        <v>.0</v>
      </c>
      <c r="F1950" s="32" t="str">
        <f t="shared" ref="F1950:F2013" si="94">MID(B1950,3,2)&amp;"."&amp;IF(C1950&lt;10,"0"&amp;C1950,C1950)</f>
        <v>.0</v>
      </c>
      <c r="G1950" s="37" t="str">
        <f t="shared" ref="G1950:G2013" si="95">TEXT(D1950,"#,###,")</f>
        <v/>
      </c>
    </row>
    <row r="1951" spans="5:7" x14ac:dyDescent="0.45">
      <c r="E1951" s="32" t="str">
        <f t="shared" si="93"/>
        <v>.0</v>
      </c>
      <c r="F1951" s="32" t="str">
        <f t="shared" si="94"/>
        <v>.0</v>
      </c>
      <c r="G1951" s="37" t="str">
        <f t="shared" si="95"/>
        <v/>
      </c>
    </row>
    <row r="1952" spans="5:7" x14ac:dyDescent="0.45">
      <c r="E1952" s="32" t="str">
        <f t="shared" si="93"/>
        <v>.0</v>
      </c>
      <c r="F1952" s="32" t="str">
        <f t="shared" si="94"/>
        <v>.0</v>
      </c>
      <c r="G1952" s="37" t="str">
        <f t="shared" si="95"/>
        <v/>
      </c>
    </row>
    <row r="1953" spans="5:7" x14ac:dyDescent="0.45">
      <c r="E1953" s="32" t="str">
        <f t="shared" si="93"/>
        <v>.0</v>
      </c>
      <c r="F1953" s="32" t="str">
        <f t="shared" si="94"/>
        <v>.0</v>
      </c>
      <c r="G1953" s="37" t="str">
        <f t="shared" si="95"/>
        <v/>
      </c>
    </row>
    <row r="1954" spans="5:7" x14ac:dyDescent="0.45">
      <c r="E1954" s="32" t="str">
        <f t="shared" si="93"/>
        <v>.0</v>
      </c>
      <c r="F1954" s="32" t="str">
        <f t="shared" si="94"/>
        <v>.0</v>
      </c>
      <c r="G1954" s="37" t="str">
        <f t="shared" si="95"/>
        <v/>
      </c>
    </row>
    <row r="1955" spans="5:7" x14ac:dyDescent="0.45">
      <c r="E1955" s="32" t="str">
        <f t="shared" si="93"/>
        <v>.0</v>
      </c>
      <c r="F1955" s="32" t="str">
        <f t="shared" si="94"/>
        <v>.0</v>
      </c>
      <c r="G1955" s="37" t="str">
        <f t="shared" si="95"/>
        <v/>
      </c>
    </row>
    <row r="1956" spans="5:7" x14ac:dyDescent="0.45">
      <c r="E1956" s="32" t="str">
        <f t="shared" si="93"/>
        <v>.0</v>
      </c>
      <c r="F1956" s="32" t="str">
        <f t="shared" si="94"/>
        <v>.0</v>
      </c>
      <c r="G1956" s="37" t="str">
        <f t="shared" si="95"/>
        <v/>
      </c>
    </row>
    <row r="1957" spans="5:7" x14ac:dyDescent="0.45">
      <c r="E1957" s="32" t="str">
        <f t="shared" si="93"/>
        <v>.0</v>
      </c>
      <c r="F1957" s="32" t="str">
        <f t="shared" si="94"/>
        <v>.0</v>
      </c>
      <c r="G1957" s="37" t="str">
        <f t="shared" si="95"/>
        <v/>
      </c>
    </row>
    <row r="1958" spans="5:7" x14ac:dyDescent="0.45">
      <c r="E1958" s="32" t="str">
        <f t="shared" si="93"/>
        <v>.0</v>
      </c>
      <c r="F1958" s="32" t="str">
        <f t="shared" si="94"/>
        <v>.0</v>
      </c>
      <c r="G1958" s="37" t="str">
        <f t="shared" si="95"/>
        <v/>
      </c>
    </row>
    <row r="1959" spans="5:7" x14ac:dyDescent="0.45">
      <c r="E1959" s="32" t="str">
        <f t="shared" si="93"/>
        <v>.0</v>
      </c>
      <c r="F1959" s="32" t="str">
        <f t="shared" si="94"/>
        <v>.0</v>
      </c>
      <c r="G1959" s="37" t="str">
        <f t="shared" si="95"/>
        <v/>
      </c>
    </row>
    <row r="1960" spans="5:7" x14ac:dyDescent="0.45">
      <c r="E1960" s="32" t="str">
        <f t="shared" si="93"/>
        <v>.0</v>
      </c>
      <c r="F1960" s="32" t="str">
        <f t="shared" si="94"/>
        <v>.0</v>
      </c>
      <c r="G1960" s="37" t="str">
        <f t="shared" si="95"/>
        <v/>
      </c>
    </row>
    <row r="1961" spans="5:7" x14ac:dyDescent="0.45">
      <c r="E1961" s="32" t="str">
        <f t="shared" si="93"/>
        <v>.0</v>
      </c>
      <c r="F1961" s="32" t="str">
        <f t="shared" si="94"/>
        <v>.0</v>
      </c>
      <c r="G1961" s="37" t="str">
        <f t="shared" si="95"/>
        <v/>
      </c>
    </row>
    <row r="1962" spans="5:7" x14ac:dyDescent="0.45">
      <c r="E1962" s="32" t="str">
        <f t="shared" si="93"/>
        <v>.0</v>
      </c>
      <c r="F1962" s="32" t="str">
        <f t="shared" si="94"/>
        <v>.0</v>
      </c>
      <c r="G1962" s="37" t="str">
        <f t="shared" si="95"/>
        <v/>
      </c>
    </row>
    <row r="1963" spans="5:7" x14ac:dyDescent="0.45">
      <c r="E1963" s="32" t="str">
        <f t="shared" si="93"/>
        <v>.0</v>
      </c>
      <c r="F1963" s="32" t="str">
        <f t="shared" si="94"/>
        <v>.0</v>
      </c>
      <c r="G1963" s="37" t="str">
        <f t="shared" si="95"/>
        <v/>
      </c>
    </row>
    <row r="1964" spans="5:7" x14ac:dyDescent="0.45">
      <c r="E1964" s="32" t="str">
        <f t="shared" si="93"/>
        <v>.0</v>
      </c>
      <c r="F1964" s="32" t="str">
        <f t="shared" si="94"/>
        <v>.0</v>
      </c>
      <c r="G1964" s="37" t="str">
        <f t="shared" si="95"/>
        <v/>
      </c>
    </row>
    <row r="1965" spans="5:7" x14ac:dyDescent="0.45">
      <c r="E1965" s="32" t="str">
        <f t="shared" si="93"/>
        <v>.0</v>
      </c>
      <c r="F1965" s="32" t="str">
        <f t="shared" si="94"/>
        <v>.0</v>
      </c>
      <c r="G1965" s="37" t="str">
        <f t="shared" si="95"/>
        <v/>
      </c>
    </row>
    <row r="1966" spans="5:7" x14ac:dyDescent="0.45">
      <c r="E1966" s="32" t="str">
        <f t="shared" si="93"/>
        <v>.0</v>
      </c>
      <c r="F1966" s="32" t="str">
        <f t="shared" si="94"/>
        <v>.0</v>
      </c>
      <c r="G1966" s="37" t="str">
        <f t="shared" si="95"/>
        <v/>
      </c>
    </row>
    <row r="1967" spans="5:7" x14ac:dyDescent="0.45">
      <c r="E1967" s="32" t="str">
        <f t="shared" si="93"/>
        <v>.0</v>
      </c>
      <c r="F1967" s="32" t="str">
        <f t="shared" si="94"/>
        <v>.0</v>
      </c>
      <c r="G1967" s="37" t="str">
        <f t="shared" si="95"/>
        <v/>
      </c>
    </row>
    <row r="1968" spans="5:7" x14ac:dyDescent="0.45">
      <c r="E1968" s="32" t="str">
        <f t="shared" si="93"/>
        <v>.0</v>
      </c>
      <c r="F1968" s="32" t="str">
        <f t="shared" si="94"/>
        <v>.0</v>
      </c>
      <c r="G1968" s="37" t="str">
        <f t="shared" si="95"/>
        <v/>
      </c>
    </row>
    <row r="1969" spans="5:7" x14ac:dyDescent="0.45">
      <c r="E1969" s="32" t="str">
        <f t="shared" si="93"/>
        <v>.0</v>
      </c>
      <c r="F1969" s="32" t="str">
        <f t="shared" si="94"/>
        <v>.0</v>
      </c>
      <c r="G1969" s="37" t="str">
        <f t="shared" si="95"/>
        <v/>
      </c>
    </row>
    <row r="1970" spans="5:7" x14ac:dyDescent="0.45">
      <c r="E1970" s="32" t="str">
        <f t="shared" si="93"/>
        <v>.0</v>
      </c>
      <c r="F1970" s="32" t="str">
        <f t="shared" si="94"/>
        <v>.0</v>
      </c>
      <c r="G1970" s="37" t="str">
        <f t="shared" si="95"/>
        <v/>
      </c>
    </row>
    <row r="1971" spans="5:7" x14ac:dyDescent="0.45">
      <c r="E1971" s="32" t="str">
        <f t="shared" si="93"/>
        <v>.0</v>
      </c>
      <c r="F1971" s="32" t="str">
        <f t="shared" si="94"/>
        <v>.0</v>
      </c>
      <c r="G1971" s="37" t="str">
        <f t="shared" si="95"/>
        <v/>
      </c>
    </row>
    <row r="1972" spans="5:7" x14ac:dyDescent="0.45">
      <c r="E1972" s="32" t="str">
        <f t="shared" si="93"/>
        <v>.0</v>
      </c>
      <c r="F1972" s="32" t="str">
        <f t="shared" si="94"/>
        <v>.0</v>
      </c>
      <c r="G1972" s="37" t="str">
        <f t="shared" si="95"/>
        <v/>
      </c>
    </row>
    <row r="1973" spans="5:7" x14ac:dyDescent="0.45">
      <c r="E1973" s="32" t="str">
        <f t="shared" si="93"/>
        <v>.0</v>
      </c>
      <c r="F1973" s="32" t="str">
        <f t="shared" si="94"/>
        <v>.0</v>
      </c>
      <c r="G1973" s="37" t="str">
        <f t="shared" si="95"/>
        <v/>
      </c>
    </row>
    <row r="1974" spans="5:7" x14ac:dyDescent="0.45">
      <c r="E1974" s="32" t="str">
        <f t="shared" si="93"/>
        <v>.0</v>
      </c>
      <c r="F1974" s="32" t="str">
        <f t="shared" si="94"/>
        <v>.0</v>
      </c>
      <c r="G1974" s="37" t="str">
        <f t="shared" si="95"/>
        <v/>
      </c>
    </row>
    <row r="1975" spans="5:7" x14ac:dyDescent="0.45">
      <c r="E1975" s="32" t="str">
        <f t="shared" si="93"/>
        <v>.0</v>
      </c>
      <c r="F1975" s="32" t="str">
        <f t="shared" si="94"/>
        <v>.0</v>
      </c>
      <c r="G1975" s="37" t="str">
        <f t="shared" si="95"/>
        <v/>
      </c>
    </row>
    <row r="1976" spans="5:7" x14ac:dyDescent="0.45">
      <c r="E1976" s="32" t="str">
        <f t="shared" si="93"/>
        <v>.0</v>
      </c>
      <c r="F1976" s="32" t="str">
        <f t="shared" si="94"/>
        <v>.0</v>
      </c>
      <c r="G1976" s="37" t="str">
        <f t="shared" si="95"/>
        <v/>
      </c>
    </row>
    <row r="1977" spans="5:7" x14ac:dyDescent="0.45">
      <c r="E1977" s="32" t="str">
        <f t="shared" si="93"/>
        <v>.0</v>
      </c>
      <c r="F1977" s="32" t="str">
        <f t="shared" si="94"/>
        <v>.0</v>
      </c>
      <c r="G1977" s="37" t="str">
        <f t="shared" si="95"/>
        <v/>
      </c>
    </row>
    <row r="1978" spans="5:7" x14ac:dyDescent="0.45">
      <c r="E1978" s="32" t="str">
        <f t="shared" si="93"/>
        <v>.0</v>
      </c>
      <c r="F1978" s="32" t="str">
        <f t="shared" si="94"/>
        <v>.0</v>
      </c>
      <c r="G1978" s="37" t="str">
        <f t="shared" si="95"/>
        <v/>
      </c>
    </row>
    <row r="1979" spans="5:7" x14ac:dyDescent="0.45">
      <c r="E1979" s="32" t="str">
        <f t="shared" si="93"/>
        <v>.0</v>
      </c>
      <c r="F1979" s="32" t="str">
        <f t="shared" si="94"/>
        <v>.0</v>
      </c>
      <c r="G1979" s="37" t="str">
        <f t="shared" si="95"/>
        <v/>
      </c>
    </row>
    <row r="1980" spans="5:7" x14ac:dyDescent="0.45">
      <c r="E1980" s="32" t="str">
        <f t="shared" si="93"/>
        <v>.0</v>
      </c>
      <c r="F1980" s="32" t="str">
        <f t="shared" si="94"/>
        <v>.0</v>
      </c>
      <c r="G1980" s="37" t="str">
        <f t="shared" si="95"/>
        <v/>
      </c>
    </row>
    <row r="1981" spans="5:7" x14ac:dyDescent="0.45">
      <c r="E1981" s="32" t="str">
        <f t="shared" si="93"/>
        <v>.0</v>
      </c>
      <c r="F1981" s="32" t="str">
        <f t="shared" si="94"/>
        <v>.0</v>
      </c>
      <c r="G1981" s="37" t="str">
        <f t="shared" si="95"/>
        <v/>
      </c>
    </row>
    <row r="1982" spans="5:7" x14ac:dyDescent="0.45">
      <c r="E1982" s="32" t="str">
        <f t="shared" si="93"/>
        <v>.0</v>
      </c>
      <c r="F1982" s="32" t="str">
        <f t="shared" si="94"/>
        <v>.0</v>
      </c>
      <c r="G1982" s="37" t="str">
        <f t="shared" si="95"/>
        <v/>
      </c>
    </row>
    <row r="1983" spans="5:7" x14ac:dyDescent="0.45">
      <c r="E1983" s="32" t="str">
        <f t="shared" si="93"/>
        <v>.0</v>
      </c>
      <c r="F1983" s="32" t="str">
        <f t="shared" si="94"/>
        <v>.0</v>
      </c>
      <c r="G1983" s="37" t="str">
        <f t="shared" si="95"/>
        <v/>
      </c>
    </row>
    <row r="1984" spans="5:7" x14ac:dyDescent="0.45">
      <c r="E1984" s="32" t="str">
        <f t="shared" si="93"/>
        <v>.0</v>
      </c>
      <c r="F1984" s="32" t="str">
        <f t="shared" si="94"/>
        <v>.0</v>
      </c>
      <c r="G1984" s="37" t="str">
        <f t="shared" si="95"/>
        <v/>
      </c>
    </row>
    <row r="1985" spans="5:7" x14ac:dyDescent="0.45">
      <c r="E1985" s="32" t="str">
        <f t="shared" si="93"/>
        <v>.0</v>
      </c>
      <c r="F1985" s="32" t="str">
        <f t="shared" si="94"/>
        <v>.0</v>
      </c>
      <c r="G1985" s="37" t="str">
        <f t="shared" si="95"/>
        <v/>
      </c>
    </row>
    <row r="1986" spans="5:7" x14ac:dyDescent="0.45">
      <c r="E1986" s="32" t="str">
        <f t="shared" si="93"/>
        <v>.0</v>
      </c>
      <c r="F1986" s="32" t="str">
        <f t="shared" si="94"/>
        <v>.0</v>
      </c>
      <c r="G1986" s="37" t="str">
        <f t="shared" si="95"/>
        <v/>
      </c>
    </row>
    <row r="1987" spans="5:7" x14ac:dyDescent="0.45">
      <c r="E1987" s="32" t="str">
        <f t="shared" si="93"/>
        <v>.0</v>
      </c>
      <c r="F1987" s="32" t="str">
        <f t="shared" si="94"/>
        <v>.0</v>
      </c>
      <c r="G1987" s="37" t="str">
        <f t="shared" si="95"/>
        <v/>
      </c>
    </row>
    <row r="1988" spans="5:7" x14ac:dyDescent="0.45">
      <c r="E1988" s="32" t="str">
        <f t="shared" si="93"/>
        <v>.0</v>
      </c>
      <c r="F1988" s="32" t="str">
        <f t="shared" si="94"/>
        <v>.0</v>
      </c>
      <c r="G1988" s="37" t="str">
        <f t="shared" si="95"/>
        <v/>
      </c>
    </row>
    <row r="1989" spans="5:7" x14ac:dyDescent="0.45">
      <c r="E1989" s="32" t="str">
        <f t="shared" si="93"/>
        <v>.0</v>
      </c>
      <c r="F1989" s="32" t="str">
        <f t="shared" si="94"/>
        <v>.0</v>
      </c>
      <c r="G1989" s="37" t="str">
        <f t="shared" si="95"/>
        <v/>
      </c>
    </row>
    <row r="1990" spans="5:7" x14ac:dyDescent="0.45">
      <c r="E1990" s="32" t="str">
        <f t="shared" si="93"/>
        <v>.0</v>
      </c>
      <c r="F1990" s="32" t="str">
        <f t="shared" si="94"/>
        <v>.0</v>
      </c>
      <c r="G1990" s="37" t="str">
        <f t="shared" si="95"/>
        <v/>
      </c>
    </row>
    <row r="1991" spans="5:7" x14ac:dyDescent="0.45">
      <c r="E1991" s="32" t="str">
        <f t="shared" si="93"/>
        <v>.0</v>
      </c>
      <c r="F1991" s="32" t="str">
        <f t="shared" si="94"/>
        <v>.0</v>
      </c>
      <c r="G1991" s="37" t="str">
        <f t="shared" si="95"/>
        <v/>
      </c>
    </row>
    <row r="1992" spans="5:7" x14ac:dyDescent="0.45">
      <c r="E1992" s="32" t="str">
        <f t="shared" si="93"/>
        <v>.0</v>
      </c>
      <c r="F1992" s="32" t="str">
        <f t="shared" si="94"/>
        <v>.0</v>
      </c>
      <c r="G1992" s="37" t="str">
        <f t="shared" si="95"/>
        <v/>
      </c>
    </row>
    <row r="1993" spans="5:7" x14ac:dyDescent="0.45">
      <c r="E1993" s="32" t="str">
        <f t="shared" si="93"/>
        <v>.0</v>
      </c>
      <c r="F1993" s="32" t="str">
        <f t="shared" si="94"/>
        <v>.0</v>
      </c>
      <c r="G1993" s="37" t="str">
        <f t="shared" si="95"/>
        <v/>
      </c>
    </row>
    <row r="1994" spans="5:7" x14ac:dyDescent="0.45">
      <c r="E1994" s="32" t="str">
        <f t="shared" si="93"/>
        <v>.0</v>
      </c>
      <c r="F1994" s="32" t="str">
        <f t="shared" si="94"/>
        <v>.0</v>
      </c>
      <c r="G1994" s="37" t="str">
        <f t="shared" si="95"/>
        <v/>
      </c>
    </row>
    <row r="1995" spans="5:7" x14ac:dyDescent="0.45">
      <c r="E1995" s="32" t="str">
        <f t="shared" si="93"/>
        <v>.0</v>
      </c>
      <c r="F1995" s="32" t="str">
        <f t="shared" si="94"/>
        <v>.0</v>
      </c>
      <c r="G1995" s="37" t="str">
        <f t="shared" si="95"/>
        <v/>
      </c>
    </row>
    <row r="1996" spans="5:7" x14ac:dyDescent="0.45">
      <c r="E1996" s="32" t="str">
        <f t="shared" si="93"/>
        <v>.0</v>
      </c>
      <c r="F1996" s="32" t="str">
        <f t="shared" si="94"/>
        <v>.0</v>
      </c>
      <c r="G1996" s="37" t="str">
        <f t="shared" si="95"/>
        <v/>
      </c>
    </row>
    <row r="1997" spans="5:7" x14ac:dyDescent="0.45">
      <c r="E1997" s="32" t="str">
        <f t="shared" si="93"/>
        <v>.0</v>
      </c>
      <c r="F1997" s="32" t="str">
        <f t="shared" si="94"/>
        <v>.0</v>
      </c>
      <c r="G1997" s="37" t="str">
        <f t="shared" si="95"/>
        <v/>
      </c>
    </row>
    <row r="1998" spans="5:7" x14ac:dyDescent="0.45">
      <c r="E1998" s="32" t="str">
        <f t="shared" si="93"/>
        <v>.0</v>
      </c>
      <c r="F1998" s="32" t="str">
        <f t="shared" si="94"/>
        <v>.0</v>
      </c>
      <c r="G1998" s="37" t="str">
        <f t="shared" si="95"/>
        <v/>
      </c>
    </row>
    <row r="1999" spans="5:7" x14ac:dyDescent="0.45">
      <c r="E1999" s="32" t="str">
        <f t="shared" si="93"/>
        <v>.0</v>
      </c>
      <c r="F1999" s="32" t="str">
        <f t="shared" si="94"/>
        <v>.0</v>
      </c>
      <c r="G1999" s="37" t="str">
        <f t="shared" si="95"/>
        <v/>
      </c>
    </row>
    <row r="2000" spans="5:7" x14ac:dyDescent="0.45">
      <c r="E2000" s="32" t="str">
        <f t="shared" si="93"/>
        <v>.0</v>
      </c>
      <c r="F2000" s="32" t="str">
        <f t="shared" si="94"/>
        <v>.0</v>
      </c>
      <c r="G2000" s="37" t="str">
        <f t="shared" si="95"/>
        <v/>
      </c>
    </row>
    <row r="2001" spans="5:7" x14ac:dyDescent="0.45">
      <c r="E2001" s="32" t="str">
        <f t="shared" si="93"/>
        <v>.0</v>
      </c>
      <c r="F2001" s="32" t="str">
        <f t="shared" si="94"/>
        <v>.0</v>
      </c>
      <c r="G2001" s="37" t="str">
        <f t="shared" si="95"/>
        <v/>
      </c>
    </row>
    <row r="2002" spans="5:7" x14ac:dyDescent="0.45">
      <c r="E2002" s="32" t="str">
        <f t="shared" si="93"/>
        <v>.0</v>
      </c>
      <c r="F2002" s="32" t="str">
        <f t="shared" si="94"/>
        <v>.0</v>
      </c>
      <c r="G2002" s="37" t="str">
        <f t="shared" si="95"/>
        <v/>
      </c>
    </row>
    <row r="2003" spans="5:7" x14ac:dyDescent="0.45">
      <c r="E2003" s="32" t="str">
        <f t="shared" si="93"/>
        <v>.0</v>
      </c>
      <c r="F2003" s="32" t="str">
        <f t="shared" si="94"/>
        <v>.0</v>
      </c>
      <c r="G2003" s="37" t="str">
        <f t="shared" si="95"/>
        <v/>
      </c>
    </row>
    <row r="2004" spans="5:7" x14ac:dyDescent="0.45">
      <c r="E2004" s="32" t="str">
        <f t="shared" si="93"/>
        <v>.0</v>
      </c>
      <c r="F2004" s="32" t="str">
        <f t="shared" si="94"/>
        <v>.0</v>
      </c>
      <c r="G2004" s="37" t="str">
        <f t="shared" si="95"/>
        <v/>
      </c>
    </row>
    <row r="2005" spans="5:7" x14ac:dyDescent="0.45">
      <c r="E2005" s="32" t="str">
        <f t="shared" si="93"/>
        <v>.0</v>
      </c>
      <c r="F2005" s="32" t="str">
        <f t="shared" si="94"/>
        <v>.0</v>
      </c>
      <c r="G2005" s="37" t="str">
        <f t="shared" si="95"/>
        <v/>
      </c>
    </row>
    <row r="2006" spans="5:7" x14ac:dyDescent="0.45">
      <c r="E2006" s="32" t="str">
        <f t="shared" si="93"/>
        <v>.0</v>
      </c>
      <c r="F2006" s="32" t="str">
        <f t="shared" si="94"/>
        <v>.0</v>
      </c>
      <c r="G2006" s="37" t="str">
        <f t="shared" si="95"/>
        <v/>
      </c>
    </row>
    <row r="2007" spans="5:7" x14ac:dyDescent="0.45">
      <c r="E2007" s="32" t="str">
        <f t="shared" si="93"/>
        <v>.0</v>
      </c>
      <c r="F2007" s="32" t="str">
        <f t="shared" si="94"/>
        <v>.0</v>
      </c>
      <c r="G2007" s="37" t="str">
        <f t="shared" si="95"/>
        <v/>
      </c>
    </row>
    <row r="2008" spans="5:7" x14ac:dyDescent="0.45">
      <c r="E2008" s="32" t="str">
        <f t="shared" si="93"/>
        <v>.0</v>
      </c>
      <c r="F2008" s="32" t="str">
        <f t="shared" si="94"/>
        <v>.0</v>
      </c>
      <c r="G2008" s="37" t="str">
        <f t="shared" si="95"/>
        <v/>
      </c>
    </row>
    <row r="2009" spans="5:7" x14ac:dyDescent="0.45">
      <c r="E2009" s="32" t="str">
        <f t="shared" si="93"/>
        <v>.0</v>
      </c>
      <c r="F2009" s="32" t="str">
        <f t="shared" si="94"/>
        <v>.0</v>
      </c>
      <c r="G2009" s="37" t="str">
        <f t="shared" si="95"/>
        <v/>
      </c>
    </row>
    <row r="2010" spans="5:7" x14ac:dyDescent="0.45">
      <c r="E2010" s="32" t="str">
        <f t="shared" si="93"/>
        <v>.0</v>
      </c>
      <c r="F2010" s="32" t="str">
        <f t="shared" si="94"/>
        <v>.0</v>
      </c>
      <c r="G2010" s="37" t="str">
        <f t="shared" si="95"/>
        <v/>
      </c>
    </row>
    <row r="2011" spans="5:7" x14ac:dyDescent="0.45">
      <c r="E2011" s="32" t="str">
        <f t="shared" si="93"/>
        <v>.0</v>
      </c>
      <c r="F2011" s="32" t="str">
        <f t="shared" si="94"/>
        <v>.0</v>
      </c>
      <c r="G2011" s="37" t="str">
        <f t="shared" si="95"/>
        <v/>
      </c>
    </row>
    <row r="2012" spans="5:7" x14ac:dyDescent="0.45">
      <c r="E2012" s="32" t="str">
        <f t="shared" si="93"/>
        <v>.0</v>
      </c>
      <c r="F2012" s="32" t="str">
        <f t="shared" si="94"/>
        <v>.0</v>
      </c>
      <c r="G2012" s="37" t="str">
        <f t="shared" si="95"/>
        <v/>
      </c>
    </row>
    <row r="2013" spans="5:7" x14ac:dyDescent="0.45">
      <c r="E2013" s="32" t="str">
        <f t="shared" si="93"/>
        <v>.0</v>
      </c>
      <c r="F2013" s="32" t="str">
        <f t="shared" si="94"/>
        <v>.0</v>
      </c>
      <c r="G2013" s="37" t="str">
        <f t="shared" si="95"/>
        <v/>
      </c>
    </row>
    <row r="2014" spans="5:7" x14ac:dyDescent="0.45">
      <c r="E2014" s="32" t="str">
        <f t="shared" ref="E2014:E2077" si="96">MID(B2014,3,2)&amp;"."&amp;IF(C2014&lt;10,"0"&amp;C2014,C2014)</f>
        <v>.0</v>
      </c>
      <c r="F2014" s="32" t="str">
        <f t="shared" ref="F2014:F2077" si="97">MID(B2014,3,2)&amp;"."&amp;IF(C2014&lt;10,"0"&amp;C2014,C2014)</f>
        <v>.0</v>
      </c>
      <c r="G2014" s="37" t="str">
        <f t="shared" ref="G2014:G2077" si="98">TEXT(D2014,"#,###,")</f>
        <v/>
      </c>
    </row>
    <row r="2015" spans="5:7" x14ac:dyDescent="0.45">
      <c r="E2015" s="32" t="str">
        <f t="shared" si="96"/>
        <v>.0</v>
      </c>
      <c r="F2015" s="32" t="str">
        <f t="shared" si="97"/>
        <v>.0</v>
      </c>
      <c r="G2015" s="37" t="str">
        <f t="shared" si="98"/>
        <v/>
      </c>
    </row>
    <row r="2016" spans="5:7" x14ac:dyDescent="0.45">
      <c r="E2016" s="32" t="str">
        <f t="shared" si="96"/>
        <v>.0</v>
      </c>
      <c r="F2016" s="32" t="str">
        <f t="shared" si="97"/>
        <v>.0</v>
      </c>
      <c r="G2016" s="37" t="str">
        <f t="shared" si="98"/>
        <v/>
      </c>
    </row>
    <row r="2017" spans="5:7" x14ac:dyDescent="0.45">
      <c r="E2017" s="32" t="str">
        <f t="shared" si="96"/>
        <v>.0</v>
      </c>
      <c r="F2017" s="32" t="str">
        <f t="shared" si="97"/>
        <v>.0</v>
      </c>
      <c r="G2017" s="37" t="str">
        <f t="shared" si="98"/>
        <v/>
      </c>
    </row>
    <row r="2018" spans="5:7" x14ac:dyDescent="0.45">
      <c r="E2018" s="32" t="str">
        <f t="shared" si="96"/>
        <v>.0</v>
      </c>
      <c r="F2018" s="32" t="str">
        <f t="shared" si="97"/>
        <v>.0</v>
      </c>
      <c r="G2018" s="37" t="str">
        <f t="shared" si="98"/>
        <v/>
      </c>
    </row>
    <row r="2019" spans="5:7" x14ac:dyDescent="0.45">
      <c r="E2019" s="32" t="str">
        <f t="shared" si="96"/>
        <v>.0</v>
      </c>
      <c r="F2019" s="32" t="str">
        <f t="shared" si="97"/>
        <v>.0</v>
      </c>
      <c r="G2019" s="37" t="str">
        <f t="shared" si="98"/>
        <v/>
      </c>
    </row>
    <row r="2020" spans="5:7" x14ac:dyDescent="0.45">
      <c r="E2020" s="32" t="str">
        <f t="shared" si="96"/>
        <v>.0</v>
      </c>
      <c r="F2020" s="32" t="str">
        <f t="shared" si="97"/>
        <v>.0</v>
      </c>
      <c r="G2020" s="37" t="str">
        <f t="shared" si="98"/>
        <v/>
      </c>
    </row>
    <row r="2021" spans="5:7" x14ac:dyDescent="0.45">
      <c r="E2021" s="32" t="str">
        <f t="shared" si="96"/>
        <v>.0</v>
      </c>
      <c r="F2021" s="32" t="str">
        <f t="shared" si="97"/>
        <v>.0</v>
      </c>
      <c r="G2021" s="37" t="str">
        <f t="shared" si="98"/>
        <v/>
      </c>
    </row>
    <row r="2022" spans="5:7" x14ac:dyDescent="0.45">
      <c r="E2022" s="32" t="str">
        <f t="shared" si="96"/>
        <v>.0</v>
      </c>
      <c r="F2022" s="32" t="str">
        <f t="shared" si="97"/>
        <v>.0</v>
      </c>
      <c r="G2022" s="37" t="str">
        <f t="shared" si="98"/>
        <v/>
      </c>
    </row>
    <row r="2023" spans="5:7" x14ac:dyDescent="0.45">
      <c r="E2023" s="32" t="str">
        <f t="shared" si="96"/>
        <v>.0</v>
      </c>
      <c r="F2023" s="32" t="str">
        <f t="shared" si="97"/>
        <v>.0</v>
      </c>
      <c r="G2023" s="37" t="str">
        <f t="shared" si="98"/>
        <v/>
      </c>
    </row>
    <row r="2024" spans="5:7" x14ac:dyDescent="0.45">
      <c r="E2024" s="32" t="str">
        <f t="shared" si="96"/>
        <v>.0</v>
      </c>
      <c r="F2024" s="32" t="str">
        <f t="shared" si="97"/>
        <v>.0</v>
      </c>
      <c r="G2024" s="37" t="str">
        <f t="shared" si="98"/>
        <v/>
      </c>
    </row>
    <row r="2025" spans="5:7" x14ac:dyDescent="0.45">
      <c r="E2025" s="32" t="str">
        <f t="shared" si="96"/>
        <v>.0</v>
      </c>
      <c r="F2025" s="32" t="str">
        <f t="shared" si="97"/>
        <v>.0</v>
      </c>
      <c r="G2025" s="37" t="str">
        <f t="shared" si="98"/>
        <v/>
      </c>
    </row>
    <row r="2026" spans="5:7" x14ac:dyDescent="0.45">
      <c r="E2026" s="32" t="str">
        <f t="shared" si="96"/>
        <v>.0</v>
      </c>
      <c r="F2026" s="32" t="str">
        <f t="shared" si="97"/>
        <v>.0</v>
      </c>
      <c r="G2026" s="37" t="str">
        <f t="shared" si="98"/>
        <v/>
      </c>
    </row>
    <row r="2027" spans="5:7" x14ac:dyDescent="0.45">
      <c r="E2027" s="32" t="str">
        <f t="shared" si="96"/>
        <v>.0</v>
      </c>
      <c r="F2027" s="32" t="str">
        <f t="shared" si="97"/>
        <v>.0</v>
      </c>
      <c r="G2027" s="37" t="str">
        <f t="shared" si="98"/>
        <v/>
      </c>
    </row>
    <row r="2028" spans="5:7" x14ac:dyDescent="0.45">
      <c r="E2028" s="32" t="str">
        <f t="shared" si="96"/>
        <v>.0</v>
      </c>
      <c r="F2028" s="32" t="str">
        <f t="shared" si="97"/>
        <v>.0</v>
      </c>
      <c r="G2028" s="37" t="str">
        <f t="shared" si="98"/>
        <v/>
      </c>
    </row>
    <row r="2029" spans="5:7" x14ac:dyDescent="0.45">
      <c r="E2029" s="32" t="str">
        <f t="shared" si="96"/>
        <v>.0</v>
      </c>
      <c r="F2029" s="32" t="str">
        <f t="shared" si="97"/>
        <v>.0</v>
      </c>
      <c r="G2029" s="37" t="str">
        <f t="shared" si="98"/>
        <v/>
      </c>
    </row>
    <row r="2030" spans="5:7" x14ac:dyDescent="0.45">
      <c r="E2030" s="32" t="str">
        <f t="shared" si="96"/>
        <v>.0</v>
      </c>
      <c r="F2030" s="32" t="str">
        <f t="shared" si="97"/>
        <v>.0</v>
      </c>
      <c r="G2030" s="37" t="str">
        <f t="shared" si="98"/>
        <v/>
      </c>
    </row>
    <row r="2031" spans="5:7" x14ac:dyDescent="0.45">
      <c r="E2031" s="32" t="str">
        <f t="shared" si="96"/>
        <v>.0</v>
      </c>
      <c r="F2031" s="32" t="str">
        <f t="shared" si="97"/>
        <v>.0</v>
      </c>
      <c r="G2031" s="37" t="str">
        <f t="shared" si="98"/>
        <v/>
      </c>
    </row>
    <row r="2032" spans="5:7" x14ac:dyDescent="0.45">
      <c r="E2032" s="32" t="str">
        <f t="shared" si="96"/>
        <v>.0</v>
      </c>
      <c r="F2032" s="32" t="str">
        <f t="shared" si="97"/>
        <v>.0</v>
      </c>
      <c r="G2032" s="37" t="str">
        <f t="shared" si="98"/>
        <v/>
      </c>
    </row>
    <row r="2033" spans="5:7" x14ac:dyDescent="0.45">
      <c r="E2033" s="32" t="str">
        <f t="shared" si="96"/>
        <v>.0</v>
      </c>
      <c r="F2033" s="32" t="str">
        <f t="shared" si="97"/>
        <v>.0</v>
      </c>
      <c r="G2033" s="37" t="str">
        <f t="shared" si="98"/>
        <v/>
      </c>
    </row>
    <row r="2034" spans="5:7" x14ac:dyDescent="0.45">
      <c r="E2034" s="32" t="str">
        <f t="shared" si="96"/>
        <v>.0</v>
      </c>
      <c r="F2034" s="32" t="str">
        <f t="shared" si="97"/>
        <v>.0</v>
      </c>
      <c r="G2034" s="37" t="str">
        <f t="shared" si="98"/>
        <v/>
      </c>
    </row>
    <row r="2035" spans="5:7" x14ac:dyDescent="0.45">
      <c r="E2035" s="32" t="str">
        <f t="shared" si="96"/>
        <v>.0</v>
      </c>
      <c r="F2035" s="32" t="str">
        <f t="shared" si="97"/>
        <v>.0</v>
      </c>
      <c r="G2035" s="37" t="str">
        <f t="shared" si="98"/>
        <v/>
      </c>
    </row>
    <row r="2036" spans="5:7" x14ac:dyDescent="0.45">
      <c r="E2036" s="32" t="str">
        <f t="shared" si="96"/>
        <v>.0</v>
      </c>
      <c r="F2036" s="32" t="str">
        <f t="shared" si="97"/>
        <v>.0</v>
      </c>
      <c r="G2036" s="37" t="str">
        <f t="shared" si="98"/>
        <v/>
      </c>
    </row>
    <row r="2037" spans="5:7" x14ac:dyDescent="0.45">
      <c r="E2037" s="32" t="str">
        <f t="shared" si="96"/>
        <v>.0</v>
      </c>
      <c r="F2037" s="32" t="str">
        <f t="shared" si="97"/>
        <v>.0</v>
      </c>
      <c r="G2037" s="37" t="str">
        <f t="shared" si="98"/>
        <v/>
      </c>
    </row>
    <row r="2038" spans="5:7" x14ac:dyDescent="0.45">
      <c r="E2038" s="32" t="str">
        <f t="shared" si="96"/>
        <v>.0</v>
      </c>
      <c r="F2038" s="32" t="str">
        <f t="shared" si="97"/>
        <v>.0</v>
      </c>
      <c r="G2038" s="37" t="str">
        <f t="shared" si="98"/>
        <v/>
      </c>
    </row>
    <row r="2039" spans="5:7" x14ac:dyDescent="0.45">
      <c r="E2039" s="32" t="str">
        <f t="shared" si="96"/>
        <v>.0</v>
      </c>
      <c r="F2039" s="32" t="str">
        <f t="shared" si="97"/>
        <v>.0</v>
      </c>
      <c r="G2039" s="37" t="str">
        <f t="shared" si="98"/>
        <v/>
      </c>
    </row>
    <row r="2040" spans="5:7" x14ac:dyDescent="0.45">
      <c r="E2040" s="32" t="str">
        <f t="shared" si="96"/>
        <v>.0</v>
      </c>
      <c r="F2040" s="32" t="str">
        <f t="shared" si="97"/>
        <v>.0</v>
      </c>
      <c r="G2040" s="37" t="str">
        <f t="shared" si="98"/>
        <v/>
      </c>
    </row>
    <row r="2041" spans="5:7" x14ac:dyDescent="0.45">
      <c r="E2041" s="32" t="str">
        <f t="shared" si="96"/>
        <v>.0</v>
      </c>
      <c r="F2041" s="32" t="str">
        <f t="shared" si="97"/>
        <v>.0</v>
      </c>
      <c r="G2041" s="37" t="str">
        <f t="shared" si="98"/>
        <v/>
      </c>
    </row>
    <row r="2042" spans="5:7" x14ac:dyDescent="0.45">
      <c r="E2042" s="32" t="str">
        <f t="shared" si="96"/>
        <v>.0</v>
      </c>
      <c r="F2042" s="32" t="str">
        <f t="shared" si="97"/>
        <v>.0</v>
      </c>
      <c r="G2042" s="37" t="str">
        <f t="shared" si="98"/>
        <v/>
      </c>
    </row>
    <row r="2043" spans="5:7" x14ac:dyDescent="0.45">
      <c r="E2043" s="32" t="str">
        <f t="shared" si="96"/>
        <v>.0</v>
      </c>
      <c r="F2043" s="32" t="str">
        <f t="shared" si="97"/>
        <v>.0</v>
      </c>
      <c r="G2043" s="37" t="str">
        <f t="shared" si="98"/>
        <v/>
      </c>
    </row>
    <row r="2044" spans="5:7" x14ac:dyDescent="0.45">
      <c r="E2044" s="32" t="str">
        <f t="shared" si="96"/>
        <v>.0</v>
      </c>
      <c r="F2044" s="32" t="str">
        <f t="shared" si="97"/>
        <v>.0</v>
      </c>
      <c r="G2044" s="37" t="str">
        <f t="shared" si="98"/>
        <v/>
      </c>
    </row>
    <row r="2045" spans="5:7" x14ac:dyDescent="0.45">
      <c r="E2045" s="32" t="str">
        <f t="shared" si="96"/>
        <v>.0</v>
      </c>
      <c r="F2045" s="32" t="str">
        <f t="shared" si="97"/>
        <v>.0</v>
      </c>
      <c r="G2045" s="37" t="str">
        <f t="shared" si="98"/>
        <v/>
      </c>
    </row>
    <row r="2046" spans="5:7" x14ac:dyDescent="0.45">
      <c r="E2046" s="32" t="str">
        <f t="shared" si="96"/>
        <v>.0</v>
      </c>
      <c r="F2046" s="32" t="str">
        <f t="shared" si="97"/>
        <v>.0</v>
      </c>
      <c r="G2046" s="37" t="str">
        <f t="shared" si="98"/>
        <v/>
      </c>
    </row>
    <row r="2047" spans="5:7" x14ac:dyDescent="0.45">
      <c r="E2047" s="32" t="str">
        <f t="shared" si="96"/>
        <v>.0</v>
      </c>
      <c r="F2047" s="32" t="str">
        <f t="shared" si="97"/>
        <v>.0</v>
      </c>
      <c r="G2047" s="37" t="str">
        <f t="shared" si="98"/>
        <v/>
      </c>
    </row>
    <row r="2048" spans="5:7" x14ac:dyDescent="0.45">
      <c r="E2048" s="32" t="str">
        <f t="shared" si="96"/>
        <v>.0</v>
      </c>
      <c r="F2048" s="32" t="str">
        <f t="shared" si="97"/>
        <v>.0</v>
      </c>
      <c r="G2048" s="37" t="str">
        <f t="shared" si="98"/>
        <v/>
      </c>
    </row>
    <row r="2049" spans="5:7" x14ac:dyDescent="0.45">
      <c r="E2049" s="32" t="str">
        <f t="shared" si="96"/>
        <v>.0</v>
      </c>
      <c r="F2049" s="32" t="str">
        <f t="shared" si="97"/>
        <v>.0</v>
      </c>
      <c r="G2049" s="37" t="str">
        <f t="shared" si="98"/>
        <v/>
      </c>
    </row>
    <row r="2050" spans="5:7" x14ac:dyDescent="0.45">
      <c r="E2050" s="32" t="str">
        <f t="shared" si="96"/>
        <v>.0</v>
      </c>
      <c r="F2050" s="32" t="str">
        <f t="shared" si="97"/>
        <v>.0</v>
      </c>
      <c r="G2050" s="37" t="str">
        <f t="shared" si="98"/>
        <v/>
      </c>
    </row>
    <row r="2051" spans="5:7" x14ac:dyDescent="0.45">
      <c r="E2051" s="32" t="str">
        <f t="shared" si="96"/>
        <v>.0</v>
      </c>
      <c r="F2051" s="32" t="str">
        <f t="shared" si="97"/>
        <v>.0</v>
      </c>
      <c r="G2051" s="37" t="str">
        <f t="shared" si="98"/>
        <v/>
      </c>
    </row>
    <row r="2052" spans="5:7" x14ac:dyDescent="0.45">
      <c r="E2052" s="32" t="str">
        <f t="shared" si="96"/>
        <v>.0</v>
      </c>
      <c r="F2052" s="32" t="str">
        <f t="shared" si="97"/>
        <v>.0</v>
      </c>
      <c r="G2052" s="37" t="str">
        <f t="shared" si="98"/>
        <v/>
      </c>
    </row>
    <row r="2053" spans="5:7" x14ac:dyDescent="0.45">
      <c r="E2053" s="32" t="str">
        <f t="shared" si="96"/>
        <v>.0</v>
      </c>
      <c r="F2053" s="32" t="str">
        <f t="shared" si="97"/>
        <v>.0</v>
      </c>
      <c r="G2053" s="37" t="str">
        <f t="shared" si="98"/>
        <v/>
      </c>
    </row>
    <row r="2054" spans="5:7" x14ac:dyDescent="0.45">
      <c r="E2054" s="32" t="str">
        <f t="shared" si="96"/>
        <v>.0</v>
      </c>
      <c r="F2054" s="32" t="str">
        <f t="shared" si="97"/>
        <v>.0</v>
      </c>
      <c r="G2054" s="37" t="str">
        <f t="shared" si="98"/>
        <v/>
      </c>
    </row>
    <row r="2055" spans="5:7" x14ac:dyDescent="0.45">
      <c r="E2055" s="32" t="str">
        <f t="shared" si="96"/>
        <v>.0</v>
      </c>
      <c r="F2055" s="32" t="str">
        <f t="shared" si="97"/>
        <v>.0</v>
      </c>
      <c r="G2055" s="37" t="str">
        <f t="shared" si="98"/>
        <v/>
      </c>
    </row>
    <row r="2056" spans="5:7" x14ac:dyDescent="0.45">
      <c r="E2056" s="32" t="str">
        <f t="shared" si="96"/>
        <v>.0</v>
      </c>
      <c r="F2056" s="32" t="str">
        <f t="shared" si="97"/>
        <v>.0</v>
      </c>
      <c r="G2056" s="37" t="str">
        <f t="shared" si="98"/>
        <v/>
      </c>
    </row>
    <row r="2057" spans="5:7" x14ac:dyDescent="0.45">
      <c r="E2057" s="32" t="str">
        <f t="shared" si="96"/>
        <v>.0</v>
      </c>
      <c r="F2057" s="32" t="str">
        <f t="shared" si="97"/>
        <v>.0</v>
      </c>
      <c r="G2057" s="37" t="str">
        <f t="shared" si="98"/>
        <v/>
      </c>
    </row>
    <row r="2058" spans="5:7" x14ac:dyDescent="0.45">
      <c r="E2058" s="32" t="str">
        <f t="shared" si="96"/>
        <v>.0</v>
      </c>
      <c r="F2058" s="32" t="str">
        <f t="shared" si="97"/>
        <v>.0</v>
      </c>
      <c r="G2058" s="37" t="str">
        <f t="shared" si="98"/>
        <v/>
      </c>
    </row>
    <row r="2059" spans="5:7" x14ac:dyDescent="0.45">
      <c r="E2059" s="32" t="str">
        <f t="shared" si="96"/>
        <v>.0</v>
      </c>
      <c r="F2059" s="32" t="str">
        <f t="shared" si="97"/>
        <v>.0</v>
      </c>
      <c r="G2059" s="37" t="str">
        <f t="shared" si="98"/>
        <v/>
      </c>
    </row>
    <row r="2060" spans="5:7" x14ac:dyDescent="0.45">
      <c r="E2060" s="32" t="str">
        <f t="shared" si="96"/>
        <v>.0</v>
      </c>
      <c r="F2060" s="32" t="str">
        <f t="shared" si="97"/>
        <v>.0</v>
      </c>
      <c r="G2060" s="37" t="str">
        <f t="shared" si="98"/>
        <v/>
      </c>
    </row>
    <row r="2061" spans="5:7" x14ac:dyDescent="0.45">
      <c r="E2061" s="32" t="str">
        <f t="shared" si="96"/>
        <v>.0</v>
      </c>
      <c r="F2061" s="32" t="str">
        <f t="shared" si="97"/>
        <v>.0</v>
      </c>
      <c r="G2061" s="37" t="str">
        <f t="shared" si="98"/>
        <v/>
      </c>
    </row>
    <row r="2062" spans="5:7" x14ac:dyDescent="0.45">
      <c r="E2062" s="32" t="str">
        <f t="shared" si="96"/>
        <v>.0</v>
      </c>
      <c r="F2062" s="32" t="str">
        <f t="shared" si="97"/>
        <v>.0</v>
      </c>
      <c r="G2062" s="37" t="str">
        <f t="shared" si="98"/>
        <v/>
      </c>
    </row>
    <row r="2063" spans="5:7" x14ac:dyDescent="0.45">
      <c r="E2063" s="32" t="str">
        <f t="shared" si="96"/>
        <v>.0</v>
      </c>
      <c r="F2063" s="32" t="str">
        <f t="shared" si="97"/>
        <v>.0</v>
      </c>
      <c r="G2063" s="37" t="str">
        <f t="shared" si="98"/>
        <v/>
      </c>
    </row>
    <row r="2064" spans="5:7" x14ac:dyDescent="0.45">
      <c r="E2064" s="32" t="str">
        <f t="shared" si="96"/>
        <v>.0</v>
      </c>
      <c r="F2064" s="32" t="str">
        <f t="shared" si="97"/>
        <v>.0</v>
      </c>
      <c r="G2064" s="37" t="str">
        <f t="shared" si="98"/>
        <v/>
      </c>
    </row>
    <row r="2065" spans="5:7" x14ac:dyDescent="0.45">
      <c r="E2065" s="32" t="str">
        <f t="shared" si="96"/>
        <v>.0</v>
      </c>
      <c r="F2065" s="32" t="str">
        <f t="shared" si="97"/>
        <v>.0</v>
      </c>
      <c r="G2065" s="37" t="str">
        <f t="shared" si="98"/>
        <v/>
      </c>
    </row>
    <row r="2066" spans="5:7" x14ac:dyDescent="0.45">
      <c r="E2066" s="32" t="str">
        <f t="shared" si="96"/>
        <v>.0</v>
      </c>
      <c r="F2066" s="32" t="str">
        <f t="shared" si="97"/>
        <v>.0</v>
      </c>
      <c r="G2066" s="37" t="str">
        <f t="shared" si="98"/>
        <v/>
      </c>
    </row>
    <row r="2067" spans="5:7" x14ac:dyDescent="0.45">
      <c r="E2067" s="32" t="str">
        <f t="shared" si="96"/>
        <v>.0</v>
      </c>
      <c r="F2067" s="32" t="str">
        <f t="shared" si="97"/>
        <v>.0</v>
      </c>
      <c r="G2067" s="37" t="str">
        <f t="shared" si="98"/>
        <v/>
      </c>
    </row>
    <row r="2068" spans="5:7" x14ac:dyDescent="0.45">
      <c r="E2068" s="32" t="str">
        <f t="shared" si="96"/>
        <v>.0</v>
      </c>
      <c r="F2068" s="32" t="str">
        <f t="shared" si="97"/>
        <v>.0</v>
      </c>
      <c r="G2068" s="37" t="str">
        <f t="shared" si="98"/>
        <v/>
      </c>
    </row>
    <row r="2069" spans="5:7" x14ac:dyDescent="0.45">
      <c r="E2069" s="32" t="str">
        <f t="shared" si="96"/>
        <v>.0</v>
      </c>
      <c r="F2069" s="32" t="str">
        <f t="shared" si="97"/>
        <v>.0</v>
      </c>
      <c r="G2069" s="37" t="str">
        <f t="shared" si="98"/>
        <v/>
      </c>
    </row>
    <row r="2070" spans="5:7" x14ac:dyDescent="0.45">
      <c r="E2070" s="32" t="str">
        <f t="shared" si="96"/>
        <v>.0</v>
      </c>
      <c r="F2070" s="32" t="str">
        <f t="shared" si="97"/>
        <v>.0</v>
      </c>
      <c r="G2070" s="37" t="str">
        <f t="shared" si="98"/>
        <v/>
      </c>
    </row>
    <row r="2071" spans="5:7" x14ac:dyDescent="0.45">
      <c r="E2071" s="32" t="str">
        <f t="shared" si="96"/>
        <v>.0</v>
      </c>
      <c r="F2071" s="32" t="str">
        <f t="shared" si="97"/>
        <v>.0</v>
      </c>
      <c r="G2071" s="37" t="str">
        <f t="shared" si="98"/>
        <v/>
      </c>
    </row>
    <row r="2072" spans="5:7" x14ac:dyDescent="0.45">
      <c r="E2072" s="32" t="str">
        <f t="shared" si="96"/>
        <v>.0</v>
      </c>
      <c r="F2072" s="32" t="str">
        <f t="shared" si="97"/>
        <v>.0</v>
      </c>
      <c r="G2072" s="37" t="str">
        <f t="shared" si="98"/>
        <v/>
      </c>
    </row>
    <row r="2073" spans="5:7" x14ac:dyDescent="0.45">
      <c r="E2073" s="32" t="str">
        <f t="shared" si="96"/>
        <v>.0</v>
      </c>
      <c r="F2073" s="32" t="str">
        <f t="shared" si="97"/>
        <v>.0</v>
      </c>
      <c r="G2073" s="37" t="str">
        <f t="shared" si="98"/>
        <v/>
      </c>
    </row>
    <row r="2074" spans="5:7" x14ac:dyDescent="0.45">
      <c r="E2074" s="32" t="str">
        <f t="shared" si="96"/>
        <v>.0</v>
      </c>
      <c r="F2074" s="32" t="str">
        <f t="shared" si="97"/>
        <v>.0</v>
      </c>
      <c r="G2074" s="37" t="str">
        <f t="shared" si="98"/>
        <v/>
      </c>
    </row>
    <row r="2075" spans="5:7" x14ac:dyDescent="0.45">
      <c r="E2075" s="32" t="str">
        <f t="shared" si="96"/>
        <v>.0</v>
      </c>
      <c r="F2075" s="32" t="str">
        <f t="shared" si="97"/>
        <v>.0</v>
      </c>
      <c r="G2075" s="37" t="str">
        <f t="shared" si="98"/>
        <v/>
      </c>
    </row>
    <row r="2076" spans="5:7" x14ac:dyDescent="0.45">
      <c r="E2076" s="32" t="str">
        <f t="shared" si="96"/>
        <v>.0</v>
      </c>
      <c r="F2076" s="32" t="str">
        <f t="shared" si="97"/>
        <v>.0</v>
      </c>
      <c r="G2076" s="37" t="str">
        <f t="shared" si="98"/>
        <v/>
      </c>
    </row>
    <row r="2077" spans="5:7" x14ac:dyDescent="0.45">
      <c r="E2077" s="32" t="str">
        <f t="shared" si="96"/>
        <v>.0</v>
      </c>
      <c r="F2077" s="32" t="str">
        <f t="shared" si="97"/>
        <v>.0</v>
      </c>
      <c r="G2077" s="37" t="str">
        <f t="shared" si="98"/>
        <v/>
      </c>
    </row>
    <row r="2078" spans="5:7" x14ac:dyDescent="0.45">
      <c r="E2078" s="32" t="str">
        <f t="shared" ref="E2078:E2141" si="99">MID(B2078,3,2)&amp;"."&amp;IF(C2078&lt;10,"0"&amp;C2078,C2078)</f>
        <v>.0</v>
      </c>
      <c r="F2078" s="32" t="str">
        <f t="shared" ref="F2078:F2141" si="100">MID(B2078,3,2)&amp;"."&amp;IF(C2078&lt;10,"0"&amp;C2078,C2078)</f>
        <v>.0</v>
      </c>
      <c r="G2078" s="37" t="str">
        <f t="shared" ref="G2078:G2141" si="101">TEXT(D2078,"#,###,")</f>
        <v/>
      </c>
    </row>
    <row r="2079" spans="5:7" x14ac:dyDescent="0.45">
      <c r="E2079" s="32" t="str">
        <f t="shared" si="99"/>
        <v>.0</v>
      </c>
      <c r="F2079" s="32" t="str">
        <f t="shared" si="100"/>
        <v>.0</v>
      </c>
      <c r="G2079" s="37" t="str">
        <f t="shared" si="101"/>
        <v/>
      </c>
    </row>
    <row r="2080" spans="5:7" x14ac:dyDescent="0.45">
      <c r="E2080" s="32" t="str">
        <f t="shared" si="99"/>
        <v>.0</v>
      </c>
      <c r="F2080" s="32" t="str">
        <f t="shared" si="100"/>
        <v>.0</v>
      </c>
      <c r="G2080" s="37" t="str">
        <f t="shared" si="101"/>
        <v/>
      </c>
    </row>
    <row r="2081" spans="5:7" x14ac:dyDescent="0.45">
      <c r="E2081" s="32" t="str">
        <f t="shared" si="99"/>
        <v>.0</v>
      </c>
      <c r="F2081" s="32" t="str">
        <f t="shared" si="100"/>
        <v>.0</v>
      </c>
      <c r="G2081" s="37" t="str">
        <f t="shared" si="101"/>
        <v/>
      </c>
    </row>
    <row r="2082" spans="5:7" x14ac:dyDescent="0.45">
      <c r="E2082" s="32" t="str">
        <f t="shared" si="99"/>
        <v>.0</v>
      </c>
      <c r="F2082" s="32" t="str">
        <f t="shared" si="100"/>
        <v>.0</v>
      </c>
      <c r="G2082" s="37" t="str">
        <f t="shared" si="101"/>
        <v/>
      </c>
    </row>
    <row r="2083" spans="5:7" x14ac:dyDescent="0.45">
      <c r="E2083" s="32" t="str">
        <f t="shared" si="99"/>
        <v>.0</v>
      </c>
      <c r="F2083" s="32" t="str">
        <f t="shared" si="100"/>
        <v>.0</v>
      </c>
      <c r="G2083" s="37" t="str">
        <f t="shared" si="101"/>
        <v/>
      </c>
    </row>
    <row r="2084" spans="5:7" x14ac:dyDescent="0.45">
      <c r="E2084" s="32" t="str">
        <f t="shared" si="99"/>
        <v>.0</v>
      </c>
      <c r="F2084" s="32" t="str">
        <f t="shared" si="100"/>
        <v>.0</v>
      </c>
      <c r="G2084" s="37" t="str">
        <f t="shared" si="101"/>
        <v/>
      </c>
    </row>
    <row r="2085" spans="5:7" x14ac:dyDescent="0.45">
      <c r="E2085" s="32" t="str">
        <f t="shared" si="99"/>
        <v>.0</v>
      </c>
      <c r="F2085" s="32" t="str">
        <f t="shared" si="100"/>
        <v>.0</v>
      </c>
      <c r="G2085" s="37" t="str">
        <f t="shared" si="101"/>
        <v/>
      </c>
    </row>
    <row r="2086" spans="5:7" x14ac:dyDescent="0.45">
      <c r="E2086" s="32" t="str">
        <f t="shared" si="99"/>
        <v>.0</v>
      </c>
      <c r="F2086" s="32" t="str">
        <f t="shared" si="100"/>
        <v>.0</v>
      </c>
      <c r="G2086" s="37" t="str">
        <f t="shared" si="101"/>
        <v/>
      </c>
    </row>
    <row r="2087" spans="5:7" x14ac:dyDescent="0.45">
      <c r="E2087" s="32" t="str">
        <f t="shared" si="99"/>
        <v>.0</v>
      </c>
      <c r="F2087" s="32" t="str">
        <f t="shared" si="100"/>
        <v>.0</v>
      </c>
      <c r="G2087" s="37" t="str">
        <f t="shared" si="101"/>
        <v/>
      </c>
    </row>
    <row r="2088" spans="5:7" x14ac:dyDescent="0.45">
      <c r="E2088" s="32" t="str">
        <f t="shared" si="99"/>
        <v>.0</v>
      </c>
      <c r="F2088" s="32" t="str">
        <f t="shared" si="100"/>
        <v>.0</v>
      </c>
      <c r="G2088" s="37" t="str">
        <f t="shared" si="101"/>
        <v/>
      </c>
    </row>
    <row r="2089" spans="5:7" x14ac:dyDescent="0.45">
      <c r="E2089" s="32" t="str">
        <f t="shared" si="99"/>
        <v>.0</v>
      </c>
      <c r="F2089" s="32" t="str">
        <f t="shared" si="100"/>
        <v>.0</v>
      </c>
      <c r="G2089" s="37" t="str">
        <f t="shared" si="101"/>
        <v/>
      </c>
    </row>
    <row r="2090" spans="5:7" x14ac:dyDescent="0.45">
      <c r="E2090" s="32" t="str">
        <f t="shared" si="99"/>
        <v>.0</v>
      </c>
      <c r="F2090" s="32" t="str">
        <f t="shared" si="100"/>
        <v>.0</v>
      </c>
      <c r="G2090" s="37" t="str">
        <f t="shared" si="101"/>
        <v/>
      </c>
    </row>
    <row r="2091" spans="5:7" x14ac:dyDescent="0.45">
      <c r="E2091" s="32" t="str">
        <f t="shared" si="99"/>
        <v>.0</v>
      </c>
      <c r="F2091" s="32" t="str">
        <f t="shared" si="100"/>
        <v>.0</v>
      </c>
      <c r="G2091" s="37" t="str">
        <f t="shared" si="101"/>
        <v/>
      </c>
    </row>
    <row r="2092" spans="5:7" x14ac:dyDescent="0.45">
      <c r="E2092" s="32" t="str">
        <f t="shared" si="99"/>
        <v>.0</v>
      </c>
      <c r="F2092" s="32" t="str">
        <f t="shared" si="100"/>
        <v>.0</v>
      </c>
      <c r="G2092" s="37" t="str">
        <f t="shared" si="101"/>
        <v/>
      </c>
    </row>
    <row r="2093" spans="5:7" x14ac:dyDescent="0.45">
      <c r="E2093" s="32" t="str">
        <f t="shared" si="99"/>
        <v>.0</v>
      </c>
      <c r="F2093" s="32" t="str">
        <f t="shared" si="100"/>
        <v>.0</v>
      </c>
      <c r="G2093" s="37" t="str">
        <f t="shared" si="101"/>
        <v/>
      </c>
    </row>
    <row r="2094" spans="5:7" x14ac:dyDescent="0.45">
      <c r="E2094" s="32" t="str">
        <f t="shared" si="99"/>
        <v>.0</v>
      </c>
      <c r="F2094" s="32" t="str">
        <f t="shared" si="100"/>
        <v>.0</v>
      </c>
      <c r="G2094" s="37" t="str">
        <f t="shared" si="101"/>
        <v/>
      </c>
    </row>
    <row r="2095" spans="5:7" x14ac:dyDescent="0.45">
      <c r="E2095" s="32" t="str">
        <f t="shared" si="99"/>
        <v>.0</v>
      </c>
      <c r="F2095" s="32" t="str">
        <f t="shared" si="100"/>
        <v>.0</v>
      </c>
      <c r="G2095" s="37" t="str">
        <f t="shared" si="101"/>
        <v/>
      </c>
    </row>
    <row r="2096" spans="5:7" x14ac:dyDescent="0.45">
      <c r="E2096" s="32" t="str">
        <f t="shared" si="99"/>
        <v>.0</v>
      </c>
      <c r="F2096" s="32" t="str">
        <f t="shared" si="100"/>
        <v>.0</v>
      </c>
      <c r="G2096" s="37" t="str">
        <f t="shared" si="101"/>
        <v/>
      </c>
    </row>
    <row r="2097" spans="5:7" x14ac:dyDescent="0.45">
      <c r="E2097" s="32" t="str">
        <f t="shared" si="99"/>
        <v>.0</v>
      </c>
      <c r="F2097" s="32" t="str">
        <f t="shared" si="100"/>
        <v>.0</v>
      </c>
      <c r="G2097" s="37" t="str">
        <f t="shared" si="101"/>
        <v/>
      </c>
    </row>
    <row r="2098" spans="5:7" x14ac:dyDescent="0.45">
      <c r="E2098" s="32" t="str">
        <f t="shared" si="99"/>
        <v>.0</v>
      </c>
      <c r="F2098" s="32" t="str">
        <f t="shared" si="100"/>
        <v>.0</v>
      </c>
      <c r="G2098" s="37" t="str">
        <f t="shared" si="101"/>
        <v/>
      </c>
    </row>
    <row r="2099" spans="5:7" x14ac:dyDescent="0.45">
      <c r="E2099" s="32" t="str">
        <f t="shared" si="99"/>
        <v>.0</v>
      </c>
      <c r="F2099" s="32" t="str">
        <f t="shared" si="100"/>
        <v>.0</v>
      </c>
      <c r="G2099" s="37" t="str">
        <f t="shared" si="101"/>
        <v/>
      </c>
    </row>
    <row r="2100" spans="5:7" x14ac:dyDescent="0.45">
      <c r="E2100" s="32" t="str">
        <f t="shared" si="99"/>
        <v>.0</v>
      </c>
      <c r="F2100" s="32" t="str">
        <f t="shared" si="100"/>
        <v>.0</v>
      </c>
      <c r="G2100" s="37" t="str">
        <f t="shared" si="101"/>
        <v/>
      </c>
    </row>
    <row r="2101" spans="5:7" x14ac:dyDescent="0.45">
      <c r="E2101" s="32" t="str">
        <f t="shared" si="99"/>
        <v>.0</v>
      </c>
      <c r="F2101" s="32" t="str">
        <f t="shared" si="100"/>
        <v>.0</v>
      </c>
      <c r="G2101" s="37" t="str">
        <f t="shared" si="101"/>
        <v/>
      </c>
    </row>
    <row r="2102" spans="5:7" x14ac:dyDescent="0.45">
      <c r="E2102" s="32" t="str">
        <f t="shared" si="99"/>
        <v>.0</v>
      </c>
      <c r="F2102" s="32" t="str">
        <f t="shared" si="100"/>
        <v>.0</v>
      </c>
      <c r="G2102" s="37" t="str">
        <f t="shared" si="101"/>
        <v/>
      </c>
    </row>
    <row r="2103" spans="5:7" x14ac:dyDescent="0.45">
      <c r="E2103" s="32" t="str">
        <f t="shared" si="99"/>
        <v>.0</v>
      </c>
      <c r="F2103" s="32" t="str">
        <f t="shared" si="100"/>
        <v>.0</v>
      </c>
      <c r="G2103" s="37" t="str">
        <f t="shared" si="101"/>
        <v/>
      </c>
    </row>
    <row r="2104" spans="5:7" x14ac:dyDescent="0.45">
      <c r="E2104" s="32" t="str">
        <f t="shared" si="99"/>
        <v>.0</v>
      </c>
      <c r="F2104" s="32" t="str">
        <f t="shared" si="100"/>
        <v>.0</v>
      </c>
      <c r="G2104" s="37" t="str">
        <f t="shared" si="101"/>
        <v/>
      </c>
    </row>
    <row r="2105" spans="5:7" x14ac:dyDescent="0.45">
      <c r="E2105" s="32" t="str">
        <f t="shared" si="99"/>
        <v>.0</v>
      </c>
      <c r="F2105" s="32" t="str">
        <f t="shared" si="100"/>
        <v>.0</v>
      </c>
      <c r="G2105" s="37" t="str">
        <f t="shared" si="101"/>
        <v/>
      </c>
    </row>
    <row r="2106" spans="5:7" x14ac:dyDescent="0.45">
      <c r="E2106" s="32" t="str">
        <f t="shared" si="99"/>
        <v>.0</v>
      </c>
      <c r="F2106" s="32" t="str">
        <f t="shared" si="100"/>
        <v>.0</v>
      </c>
      <c r="G2106" s="37" t="str">
        <f t="shared" si="101"/>
        <v/>
      </c>
    </row>
    <row r="2107" spans="5:7" x14ac:dyDescent="0.45">
      <c r="E2107" s="32" t="str">
        <f t="shared" si="99"/>
        <v>.0</v>
      </c>
      <c r="F2107" s="32" t="str">
        <f t="shared" si="100"/>
        <v>.0</v>
      </c>
      <c r="G2107" s="37" t="str">
        <f t="shared" si="101"/>
        <v/>
      </c>
    </row>
    <row r="2108" spans="5:7" x14ac:dyDescent="0.45">
      <c r="E2108" s="32" t="str">
        <f t="shared" si="99"/>
        <v>.0</v>
      </c>
      <c r="F2108" s="32" t="str">
        <f t="shared" si="100"/>
        <v>.0</v>
      </c>
      <c r="G2108" s="37" t="str">
        <f t="shared" si="101"/>
        <v/>
      </c>
    </row>
    <row r="2109" spans="5:7" x14ac:dyDescent="0.45">
      <c r="E2109" s="32" t="str">
        <f t="shared" si="99"/>
        <v>.0</v>
      </c>
      <c r="F2109" s="32" t="str">
        <f t="shared" si="100"/>
        <v>.0</v>
      </c>
      <c r="G2109" s="37" t="str">
        <f t="shared" si="101"/>
        <v/>
      </c>
    </row>
    <row r="2110" spans="5:7" x14ac:dyDescent="0.45">
      <c r="E2110" s="32" t="str">
        <f t="shared" si="99"/>
        <v>.0</v>
      </c>
      <c r="F2110" s="32" t="str">
        <f t="shared" si="100"/>
        <v>.0</v>
      </c>
      <c r="G2110" s="37" t="str">
        <f t="shared" si="101"/>
        <v/>
      </c>
    </row>
    <row r="2111" spans="5:7" x14ac:dyDescent="0.45">
      <c r="E2111" s="32" t="str">
        <f t="shared" si="99"/>
        <v>.0</v>
      </c>
      <c r="F2111" s="32" t="str">
        <f t="shared" si="100"/>
        <v>.0</v>
      </c>
      <c r="G2111" s="37" t="str">
        <f t="shared" si="101"/>
        <v/>
      </c>
    </row>
    <row r="2112" spans="5:7" x14ac:dyDescent="0.45">
      <c r="E2112" s="32" t="str">
        <f t="shared" si="99"/>
        <v>.0</v>
      </c>
      <c r="F2112" s="32" t="str">
        <f t="shared" si="100"/>
        <v>.0</v>
      </c>
      <c r="G2112" s="37" t="str">
        <f t="shared" si="101"/>
        <v/>
      </c>
    </row>
    <row r="2113" spans="5:7" x14ac:dyDescent="0.45">
      <c r="E2113" s="32" t="str">
        <f t="shared" si="99"/>
        <v>.0</v>
      </c>
      <c r="F2113" s="32" t="str">
        <f t="shared" si="100"/>
        <v>.0</v>
      </c>
      <c r="G2113" s="37" t="str">
        <f t="shared" si="101"/>
        <v/>
      </c>
    </row>
    <row r="2114" spans="5:7" x14ac:dyDescent="0.45">
      <c r="E2114" s="32" t="str">
        <f t="shared" si="99"/>
        <v>.0</v>
      </c>
      <c r="F2114" s="32" t="str">
        <f t="shared" si="100"/>
        <v>.0</v>
      </c>
      <c r="G2114" s="37" t="str">
        <f t="shared" si="101"/>
        <v/>
      </c>
    </row>
    <row r="2115" spans="5:7" x14ac:dyDescent="0.45">
      <c r="E2115" s="32" t="str">
        <f t="shared" si="99"/>
        <v>.0</v>
      </c>
      <c r="F2115" s="32" t="str">
        <f t="shared" si="100"/>
        <v>.0</v>
      </c>
      <c r="G2115" s="37" t="str">
        <f t="shared" si="101"/>
        <v/>
      </c>
    </row>
    <row r="2116" spans="5:7" x14ac:dyDescent="0.45">
      <c r="E2116" s="32" t="str">
        <f t="shared" si="99"/>
        <v>.0</v>
      </c>
      <c r="F2116" s="32" t="str">
        <f t="shared" si="100"/>
        <v>.0</v>
      </c>
      <c r="G2116" s="37" t="str">
        <f t="shared" si="101"/>
        <v/>
      </c>
    </row>
    <row r="2117" spans="5:7" x14ac:dyDescent="0.45">
      <c r="E2117" s="32" t="str">
        <f t="shared" si="99"/>
        <v>.0</v>
      </c>
      <c r="F2117" s="32" t="str">
        <f t="shared" si="100"/>
        <v>.0</v>
      </c>
      <c r="G2117" s="37" t="str">
        <f t="shared" si="101"/>
        <v/>
      </c>
    </row>
    <row r="2118" spans="5:7" x14ac:dyDescent="0.45">
      <c r="E2118" s="32" t="str">
        <f t="shared" si="99"/>
        <v>.0</v>
      </c>
      <c r="F2118" s="32" t="str">
        <f t="shared" si="100"/>
        <v>.0</v>
      </c>
      <c r="G2118" s="37" t="str">
        <f t="shared" si="101"/>
        <v/>
      </c>
    </row>
    <row r="2119" spans="5:7" x14ac:dyDescent="0.45">
      <c r="E2119" s="32" t="str">
        <f t="shared" si="99"/>
        <v>.0</v>
      </c>
      <c r="F2119" s="32" t="str">
        <f t="shared" si="100"/>
        <v>.0</v>
      </c>
      <c r="G2119" s="37" t="str">
        <f t="shared" si="101"/>
        <v/>
      </c>
    </row>
    <row r="2120" spans="5:7" x14ac:dyDescent="0.45">
      <c r="E2120" s="32" t="str">
        <f t="shared" si="99"/>
        <v>.0</v>
      </c>
      <c r="F2120" s="32" t="str">
        <f t="shared" si="100"/>
        <v>.0</v>
      </c>
      <c r="G2120" s="37" t="str">
        <f t="shared" si="101"/>
        <v/>
      </c>
    </row>
    <row r="2121" spans="5:7" x14ac:dyDescent="0.45">
      <c r="E2121" s="32" t="str">
        <f t="shared" si="99"/>
        <v>.0</v>
      </c>
      <c r="F2121" s="32" t="str">
        <f t="shared" si="100"/>
        <v>.0</v>
      </c>
      <c r="G2121" s="37" t="str">
        <f t="shared" si="101"/>
        <v/>
      </c>
    </row>
    <row r="2122" spans="5:7" x14ac:dyDescent="0.45">
      <c r="E2122" s="32" t="str">
        <f t="shared" si="99"/>
        <v>.0</v>
      </c>
      <c r="F2122" s="32" t="str">
        <f t="shared" si="100"/>
        <v>.0</v>
      </c>
      <c r="G2122" s="37" t="str">
        <f t="shared" si="101"/>
        <v/>
      </c>
    </row>
    <row r="2123" spans="5:7" x14ac:dyDescent="0.45">
      <c r="E2123" s="32" t="str">
        <f t="shared" si="99"/>
        <v>.0</v>
      </c>
      <c r="F2123" s="32" t="str">
        <f t="shared" si="100"/>
        <v>.0</v>
      </c>
      <c r="G2123" s="37" t="str">
        <f t="shared" si="101"/>
        <v/>
      </c>
    </row>
    <row r="2124" spans="5:7" x14ac:dyDescent="0.45">
      <c r="E2124" s="32" t="str">
        <f t="shared" si="99"/>
        <v>.0</v>
      </c>
      <c r="F2124" s="32" t="str">
        <f t="shared" si="100"/>
        <v>.0</v>
      </c>
      <c r="G2124" s="37" t="str">
        <f t="shared" si="101"/>
        <v/>
      </c>
    </row>
    <row r="2125" spans="5:7" x14ac:dyDescent="0.45">
      <c r="E2125" s="32" t="str">
        <f t="shared" si="99"/>
        <v>.0</v>
      </c>
      <c r="F2125" s="32" t="str">
        <f t="shared" si="100"/>
        <v>.0</v>
      </c>
      <c r="G2125" s="37" t="str">
        <f t="shared" si="101"/>
        <v/>
      </c>
    </row>
    <row r="2126" spans="5:7" x14ac:dyDescent="0.45">
      <c r="E2126" s="32" t="str">
        <f t="shared" si="99"/>
        <v>.0</v>
      </c>
      <c r="F2126" s="32" t="str">
        <f t="shared" si="100"/>
        <v>.0</v>
      </c>
      <c r="G2126" s="37" t="str">
        <f t="shared" si="101"/>
        <v/>
      </c>
    </row>
    <row r="2127" spans="5:7" x14ac:dyDescent="0.45">
      <c r="E2127" s="32" t="str">
        <f t="shared" si="99"/>
        <v>.0</v>
      </c>
      <c r="F2127" s="32" t="str">
        <f t="shared" si="100"/>
        <v>.0</v>
      </c>
      <c r="G2127" s="37" t="str">
        <f t="shared" si="101"/>
        <v/>
      </c>
    </row>
    <row r="2128" spans="5:7" x14ac:dyDescent="0.45">
      <c r="E2128" s="32" t="str">
        <f t="shared" si="99"/>
        <v>.0</v>
      </c>
      <c r="F2128" s="32" t="str">
        <f t="shared" si="100"/>
        <v>.0</v>
      </c>
      <c r="G2128" s="37" t="str">
        <f t="shared" si="101"/>
        <v/>
      </c>
    </row>
    <row r="2129" spans="5:7" x14ac:dyDescent="0.45">
      <c r="E2129" s="32" t="str">
        <f t="shared" si="99"/>
        <v>.0</v>
      </c>
      <c r="F2129" s="32" t="str">
        <f t="shared" si="100"/>
        <v>.0</v>
      </c>
      <c r="G2129" s="37" t="str">
        <f t="shared" si="101"/>
        <v/>
      </c>
    </row>
    <row r="2130" spans="5:7" x14ac:dyDescent="0.45">
      <c r="E2130" s="32" t="str">
        <f t="shared" si="99"/>
        <v>.0</v>
      </c>
      <c r="F2130" s="32" t="str">
        <f t="shared" si="100"/>
        <v>.0</v>
      </c>
      <c r="G2130" s="37" t="str">
        <f t="shared" si="101"/>
        <v/>
      </c>
    </row>
    <row r="2131" spans="5:7" x14ac:dyDescent="0.45">
      <c r="E2131" s="32" t="str">
        <f t="shared" si="99"/>
        <v>.0</v>
      </c>
      <c r="F2131" s="32" t="str">
        <f t="shared" si="100"/>
        <v>.0</v>
      </c>
      <c r="G2131" s="37" t="str">
        <f t="shared" si="101"/>
        <v/>
      </c>
    </row>
    <row r="2132" spans="5:7" x14ac:dyDescent="0.45">
      <c r="E2132" s="32" t="str">
        <f t="shared" si="99"/>
        <v>.0</v>
      </c>
      <c r="F2132" s="32" t="str">
        <f t="shared" si="100"/>
        <v>.0</v>
      </c>
      <c r="G2132" s="37" t="str">
        <f t="shared" si="101"/>
        <v/>
      </c>
    </row>
    <row r="2133" spans="5:7" x14ac:dyDescent="0.45">
      <c r="E2133" s="32" t="str">
        <f t="shared" si="99"/>
        <v>.0</v>
      </c>
      <c r="F2133" s="32" t="str">
        <f t="shared" si="100"/>
        <v>.0</v>
      </c>
      <c r="G2133" s="37" t="str">
        <f t="shared" si="101"/>
        <v/>
      </c>
    </row>
    <row r="2134" spans="5:7" x14ac:dyDescent="0.45">
      <c r="E2134" s="32" t="str">
        <f t="shared" si="99"/>
        <v>.0</v>
      </c>
      <c r="F2134" s="32" t="str">
        <f t="shared" si="100"/>
        <v>.0</v>
      </c>
      <c r="G2134" s="37" t="str">
        <f t="shared" si="101"/>
        <v/>
      </c>
    </row>
    <row r="2135" spans="5:7" x14ac:dyDescent="0.45">
      <c r="E2135" s="32" t="str">
        <f t="shared" si="99"/>
        <v>.0</v>
      </c>
      <c r="F2135" s="32" t="str">
        <f t="shared" si="100"/>
        <v>.0</v>
      </c>
      <c r="G2135" s="37" t="str">
        <f t="shared" si="101"/>
        <v/>
      </c>
    </row>
    <row r="2136" spans="5:7" x14ac:dyDescent="0.45">
      <c r="E2136" s="32" t="str">
        <f t="shared" si="99"/>
        <v>.0</v>
      </c>
      <c r="F2136" s="32" t="str">
        <f t="shared" si="100"/>
        <v>.0</v>
      </c>
      <c r="G2136" s="37" t="str">
        <f t="shared" si="101"/>
        <v/>
      </c>
    </row>
    <row r="2137" spans="5:7" x14ac:dyDescent="0.45">
      <c r="E2137" s="32" t="str">
        <f t="shared" si="99"/>
        <v>.0</v>
      </c>
      <c r="F2137" s="32" t="str">
        <f t="shared" si="100"/>
        <v>.0</v>
      </c>
      <c r="G2137" s="37" t="str">
        <f t="shared" si="101"/>
        <v/>
      </c>
    </row>
    <row r="2138" spans="5:7" x14ac:dyDescent="0.45">
      <c r="E2138" s="32" t="str">
        <f t="shared" si="99"/>
        <v>.0</v>
      </c>
      <c r="F2138" s="32" t="str">
        <f t="shared" si="100"/>
        <v>.0</v>
      </c>
      <c r="G2138" s="37" t="str">
        <f t="shared" si="101"/>
        <v/>
      </c>
    </row>
    <row r="2139" spans="5:7" x14ac:dyDescent="0.45">
      <c r="E2139" s="32" t="str">
        <f t="shared" si="99"/>
        <v>.0</v>
      </c>
      <c r="F2139" s="32" t="str">
        <f t="shared" si="100"/>
        <v>.0</v>
      </c>
      <c r="G2139" s="37" t="str">
        <f t="shared" si="101"/>
        <v/>
      </c>
    </row>
    <row r="2140" spans="5:7" x14ac:dyDescent="0.45">
      <c r="E2140" s="32" t="str">
        <f t="shared" si="99"/>
        <v>.0</v>
      </c>
      <c r="F2140" s="32" t="str">
        <f t="shared" si="100"/>
        <v>.0</v>
      </c>
      <c r="G2140" s="37" t="str">
        <f t="shared" si="101"/>
        <v/>
      </c>
    </row>
    <row r="2141" spans="5:7" x14ac:dyDescent="0.45">
      <c r="E2141" s="32" t="str">
        <f t="shared" si="99"/>
        <v>.0</v>
      </c>
      <c r="F2141" s="32" t="str">
        <f t="shared" si="100"/>
        <v>.0</v>
      </c>
      <c r="G2141" s="37" t="str">
        <f t="shared" si="101"/>
        <v/>
      </c>
    </row>
    <row r="2142" spans="5:7" x14ac:dyDescent="0.45">
      <c r="E2142" s="32" t="str">
        <f t="shared" ref="E2142:E2205" si="102">MID(B2142,3,2)&amp;"."&amp;IF(C2142&lt;10,"0"&amp;C2142,C2142)</f>
        <v>.0</v>
      </c>
      <c r="F2142" s="32" t="str">
        <f t="shared" ref="F2142:F2205" si="103">MID(B2142,3,2)&amp;"."&amp;IF(C2142&lt;10,"0"&amp;C2142,C2142)</f>
        <v>.0</v>
      </c>
      <c r="G2142" s="37" t="str">
        <f t="shared" ref="G2142:G2205" si="104">TEXT(D2142,"#,###,")</f>
        <v/>
      </c>
    </row>
    <row r="2143" spans="5:7" x14ac:dyDescent="0.45">
      <c r="E2143" s="32" t="str">
        <f t="shared" si="102"/>
        <v>.0</v>
      </c>
      <c r="F2143" s="32" t="str">
        <f t="shared" si="103"/>
        <v>.0</v>
      </c>
      <c r="G2143" s="37" t="str">
        <f t="shared" si="104"/>
        <v/>
      </c>
    </row>
    <row r="2144" spans="5:7" x14ac:dyDescent="0.45">
      <c r="E2144" s="32" t="str">
        <f t="shared" si="102"/>
        <v>.0</v>
      </c>
      <c r="F2144" s="32" t="str">
        <f t="shared" si="103"/>
        <v>.0</v>
      </c>
      <c r="G2144" s="37" t="str">
        <f t="shared" si="104"/>
        <v/>
      </c>
    </row>
    <row r="2145" spans="5:7" x14ac:dyDescent="0.45">
      <c r="E2145" s="32" t="str">
        <f t="shared" si="102"/>
        <v>.0</v>
      </c>
      <c r="F2145" s="32" t="str">
        <f t="shared" si="103"/>
        <v>.0</v>
      </c>
      <c r="G2145" s="37" t="str">
        <f t="shared" si="104"/>
        <v/>
      </c>
    </row>
    <row r="2146" spans="5:7" x14ac:dyDescent="0.45">
      <c r="E2146" s="32" t="str">
        <f t="shared" si="102"/>
        <v>.0</v>
      </c>
      <c r="F2146" s="32" t="str">
        <f t="shared" si="103"/>
        <v>.0</v>
      </c>
      <c r="G2146" s="37" t="str">
        <f t="shared" si="104"/>
        <v/>
      </c>
    </row>
    <row r="2147" spans="5:7" x14ac:dyDescent="0.45">
      <c r="E2147" s="32" t="str">
        <f t="shared" si="102"/>
        <v>.0</v>
      </c>
      <c r="F2147" s="32" t="str">
        <f t="shared" si="103"/>
        <v>.0</v>
      </c>
      <c r="G2147" s="37" t="str">
        <f t="shared" si="104"/>
        <v/>
      </c>
    </row>
    <row r="2148" spans="5:7" x14ac:dyDescent="0.45">
      <c r="E2148" s="32" t="str">
        <f t="shared" si="102"/>
        <v>.0</v>
      </c>
      <c r="F2148" s="32" t="str">
        <f t="shared" si="103"/>
        <v>.0</v>
      </c>
      <c r="G2148" s="37" t="str">
        <f t="shared" si="104"/>
        <v/>
      </c>
    </row>
    <row r="2149" spans="5:7" x14ac:dyDescent="0.45">
      <c r="E2149" s="32" t="str">
        <f t="shared" si="102"/>
        <v>.0</v>
      </c>
      <c r="F2149" s="32" t="str">
        <f t="shared" si="103"/>
        <v>.0</v>
      </c>
      <c r="G2149" s="37" t="str">
        <f t="shared" si="104"/>
        <v/>
      </c>
    </row>
    <row r="2150" spans="5:7" x14ac:dyDescent="0.45">
      <c r="E2150" s="32" t="str">
        <f t="shared" si="102"/>
        <v>.0</v>
      </c>
      <c r="F2150" s="32" t="str">
        <f t="shared" si="103"/>
        <v>.0</v>
      </c>
      <c r="G2150" s="37" t="str">
        <f t="shared" si="104"/>
        <v/>
      </c>
    </row>
    <row r="2151" spans="5:7" x14ac:dyDescent="0.45">
      <c r="E2151" s="32" t="str">
        <f t="shared" si="102"/>
        <v>.0</v>
      </c>
      <c r="F2151" s="32" t="str">
        <f t="shared" si="103"/>
        <v>.0</v>
      </c>
      <c r="G2151" s="37" t="str">
        <f t="shared" si="104"/>
        <v/>
      </c>
    </row>
    <row r="2152" spans="5:7" x14ac:dyDescent="0.45">
      <c r="E2152" s="32" t="str">
        <f t="shared" si="102"/>
        <v>.0</v>
      </c>
      <c r="F2152" s="32" t="str">
        <f t="shared" si="103"/>
        <v>.0</v>
      </c>
      <c r="G2152" s="37" t="str">
        <f t="shared" si="104"/>
        <v/>
      </c>
    </row>
    <row r="2153" spans="5:7" x14ac:dyDescent="0.45">
      <c r="E2153" s="32" t="str">
        <f t="shared" si="102"/>
        <v>.0</v>
      </c>
      <c r="F2153" s="32" t="str">
        <f t="shared" si="103"/>
        <v>.0</v>
      </c>
      <c r="G2153" s="37" t="str">
        <f t="shared" si="104"/>
        <v/>
      </c>
    </row>
    <row r="2154" spans="5:7" x14ac:dyDescent="0.45">
      <c r="E2154" s="32" t="str">
        <f t="shared" si="102"/>
        <v>.0</v>
      </c>
      <c r="F2154" s="32" t="str">
        <f t="shared" si="103"/>
        <v>.0</v>
      </c>
      <c r="G2154" s="37" t="str">
        <f t="shared" si="104"/>
        <v/>
      </c>
    </row>
    <row r="2155" spans="5:7" x14ac:dyDescent="0.45">
      <c r="E2155" s="32" t="str">
        <f t="shared" si="102"/>
        <v>.0</v>
      </c>
      <c r="F2155" s="32" t="str">
        <f t="shared" si="103"/>
        <v>.0</v>
      </c>
      <c r="G2155" s="37" t="str">
        <f t="shared" si="104"/>
        <v/>
      </c>
    </row>
    <row r="2156" spans="5:7" x14ac:dyDescent="0.45">
      <c r="E2156" s="32" t="str">
        <f t="shared" si="102"/>
        <v>.0</v>
      </c>
      <c r="F2156" s="32" t="str">
        <f t="shared" si="103"/>
        <v>.0</v>
      </c>
      <c r="G2156" s="37" t="str">
        <f t="shared" si="104"/>
        <v/>
      </c>
    </row>
    <row r="2157" spans="5:7" x14ac:dyDescent="0.45">
      <c r="E2157" s="32" t="str">
        <f t="shared" si="102"/>
        <v>.0</v>
      </c>
      <c r="F2157" s="32" t="str">
        <f t="shared" si="103"/>
        <v>.0</v>
      </c>
      <c r="G2157" s="37" t="str">
        <f t="shared" si="104"/>
        <v/>
      </c>
    </row>
    <row r="2158" spans="5:7" x14ac:dyDescent="0.45">
      <c r="E2158" s="32" t="str">
        <f t="shared" si="102"/>
        <v>.0</v>
      </c>
      <c r="F2158" s="32" t="str">
        <f t="shared" si="103"/>
        <v>.0</v>
      </c>
      <c r="G2158" s="37" t="str">
        <f t="shared" si="104"/>
        <v/>
      </c>
    </row>
    <row r="2159" spans="5:7" x14ac:dyDescent="0.45">
      <c r="E2159" s="32" t="str">
        <f t="shared" si="102"/>
        <v>.0</v>
      </c>
      <c r="F2159" s="32" t="str">
        <f t="shared" si="103"/>
        <v>.0</v>
      </c>
      <c r="G2159" s="37" t="str">
        <f t="shared" si="104"/>
        <v/>
      </c>
    </row>
    <row r="2160" spans="5:7" x14ac:dyDescent="0.45">
      <c r="E2160" s="32" t="str">
        <f t="shared" si="102"/>
        <v>.0</v>
      </c>
      <c r="F2160" s="32" t="str">
        <f t="shared" si="103"/>
        <v>.0</v>
      </c>
      <c r="G2160" s="37" t="str">
        <f t="shared" si="104"/>
        <v/>
      </c>
    </row>
    <row r="2161" spans="5:7" x14ac:dyDescent="0.45">
      <c r="E2161" s="32" t="str">
        <f t="shared" si="102"/>
        <v>.0</v>
      </c>
      <c r="F2161" s="32" t="str">
        <f t="shared" si="103"/>
        <v>.0</v>
      </c>
      <c r="G2161" s="37" t="str">
        <f t="shared" si="104"/>
        <v/>
      </c>
    </row>
    <row r="2162" spans="5:7" x14ac:dyDescent="0.45">
      <c r="E2162" s="32" t="str">
        <f t="shared" si="102"/>
        <v>.0</v>
      </c>
      <c r="F2162" s="32" t="str">
        <f t="shared" si="103"/>
        <v>.0</v>
      </c>
      <c r="G2162" s="37" t="str">
        <f t="shared" si="104"/>
        <v/>
      </c>
    </row>
    <row r="2163" spans="5:7" x14ac:dyDescent="0.45">
      <c r="E2163" s="32" t="str">
        <f t="shared" si="102"/>
        <v>.0</v>
      </c>
      <c r="F2163" s="32" t="str">
        <f t="shared" si="103"/>
        <v>.0</v>
      </c>
      <c r="G2163" s="37" t="str">
        <f t="shared" si="104"/>
        <v/>
      </c>
    </row>
    <row r="2164" spans="5:7" x14ac:dyDescent="0.45">
      <c r="E2164" s="32" t="str">
        <f t="shared" si="102"/>
        <v>.0</v>
      </c>
      <c r="F2164" s="32" t="str">
        <f t="shared" si="103"/>
        <v>.0</v>
      </c>
      <c r="G2164" s="37" t="str">
        <f t="shared" si="104"/>
        <v/>
      </c>
    </row>
    <row r="2165" spans="5:7" x14ac:dyDescent="0.45">
      <c r="E2165" s="32" t="str">
        <f t="shared" si="102"/>
        <v>.0</v>
      </c>
      <c r="F2165" s="32" t="str">
        <f t="shared" si="103"/>
        <v>.0</v>
      </c>
      <c r="G2165" s="37" t="str">
        <f t="shared" si="104"/>
        <v/>
      </c>
    </row>
    <row r="2166" spans="5:7" x14ac:dyDescent="0.45">
      <c r="E2166" s="32" t="str">
        <f t="shared" si="102"/>
        <v>.0</v>
      </c>
      <c r="F2166" s="32" t="str">
        <f t="shared" si="103"/>
        <v>.0</v>
      </c>
      <c r="G2166" s="37" t="str">
        <f t="shared" si="104"/>
        <v/>
      </c>
    </row>
    <row r="2167" spans="5:7" x14ac:dyDescent="0.45">
      <c r="E2167" s="32" t="str">
        <f t="shared" si="102"/>
        <v>.0</v>
      </c>
      <c r="F2167" s="32" t="str">
        <f t="shared" si="103"/>
        <v>.0</v>
      </c>
      <c r="G2167" s="37" t="str">
        <f t="shared" si="104"/>
        <v/>
      </c>
    </row>
    <row r="2168" spans="5:7" x14ac:dyDescent="0.45">
      <c r="E2168" s="32" t="str">
        <f t="shared" si="102"/>
        <v>.0</v>
      </c>
      <c r="F2168" s="32" t="str">
        <f t="shared" si="103"/>
        <v>.0</v>
      </c>
      <c r="G2168" s="37" t="str">
        <f t="shared" si="104"/>
        <v/>
      </c>
    </row>
    <row r="2169" spans="5:7" x14ac:dyDescent="0.45">
      <c r="E2169" s="32" t="str">
        <f t="shared" si="102"/>
        <v>.0</v>
      </c>
      <c r="F2169" s="32" t="str">
        <f t="shared" si="103"/>
        <v>.0</v>
      </c>
      <c r="G2169" s="37" t="str">
        <f t="shared" si="104"/>
        <v/>
      </c>
    </row>
    <row r="2170" spans="5:7" x14ac:dyDescent="0.45">
      <c r="E2170" s="32" t="str">
        <f t="shared" si="102"/>
        <v>.0</v>
      </c>
      <c r="F2170" s="32" t="str">
        <f t="shared" si="103"/>
        <v>.0</v>
      </c>
      <c r="G2170" s="37" t="str">
        <f t="shared" si="104"/>
        <v/>
      </c>
    </row>
    <row r="2171" spans="5:7" x14ac:dyDescent="0.45">
      <c r="E2171" s="32" t="str">
        <f t="shared" si="102"/>
        <v>.0</v>
      </c>
      <c r="F2171" s="32" t="str">
        <f t="shared" si="103"/>
        <v>.0</v>
      </c>
      <c r="G2171" s="37" t="str">
        <f t="shared" si="104"/>
        <v/>
      </c>
    </row>
    <row r="2172" spans="5:7" x14ac:dyDescent="0.45">
      <c r="E2172" s="32" t="str">
        <f t="shared" si="102"/>
        <v>.0</v>
      </c>
      <c r="F2172" s="32" t="str">
        <f t="shared" si="103"/>
        <v>.0</v>
      </c>
      <c r="G2172" s="37" t="str">
        <f t="shared" si="104"/>
        <v/>
      </c>
    </row>
    <row r="2173" spans="5:7" x14ac:dyDescent="0.45">
      <c r="E2173" s="32" t="str">
        <f t="shared" si="102"/>
        <v>.0</v>
      </c>
      <c r="F2173" s="32" t="str">
        <f t="shared" si="103"/>
        <v>.0</v>
      </c>
      <c r="G2173" s="37" t="str">
        <f t="shared" si="104"/>
        <v/>
      </c>
    </row>
    <row r="2174" spans="5:7" x14ac:dyDescent="0.45">
      <c r="E2174" s="32" t="str">
        <f t="shared" si="102"/>
        <v>.0</v>
      </c>
      <c r="F2174" s="32" t="str">
        <f t="shared" si="103"/>
        <v>.0</v>
      </c>
      <c r="G2174" s="37" t="str">
        <f t="shared" si="104"/>
        <v/>
      </c>
    </row>
    <row r="2175" spans="5:7" x14ac:dyDescent="0.45">
      <c r="E2175" s="32" t="str">
        <f t="shared" si="102"/>
        <v>.0</v>
      </c>
      <c r="F2175" s="32" t="str">
        <f t="shared" si="103"/>
        <v>.0</v>
      </c>
      <c r="G2175" s="37" t="str">
        <f t="shared" si="104"/>
        <v/>
      </c>
    </row>
    <row r="2176" spans="5:7" x14ac:dyDescent="0.45">
      <c r="E2176" s="32" t="str">
        <f t="shared" si="102"/>
        <v>.0</v>
      </c>
      <c r="F2176" s="32" t="str">
        <f t="shared" si="103"/>
        <v>.0</v>
      </c>
      <c r="G2176" s="37" t="str">
        <f t="shared" si="104"/>
        <v/>
      </c>
    </row>
    <row r="2177" spans="5:7" x14ac:dyDescent="0.45">
      <c r="E2177" s="32" t="str">
        <f t="shared" si="102"/>
        <v>.0</v>
      </c>
      <c r="F2177" s="32" t="str">
        <f t="shared" si="103"/>
        <v>.0</v>
      </c>
      <c r="G2177" s="37" t="str">
        <f t="shared" si="104"/>
        <v/>
      </c>
    </row>
    <row r="2178" spans="5:7" x14ac:dyDescent="0.45">
      <c r="E2178" s="32" t="str">
        <f t="shared" si="102"/>
        <v>.0</v>
      </c>
      <c r="F2178" s="32" t="str">
        <f t="shared" si="103"/>
        <v>.0</v>
      </c>
      <c r="G2178" s="37" t="str">
        <f t="shared" si="104"/>
        <v/>
      </c>
    </row>
    <row r="2179" spans="5:7" x14ac:dyDescent="0.45">
      <c r="E2179" s="32" t="str">
        <f t="shared" si="102"/>
        <v>.0</v>
      </c>
      <c r="F2179" s="32" t="str">
        <f t="shared" si="103"/>
        <v>.0</v>
      </c>
      <c r="G2179" s="37" t="str">
        <f t="shared" si="104"/>
        <v/>
      </c>
    </row>
    <row r="2180" spans="5:7" x14ac:dyDescent="0.45">
      <c r="E2180" s="32" t="str">
        <f t="shared" si="102"/>
        <v>.0</v>
      </c>
      <c r="F2180" s="32" t="str">
        <f t="shared" si="103"/>
        <v>.0</v>
      </c>
      <c r="G2180" s="37" t="str">
        <f t="shared" si="104"/>
        <v/>
      </c>
    </row>
    <row r="2181" spans="5:7" x14ac:dyDescent="0.45">
      <c r="E2181" s="32" t="str">
        <f t="shared" si="102"/>
        <v>.0</v>
      </c>
      <c r="F2181" s="32" t="str">
        <f t="shared" si="103"/>
        <v>.0</v>
      </c>
      <c r="G2181" s="37" t="str">
        <f t="shared" si="104"/>
        <v/>
      </c>
    </row>
    <row r="2182" spans="5:7" x14ac:dyDescent="0.45">
      <c r="E2182" s="32" t="str">
        <f t="shared" si="102"/>
        <v>.0</v>
      </c>
      <c r="F2182" s="32" t="str">
        <f t="shared" si="103"/>
        <v>.0</v>
      </c>
      <c r="G2182" s="37" t="str">
        <f t="shared" si="104"/>
        <v/>
      </c>
    </row>
    <row r="2183" spans="5:7" x14ac:dyDescent="0.45">
      <c r="E2183" s="32" t="str">
        <f t="shared" si="102"/>
        <v>.0</v>
      </c>
      <c r="F2183" s="32" t="str">
        <f t="shared" si="103"/>
        <v>.0</v>
      </c>
      <c r="G2183" s="37" t="str">
        <f t="shared" si="104"/>
        <v/>
      </c>
    </row>
    <row r="2184" spans="5:7" x14ac:dyDescent="0.45">
      <c r="E2184" s="32" t="str">
        <f t="shared" si="102"/>
        <v>.0</v>
      </c>
      <c r="F2184" s="32" t="str">
        <f t="shared" si="103"/>
        <v>.0</v>
      </c>
      <c r="G2184" s="37" t="str">
        <f t="shared" si="104"/>
        <v/>
      </c>
    </row>
    <row r="2185" spans="5:7" x14ac:dyDescent="0.45">
      <c r="E2185" s="32" t="str">
        <f t="shared" si="102"/>
        <v>.0</v>
      </c>
      <c r="F2185" s="32" t="str">
        <f t="shared" si="103"/>
        <v>.0</v>
      </c>
      <c r="G2185" s="37" t="str">
        <f t="shared" si="104"/>
        <v/>
      </c>
    </row>
    <row r="2186" spans="5:7" x14ac:dyDescent="0.45">
      <c r="E2186" s="32" t="str">
        <f t="shared" si="102"/>
        <v>.0</v>
      </c>
      <c r="F2186" s="32" t="str">
        <f t="shared" si="103"/>
        <v>.0</v>
      </c>
      <c r="G2186" s="37" t="str">
        <f t="shared" si="104"/>
        <v/>
      </c>
    </row>
    <row r="2187" spans="5:7" x14ac:dyDescent="0.45">
      <c r="E2187" s="32" t="str">
        <f t="shared" si="102"/>
        <v>.0</v>
      </c>
      <c r="F2187" s="32" t="str">
        <f t="shared" si="103"/>
        <v>.0</v>
      </c>
      <c r="G2187" s="37" t="str">
        <f t="shared" si="104"/>
        <v/>
      </c>
    </row>
    <row r="2188" spans="5:7" x14ac:dyDescent="0.45">
      <c r="E2188" s="32" t="str">
        <f t="shared" si="102"/>
        <v>.0</v>
      </c>
      <c r="F2188" s="32" t="str">
        <f t="shared" si="103"/>
        <v>.0</v>
      </c>
      <c r="G2188" s="37" t="str">
        <f t="shared" si="104"/>
        <v/>
      </c>
    </row>
    <row r="2189" spans="5:7" x14ac:dyDescent="0.45">
      <c r="E2189" s="32" t="str">
        <f t="shared" si="102"/>
        <v>.0</v>
      </c>
      <c r="F2189" s="32" t="str">
        <f t="shared" si="103"/>
        <v>.0</v>
      </c>
      <c r="G2189" s="37" t="str">
        <f t="shared" si="104"/>
        <v/>
      </c>
    </row>
    <row r="2190" spans="5:7" x14ac:dyDescent="0.45">
      <c r="E2190" s="32" t="str">
        <f t="shared" si="102"/>
        <v>.0</v>
      </c>
      <c r="F2190" s="32" t="str">
        <f t="shared" si="103"/>
        <v>.0</v>
      </c>
      <c r="G2190" s="37" t="str">
        <f t="shared" si="104"/>
        <v/>
      </c>
    </row>
    <row r="2191" spans="5:7" x14ac:dyDescent="0.45">
      <c r="E2191" s="32" t="str">
        <f t="shared" si="102"/>
        <v>.0</v>
      </c>
      <c r="F2191" s="32" t="str">
        <f t="shared" si="103"/>
        <v>.0</v>
      </c>
      <c r="G2191" s="37" t="str">
        <f t="shared" si="104"/>
        <v/>
      </c>
    </row>
    <row r="2192" spans="5:7" x14ac:dyDescent="0.45">
      <c r="E2192" s="32" t="str">
        <f t="shared" si="102"/>
        <v>.0</v>
      </c>
      <c r="F2192" s="32" t="str">
        <f t="shared" si="103"/>
        <v>.0</v>
      </c>
      <c r="G2192" s="37" t="str">
        <f t="shared" si="104"/>
        <v/>
      </c>
    </row>
    <row r="2193" spans="5:7" x14ac:dyDescent="0.45">
      <c r="E2193" s="32" t="str">
        <f t="shared" si="102"/>
        <v>.0</v>
      </c>
      <c r="F2193" s="32" t="str">
        <f t="shared" si="103"/>
        <v>.0</v>
      </c>
      <c r="G2193" s="37" t="str">
        <f t="shared" si="104"/>
        <v/>
      </c>
    </row>
    <row r="2194" spans="5:7" x14ac:dyDescent="0.45">
      <c r="E2194" s="32" t="str">
        <f t="shared" si="102"/>
        <v>.0</v>
      </c>
      <c r="F2194" s="32" t="str">
        <f t="shared" si="103"/>
        <v>.0</v>
      </c>
      <c r="G2194" s="37" t="str">
        <f t="shared" si="104"/>
        <v/>
      </c>
    </row>
    <row r="2195" spans="5:7" x14ac:dyDescent="0.45">
      <c r="E2195" s="32" t="str">
        <f t="shared" si="102"/>
        <v>.0</v>
      </c>
      <c r="F2195" s="32" t="str">
        <f t="shared" si="103"/>
        <v>.0</v>
      </c>
      <c r="G2195" s="37" t="str">
        <f t="shared" si="104"/>
        <v/>
      </c>
    </row>
    <row r="2196" spans="5:7" x14ac:dyDescent="0.45">
      <c r="E2196" s="32" t="str">
        <f t="shared" si="102"/>
        <v>.0</v>
      </c>
      <c r="F2196" s="32" t="str">
        <f t="shared" si="103"/>
        <v>.0</v>
      </c>
      <c r="G2196" s="37" t="str">
        <f t="shared" si="104"/>
        <v/>
      </c>
    </row>
    <row r="2197" spans="5:7" x14ac:dyDescent="0.45">
      <c r="E2197" s="32" t="str">
        <f t="shared" si="102"/>
        <v>.0</v>
      </c>
      <c r="F2197" s="32" t="str">
        <f t="shared" si="103"/>
        <v>.0</v>
      </c>
      <c r="G2197" s="37" t="str">
        <f t="shared" si="104"/>
        <v/>
      </c>
    </row>
    <row r="2198" spans="5:7" x14ac:dyDescent="0.45">
      <c r="E2198" s="32" t="str">
        <f t="shared" si="102"/>
        <v>.0</v>
      </c>
      <c r="F2198" s="32" t="str">
        <f t="shared" si="103"/>
        <v>.0</v>
      </c>
      <c r="G2198" s="37" t="str">
        <f t="shared" si="104"/>
        <v/>
      </c>
    </row>
    <row r="2199" spans="5:7" x14ac:dyDescent="0.45">
      <c r="E2199" s="32" t="str">
        <f t="shared" si="102"/>
        <v>.0</v>
      </c>
      <c r="F2199" s="32" t="str">
        <f t="shared" si="103"/>
        <v>.0</v>
      </c>
      <c r="G2199" s="37" t="str">
        <f t="shared" si="104"/>
        <v/>
      </c>
    </row>
    <row r="2200" spans="5:7" x14ac:dyDescent="0.45">
      <c r="E2200" s="32" t="str">
        <f t="shared" si="102"/>
        <v>.0</v>
      </c>
      <c r="F2200" s="32" t="str">
        <f t="shared" si="103"/>
        <v>.0</v>
      </c>
      <c r="G2200" s="37" t="str">
        <f t="shared" si="104"/>
        <v/>
      </c>
    </row>
    <row r="2201" spans="5:7" x14ac:dyDescent="0.45">
      <c r="E2201" s="32" t="str">
        <f t="shared" si="102"/>
        <v>.0</v>
      </c>
      <c r="F2201" s="32" t="str">
        <f t="shared" si="103"/>
        <v>.0</v>
      </c>
      <c r="G2201" s="37" t="str">
        <f t="shared" si="104"/>
        <v/>
      </c>
    </row>
    <row r="2202" spans="5:7" x14ac:dyDescent="0.45">
      <c r="E2202" s="32" t="str">
        <f t="shared" si="102"/>
        <v>.0</v>
      </c>
      <c r="F2202" s="32" t="str">
        <f t="shared" si="103"/>
        <v>.0</v>
      </c>
      <c r="G2202" s="37" t="str">
        <f t="shared" si="104"/>
        <v/>
      </c>
    </row>
    <row r="2203" spans="5:7" x14ac:dyDescent="0.45">
      <c r="E2203" s="32" t="str">
        <f t="shared" si="102"/>
        <v>.0</v>
      </c>
      <c r="F2203" s="32" t="str">
        <f t="shared" si="103"/>
        <v>.0</v>
      </c>
      <c r="G2203" s="37" t="str">
        <f t="shared" si="104"/>
        <v/>
      </c>
    </row>
    <row r="2204" spans="5:7" x14ac:dyDescent="0.45">
      <c r="E2204" s="32" t="str">
        <f t="shared" si="102"/>
        <v>.0</v>
      </c>
      <c r="F2204" s="32" t="str">
        <f t="shared" si="103"/>
        <v>.0</v>
      </c>
      <c r="G2204" s="37" t="str">
        <f t="shared" si="104"/>
        <v/>
      </c>
    </row>
    <row r="2205" spans="5:7" x14ac:dyDescent="0.45">
      <c r="E2205" s="32" t="str">
        <f t="shared" si="102"/>
        <v>.0</v>
      </c>
      <c r="F2205" s="32" t="str">
        <f t="shared" si="103"/>
        <v>.0</v>
      </c>
      <c r="G2205" s="37" t="str">
        <f t="shared" si="104"/>
        <v/>
      </c>
    </row>
    <row r="2206" spans="5:7" x14ac:dyDescent="0.45">
      <c r="E2206" s="32" t="str">
        <f t="shared" ref="E2206:E2269" si="105">MID(B2206,3,2)&amp;"."&amp;IF(C2206&lt;10,"0"&amp;C2206,C2206)</f>
        <v>.0</v>
      </c>
      <c r="F2206" s="32" t="str">
        <f t="shared" ref="F2206:F2269" si="106">MID(B2206,3,2)&amp;"."&amp;IF(C2206&lt;10,"0"&amp;C2206,C2206)</f>
        <v>.0</v>
      </c>
      <c r="G2206" s="37" t="str">
        <f t="shared" ref="G2206:G2269" si="107">TEXT(D2206,"#,###,")</f>
        <v/>
      </c>
    </row>
    <row r="2207" spans="5:7" x14ac:dyDescent="0.45">
      <c r="E2207" s="32" t="str">
        <f t="shared" si="105"/>
        <v>.0</v>
      </c>
      <c r="F2207" s="32" t="str">
        <f t="shared" si="106"/>
        <v>.0</v>
      </c>
      <c r="G2207" s="37" t="str">
        <f t="shared" si="107"/>
        <v/>
      </c>
    </row>
    <row r="2208" spans="5:7" x14ac:dyDescent="0.45">
      <c r="E2208" s="32" t="str">
        <f t="shared" si="105"/>
        <v>.0</v>
      </c>
      <c r="F2208" s="32" t="str">
        <f t="shared" si="106"/>
        <v>.0</v>
      </c>
      <c r="G2208" s="37" t="str">
        <f t="shared" si="107"/>
        <v/>
      </c>
    </row>
    <row r="2209" spans="5:7" x14ac:dyDescent="0.45">
      <c r="E2209" s="32" t="str">
        <f t="shared" si="105"/>
        <v>.0</v>
      </c>
      <c r="F2209" s="32" t="str">
        <f t="shared" si="106"/>
        <v>.0</v>
      </c>
      <c r="G2209" s="37" t="str">
        <f t="shared" si="107"/>
        <v/>
      </c>
    </row>
    <row r="2210" spans="5:7" x14ac:dyDescent="0.45">
      <c r="E2210" s="32" t="str">
        <f t="shared" si="105"/>
        <v>.0</v>
      </c>
      <c r="F2210" s="32" t="str">
        <f t="shared" si="106"/>
        <v>.0</v>
      </c>
      <c r="G2210" s="37" t="str">
        <f t="shared" si="107"/>
        <v/>
      </c>
    </row>
    <row r="2211" spans="5:7" x14ac:dyDescent="0.45">
      <c r="E2211" s="32" t="str">
        <f t="shared" si="105"/>
        <v>.0</v>
      </c>
      <c r="F2211" s="32" t="str">
        <f t="shared" si="106"/>
        <v>.0</v>
      </c>
      <c r="G2211" s="37" t="str">
        <f t="shared" si="107"/>
        <v/>
      </c>
    </row>
    <row r="2212" spans="5:7" x14ac:dyDescent="0.45">
      <c r="E2212" s="32" t="str">
        <f t="shared" si="105"/>
        <v>.0</v>
      </c>
      <c r="F2212" s="32" t="str">
        <f t="shared" si="106"/>
        <v>.0</v>
      </c>
      <c r="G2212" s="37" t="str">
        <f t="shared" si="107"/>
        <v/>
      </c>
    </row>
    <row r="2213" spans="5:7" x14ac:dyDescent="0.45">
      <c r="E2213" s="32" t="str">
        <f t="shared" si="105"/>
        <v>.0</v>
      </c>
      <c r="F2213" s="32" t="str">
        <f t="shared" si="106"/>
        <v>.0</v>
      </c>
      <c r="G2213" s="37" t="str">
        <f t="shared" si="107"/>
        <v/>
      </c>
    </row>
    <row r="2214" spans="5:7" x14ac:dyDescent="0.45">
      <c r="E2214" s="32" t="str">
        <f t="shared" si="105"/>
        <v>.0</v>
      </c>
      <c r="F2214" s="32" t="str">
        <f t="shared" si="106"/>
        <v>.0</v>
      </c>
      <c r="G2214" s="37" t="str">
        <f t="shared" si="107"/>
        <v/>
      </c>
    </row>
    <row r="2215" spans="5:7" x14ac:dyDescent="0.45">
      <c r="E2215" s="32" t="str">
        <f t="shared" si="105"/>
        <v>.0</v>
      </c>
      <c r="F2215" s="32" t="str">
        <f t="shared" si="106"/>
        <v>.0</v>
      </c>
      <c r="G2215" s="37" t="str">
        <f t="shared" si="107"/>
        <v/>
      </c>
    </row>
    <row r="2216" spans="5:7" x14ac:dyDescent="0.45">
      <c r="E2216" s="32" t="str">
        <f t="shared" si="105"/>
        <v>.0</v>
      </c>
      <c r="F2216" s="32" t="str">
        <f t="shared" si="106"/>
        <v>.0</v>
      </c>
      <c r="G2216" s="37" t="str">
        <f t="shared" si="107"/>
        <v/>
      </c>
    </row>
    <row r="2217" spans="5:7" x14ac:dyDescent="0.45">
      <c r="E2217" s="32" t="str">
        <f t="shared" si="105"/>
        <v>.0</v>
      </c>
      <c r="F2217" s="32" t="str">
        <f t="shared" si="106"/>
        <v>.0</v>
      </c>
      <c r="G2217" s="37" t="str">
        <f t="shared" si="107"/>
        <v/>
      </c>
    </row>
    <row r="2218" spans="5:7" x14ac:dyDescent="0.45">
      <c r="E2218" s="32" t="str">
        <f t="shared" si="105"/>
        <v>.0</v>
      </c>
      <c r="F2218" s="32" t="str">
        <f t="shared" si="106"/>
        <v>.0</v>
      </c>
      <c r="G2218" s="37" t="str">
        <f t="shared" si="107"/>
        <v/>
      </c>
    </row>
    <row r="2219" spans="5:7" x14ac:dyDescent="0.45">
      <c r="E2219" s="32" t="str">
        <f t="shared" si="105"/>
        <v>.0</v>
      </c>
      <c r="F2219" s="32" t="str">
        <f t="shared" si="106"/>
        <v>.0</v>
      </c>
      <c r="G2219" s="37" t="str">
        <f t="shared" si="107"/>
        <v/>
      </c>
    </row>
    <row r="2220" spans="5:7" x14ac:dyDescent="0.45">
      <c r="E2220" s="32" t="str">
        <f t="shared" si="105"/>
        <v>.0</v>
      </c>
      <c r="F2220" s="32" t="str">
        <f t="shared" si="106"/>
        <v>.0</v>
      </c>
      <c r="G2220" s="37" t="str">
        <f t="shared" si="107"/>
        <v/>
      </c>
    </row>
    <row r="2221" spans="5:7" x14ac:dyDescent="0.45">
      <c r="E2221" s="32" t="str">
        <f t="shared" si="105"/>
        <v>.0</v>
      </c>
      <c r="F2221" s="32" t="str">
        <f t="shared" si="106"/>
        <v>.0</v>
      </c>
      <c r="G2221" s="37" t="str">
        <f t="shared" si="107"/>
        <v/>
      </c>
    </row>
    <row r="2222" spans="5:7" x14ac:dyDescent="0.45">
      <c r="E2222" s="32" t="str">
        <f t="shared" si="105"/>
        <v>.0</v>
      </c>
      <c r="F2222" s="32" t="str">
        <f t="shared" si="106"/>
        <v>.0</v>
      </c>
      <c r="G2222" s="37" t="str">
        <f t="shared" si="107"/>
        <v/>
      </c>
    </row>
    <row r="2223" spans="5:7" x14ac:dyDescent="0.45">
      <c r="E2223" s="32" t="str">
        <f t="shared" si="105"/>
        <v>.0</v>
      </c>
      <c r="F2223" s="32" t="str">
        <f t="shared" si="106"/>
        <v>.0</v>
      </c>
      <c r="G2223" s="37" t="str">
        <f t="shared" si="107"/>
        <v/>
      </c>
    </row>
    <row r="2224" spans="5:7" x14ac:dyDescent="0.45">
      <c r="E2224" s="32" t="str">
        <f t="shared" si="105"/>
        <v>.0</v>
      </c>
      <c r="F2224" s="32" t="str">
        <f t="shared" si="106"/>
        <v>.0</v>
      </c>
      <c r="G2224" s="37" t="str">
        <f t="shared" si="107"/>
        <v/>
      </c>
    </row>
    <row r="2225" spans="5:7" x14ac:dyDescent="0.45">
      <c r="E2225" s="32" t="str">
        <f t="shared" si="105"/>
        <v>.0</v>
      </c>
      <c r="F2225" s="32" t="str">
        <f t="shared" si="106"/>
        <v>.0</v>
      </c>
      <c r="G2225" s="37" t="str">
        <f t="shared" si="107"/>
        <v/>
      </c>
    </row>
    <row r="2226" spans="5:7" x14ac:dyDescent="0.45">
      <c r="E2226" s="32" t="str">
        <f t="shared" si="105"/>
        <v>.0</v>
      </c>
      <c r="F2226" s="32" t="str">
        <f t="shared" si="106"/>
        <v>.0</v>
      </c>
      <c r="G2226" s="37" t="str">
        <f t="shared" si="107"/>
        <v/>
      </c>
    </row>
    <row r="2227" spans="5:7" x14ac:dyDescent="0.45">
      <c r="E2227" s="32" t="str">
        <f t="shared" si="105"/>
        <v>.0</v>
      </c>
      <c r="F2227" s="32" t="str">
        <f t="shared" si="106"/>
        <v>.0</v>
      </c>
      <c r="G2227" s="37" t="str">
        <f t="shared" si="107"/>
        <v/>
      </c>
    </row>
    <row r="2228" spans="5:7" x14ac:dyDescent="0.45">
      <c r="E2228" s="32" t="str">
        <f t="shared" si="105"/>
        <v>.0</v>
      </c>
      <c r="F2228" s="32" t="str">
        <f t="shared" si="106"/>
        <v>.0</v>
      </c>
      <c r="G2228" s="37" t="str">
        <f t="shared" si="107"/>
        <v/>
      </c>
    </row>
    <row r="2229" spans="5:7" x14ac:dyDescent="0.45">
      <c r="E2229" s="32" t="str">
        <f t="shared" si="105"/>
        <v>.0</v>
      </c>
      <c r="F2229" s="32" t="str">
        <f t="shared" si="106"/>
        <v>.0</v>
      </c>
      <c r="G2229" s="37" t="str">
        <f t="shared" si="107"/>
        <v/>
      </c>
    </row>
    <row r="2230" spans="5:7" x14ac:dyDescent="0.45">
      <c r="E2230" s="32" t="str">
        <f t="shared" si="105"/>
        <v>.0</v>
      </c>
      <c r="F2230" s="32" t="str">
        <f t="shared" si="106"/>
        <v>.0</v>
      </c>
      <c r="G2230" s="37" t="str">
        <f t="shared" si="107"/>
        <v/>
      </c>
    </row>
    <row r="2231" spans="5:7" x14ac:dyDescent="0.45">
      <c r="E2231" s="32" t="str">
        <f t="shared" si="105"/>
        <v>.0</v>
      </c>
      <c r="F2231" s="32" t="str">
        <f t="shared" si="106"/>
        <v>.0</v>
      </c>
      <c r="G2231" s="37" t="str">
        <f t="shared" si="107"/>
        <v/>
      </c>
    </row>
    <row r="2232" spans="5:7" x14ac:dyDescent="0.45">
      <c r="E2232" s="32" t="str">
        <f t="shared" si="105"/>
        <v>.0</v>
      </c>
      <c r="F2232" s="32" t="str">
        <f t="shared" si="106"/>
        <v>.0</v>
      </c>
      <c r="G2232" s="37" t="str">
        <f t="shared" si="107"/>
        <v/>
      </c>
    </row>
    <row r="2233" spans="5:7" x14ac:dyDescent="0.45">
      <c r="E2233" s="32" t="str">
        <f t="shared" si="105"/>
        <v>.0</v>
      </c>
      <c r="F2233" s="32" t="str">
        <f t="shared" si="106"/>
        <v>.0</v>
      </c>
      <c r="G2233" s="37" t="str">
        <f t="shared" si="107"/>
        <v/>
      </c>
    </row>
    <row r="2234" spans="5:7" x14ac:dyDescent="0.45">
      <c r="E2234" s="32" t="str">
        <f t="shared" si="105"/>
        <v>.0</v>
      </c>
      <c r="F2234" s="32" t="str">
        <f t="shared" si="106"/>
        <v>.0</v>
      </c>
      <c r="G2234" s="37" t="str">
        <f t="shared" si="107"/>
        <v/>
      </c>
    </row>
    <row r="2235" spans="5:7" x14ac:dyDescent="0.45">
      <c r="E2235" s="32" t="str">
        <f t="shared" si="105"/>
        <v>.0</v>
      </c>
      <c r="F2235" s="32" t="str">
        <f t="shared" si="106"/>
        <v>.0</v>
      </c>
      <c r="G2235" s="37" t="str">
        <f t="shared" si="107"/>
        <v/>
      </c>
    </row>
    <row r="2236" spans="5:7" x14ac:dyDescent="0.45">
      <c r="E2236" s="32" t="str">
        <f t="shared" si="105"/>
        <v>.0</v>
      </c>
      <c r="F2236" s="32" t="str">
        <f t="shared" si="106"/>
        <v>.0</v>
      </c>
      <c r="G2236" s="37" t="str">
        <f t="shared" si="107"/>
        <v/>
      </c>
    </row>
    <row r="2237" spans="5:7" x14ac:dyDescent="0.45">
      <c r="E2237" s="32" t="str">
        <f t="shared" si="105"/>
        <v>.0</v>
      </c>
      <c r="F2237" s="32" t="str">
        <f t="shared" si="106"/>
        <v>.0</v>
      </c>
      <c r="G2237" s="37" t="str">
        <f t="shared" si="107"/>
        <v/>
      </c>
    </row>
    <row r="2238" spans="5:7" x14ac:dyDescent="0.45">
      <c r="E2238" s="32" t="str">
        <f t="shared" si="105"/>
        <v>.0</v>
      </c>
      <c r="F2238" s="32" t="str">
        <f t="shared" si="106"/>
        <v>.0</v>
      </c>
      <c r="G2238" s="37" t="str">
        <f t="shared" si="107"/>
        <v/>
      </c>
    </row>
    <row r="2239" spans="5:7" x14ac:dyDescent="0.45">
      <c r="E2239" s="32" t="str">
        <f t="shared" si="105"/>
        <v>.0</v>
      </c>
      <c r="F2239" s="32" t="str">
        <f t="shared" si="106"/>
        <v>.0</v>
      </c>
      <c r="G2239" s="37" t="str">
        <f t="shared" si="107"/>
        <v/>
      </c>
    </row>
    <row r="2240" spans="5:7" x14ac:dyDescent="0.45">
      <c r="E2240" s="32" t="str">
        <f t="shared" si="105"/>
        <v>.0</v>
      </c>
      <c r="F2240" s="32" t="str">
        <f t="shared" si="106"/>
        <v>.0</v>
      </c>
      <c r="G2240" s="37" t="str">
        <f t="shared" si="107"/>
        <v/>
      </c>
    </row>
    <row r="2241" spans="5:7" x14ac:dyDescent="0.45">
      <c r="E2241" s="32" t="str">
        <f t="shared" si="105"/>
        <v>.0</v>
      </c>
      <c r="F2241" s="32" t="str">
        <f t="shared" si="106"/>
        <v>.0</v>
      </c>
      <c r="G2241" s="37" t="str">
        <f t="shared" si="107"/>
        <v/>
      </c>
    </row>
    <row r="2242" spans="5:7" x14ac:dyDescent="0.45">
      <c r="E2242" s="32" t="str">
        <f t="shared" si="105"/>
        <v>.0</v>
      </c>
      <c r="F2242" s="32" t="str">
        <f t="shared" si="106"/>
        <v>.0</v>
      </c>
      <c r="G2242" s="37" t="str">
        <f t="shared" si="107"/>
        <v/>
      </c>
    </row>
    <row r="2243" spans="5:7" x14ac:dyDescent="0.45">
      <c r="E2243" s="32" t="str">
        <f t="shared" si="105"/>
        <v>.0</v>
      </c>
      <c r="F2243" s="32" t="str">
        <f t="shared" si="106"/>
        <v>.0</v>
      </c>
      <c r="G2243" s="37" t="str">
        <f t="shared" si="107"/>
        <v/>
      </c>
    </row>
    <row r="2244" spans="5:7" x14ac:dyDescent="0.45">
      <c r="E2244" s="32" t="str">
        <f t="shared" si="105"/>
        <v>.0</v>
      </c>
      <c r="F2244" s="32" t="str">
        <f t="shared" si="106"/>
        <v>.0</v>
      </c>
      <c r="G2244" s="37" t="str">
        <f t="shared" si="107"/>
        <v/>
      </c>
    </row>
    <row r="2245" spans="5:7" x14ac:dyDescent="0.45">
      <c r="E2245" s="32" t="str">
        <f t="shared" si="105"/>
        <v>.0</v>
      </c>
      <c r="F2245" s="32" t="str">
        <f t="shared" si="106"/>
        <v>.0</v>
      </c>
      <c r="G2245" s="37" t="str">
        <f t="shared" si="107"/>
        <v/>
      </c>
    </row>
    <row r="2246" spans="5:7" x14ac:dyDescent="0.45">
      <c r="E2246" s="32" t="str">
        <f t="shared" si="105"/>
        <v>.0</v>
      </c>
      <c r="F2246" s="32" t="str">
        <f t="shared" si="106"/>
        <v>.0</v>
      </c>
      <c r="G2246" s="37" t="str">
        <f t="shared" si="107"/>
        <v/>
      </c>
    </row>
    <row r="2247" spans="5:7" x14ac:dyDescent="0.45">
      <c r="E2247" s="32" t="str">
        <f t="shared" si="105"/>
        <v>.0</v>
      </c>
      <c r="F2247" s="32" t="str">
        <f t="shared" si="106"/>
        <v>.0</v>
      </c>
      <c r="G2247" s="37" t="str">
        <f t="shared" si="107"/>
        <v/>
      </c>
    </row>
    <row r="2248" spans="5:7" x14ac:dyDescent="0.45">
      <c r="E2248" s="32" t="str">
        <f t="shared" si="105"/>
        <v>.0</v>
      </c>
      <c r="F2248" s="32" t="str">
        <f t="shared" si="106"/>
        <v>.0</v>
      </c>
      <c r="G2248" s="37" t="str">
        <f t="shared" si="107"/>
        <v/>
      </c>
    </row>
    <row r="2249" spans="5:7" x14ac:dyDescent="0.45">
      <c r="E2249" s="32" t="str">
        <f t="shared" si="105"/>
        <v>.0</v>
      </c>
      <c r="F2249" s="32" t="str">
        <f t="shared" si="106"/>
        <v>.0</v>
      </c>
      <c r="G2249" s="37" t="str">
        <f t="shared" si="107"/>
        <v/>
      </c>
    </row>
    <row r="2250" spans="5:7" x14ac:dyDescent="0.45">
      <c r="E2250" s="32" t="str">
        <f t="shared" si="105"/>
        <v>.0</v>
      </c>
      <c r="F2250" s="32" t="str">
        <f t="shared" si="106"/>
        <v>.0</v>
      </c>
      <c r="G2250" s="37" t="str">
        <f t="shared" si="107"/>
        <v/>
      </c>
    </row>
    <row r="2251" spans="5:7" x14ac:dyDescent="0.45">
      <c r="E2251" s="32" t="str">
        <f t="shared" si="105"/>
        <v>.0</v>
      </c>
      <c r="F2251" s="32" t="str">
        <f t="shared" si="106"/>
        <v>.0</v>
      </c>
      <c r="G2251" s="37" t="str">
        <f t="shared" si="107"/>
        <v/>
      </c>
    </row>
    <row r="2252" spans="5:7" x14ac:dyDescent="0.45">
      <c r="E2252" s="32" t="str">
        <f t="shared" si="105"/>
        <v>.0</v>
      </c>
      <c r="F2252" s="32" t="str">
        <f t="shared" si="106"/>
        <v>.0</v>
      </c>
      <c r="G2252" s="37" t="str">
        <f t="shared" si="107"/>
        <v/>
      </c>
    </row>
    <row r="2253" spans="5:7" x14ac:dyDescent="0.45">
      <c r="E2253" s="32" t="str">
        <f t="shared" si="105"/>
        <v>.0</v>
      </c>
      <c r="F2253" s="32" t="str">
        <f t="shared" si="106"/>
        <v>.0</v>
      </c>
      <c r="G2253" s="37" t="str">
        <f t="shared" si="107"/>
        <v/>
      </c>
    </row>
    <row r="2254" spans="5:7" x14ac:dyDescent="0.45">
      <c r="E2254" s="32" t="str">
        <f t="shared" si="105"/>
        <v>.0</v>
      </c>
      <c r="F2254" s="32" t="str">
        <f t="shared" si="106"/>
        <v>.0</v>
      </c>
      <c r="G2254" s="37" t="str">
        <f t="shared" si="107"/>
        <v/>
      </c>
    </row>
    <row r="2255" spans="5:7" x14ac:dyDescent="0.45">
      <c r="E2255" s="32" t="str">
        <f t="shared" si="105"/>
        <v>.0</v>
      </c>
      <c r="F2255" s="32" t="str">
        <f t="shared" si="106"/>
        <v>.0</v>
      </c>
      <c r="G2255" s="37" t="str">
        <f t="shared" si="107"/>
        <v/>
      </c>
    </row>
    <row r="2256" spans="5:7" x14ac:dyDescent="0.45">
      <c r="E2256" s="32" t="str">
        <f t="shared" si="105"/>
        <v>.0</v>
      </c>
      <c r="F2256" s="32" t="str">
        <f t="shared" si="106"/>
        <v>.0</v>
      </c>
      <c r="G2256" s="37" t="str">
        <f t="shared" si="107"/>
        <v/>
      </c>
    </row>
    <row r="2257" spans="5:7" x14ac:dyDescent="0.45">
      <c r="E2257" s="32" t="str">
        <f t="shared" si="105"/>
        <v>.0</v>
      </c>
      <c r="F2257" s="32" t="str">
        <f t="shared" si="106"/>
        <v>.0</v>
      </c>
      <c r="G2257" s="37" t="str">
        <f t="shared" si="107"/>
        <v/>
      </c>
    </row>
    <row r="2258" spans="5:7" x14ac:dyDescent="0.45">
      <c r="E2258" s="32" t="str">
        <f t="shared" si="105"/>
        <v>.0</v>
      </c>
      <c r="F2258" s="32" t="str">
        <f t="shared" si="106"/>
        <v>.0</v>
      </c>
      <c r="G2258" s="37" t="str">
        <f t="shared" si="107"/>
        <v/>
      </c>
    </row>
    <row r="2259" spans="5:7" x14ac:dyDescent="0.45">
      <c r="E2259" s="32" t="str">
        <f t="shared" si="105"/>
        <v>.0</v>
      </c>
      <c r="F2259" s="32" t="str">
        <f t="shared" si="106"/>
        <v>.0</v>
      </c>
      <c r="G2259" s="37" t="str">
        <f t="shared" si="107"/>
        <v/>
      </c>
    </row>
    <row r="2260" spans="5:7" x14ac:dyDescent="0.45">
      <c r="E2260" s="32" t="str">
        <f t="shared" si="105"/>
        <v>.0</v>
      </c>
      <c r="F2260" s="32" t="str">
        <f t="shared" si="106"/>
        <v>.0</v>
      </c>
      <c r="G2260" s="37" t="str">
        <f t="shared" si="107"/>
        <v/>
      </c>
    </row>
    <row r="2261" spans="5:7" x14ac:dyDescent="0.45">
      <c r="E2261" s="32" t="str">
        <f t="shared" si="105"/>
        <v>.0</v>
      </c>
      <c r="F2261" s="32" t="str">
        <f t="shared" si="106"/>
        <v>.0</v>
      </c>
      <c r="G2261" s="37" t="str">
        <f t="shared" si="107"/>
        <v/>
      </c>
    </row>
    <row r="2262" spans="5:7" x14ac:dyDescent="0.45">
      <c r="E2262" s="32" t="str">
        <f t="shared" si="105"/>
        <v>.0</v>
      </c>
      <c r="F2262" s="32" t="str">
        <f t="shared" si="106"/>
        <v>.0</v>
      </c>
      <c r="G2262" s="37" t="str">
        <f t="shared" si="107"/>
        <v/>
      </c>
    </row>
    <row r="2263" spans="5:7" x14ac:dyDescent="0.45">
      <c r="E2263" s="32" t="str">
        <f t="shared" si="105"/>
        <v>.0</v>
      </c>
      <c r="F2263" s="32" t="str">
        <f t="shared" si="106"/>
        <v>.0</v>
      </c>
      <c r="G2263" s="37" t="str">
        <f t="shared" si="107"/>
        <v/>
      </c>
    </row>
    <row r="2264" spans="5:7" x14ac:dyDescent="0.45">
      <c r="E2264" s="32" t="str">
        <f t="shared" si="105"/>
        <v>.0</v>
      </c>
      <c r="F2264" s="32" t="str">
        <f t="shared" si="106"/>
        <v>.0</v>
      </c>
      <c r="G2264" s="37" t="str">
        <f t="shared" si="107"/>
        <v/>
      </c>
    </row>
    <row r="2265" spans="5:7" x14ac:dyDescent="0.45">
      <c r="E2265" s="32" t="str">
        <f t="shared" si="105"/>
        <v>.0</v>
      </c>
      <c r="F2265" s="32" t="str">
        <f t="shared" si="106"/>
        <v>.0</v>
      </c>
      <c r="G2265" s="37" t="str">
        <f t="shared" si="107"/>
        <v/>
      </c>
    </row>
    <row r="2266" spans="5:7" x14ac:dyDescent="0.45">
      <c r="E2266" s="32" t="str">
        <f t="shared" si="105"/>
        <v>.0</v>
      </c>
      <c r="F2266" s="32" t="str">
        <f t="shared" si="106"/>
        <v>.0</v>
      </c>
      <c r="G2266" s="37" t="str">
        <f t="shared" si="107"/>
        <v/>
      </c>
    </row>
    <row r="2267" spans="5:7" x14ac:dyDescent="0.45">
      <c r="E2267" s="32" t="str">
        <f t="shared" si="105"/>
        <v>.0</v>
      </c>
      <c r="F2267" s="32" t="str">
        <f t="shared" si="106"/>
        <v>.0</v>
      </c>
      <c r="G2267" s="37" t="str">
        <f t="shared" si="107"/>
        <v/>
      </c>
    </row>
    <row r="2268" spans="5:7" x14ac:dyDescent="0.45">
      <c r="E2268" s="32" t="str">
        <f t="shared" si="105"/>
        <v>.0</v>
      </c>
      <c r="F2268" s="32" t="str">
        <f t="shared" si="106"/>
        <v>.0</v>
      </c>
      <c r="G2268" s="37" t="str">
        <f t="shared" si="107"/>
        <v/>
      </c>
    </row>
    <row r="2269" spans="5:7" x14ac:dyDescent="0.45">
      <c r="E2269" s="32" t="str">
        <f t="shared" si="105"/>
        <v>.0</v>
      </c>
      <c r="F2269" s="32" t="str">
        <f t="shared" si="106"/>
        <v>.0</v>
      </c>
      <c r="G2269" s="37" t="str">
        <f t="shared" si="107"/>
        <v/>
      </c>
    </row>
    <row r="2270" spans="5:7" x14ac:dyDescent="0.45">
      <c r="E2270" s="32" t="str">
        <f t="shared" ref="E2270:E2333" si="108">MID(B2270,3,2)&amp;"."&amp;IF(C2270&lt;10,"0"&amp;C2270,C2270)</f>
        <v>.0</v>
      </c>
      <c r="F2270" s="32" t="str">
        <f t="shared" ref="F2270:F2333" si="109">MID(B2270,3,2)&amp;"."&amp;IF(C2270&lt;10,"0"&amp;C2270,C2270)</f>
        <v>.0</v>
      </c>
      <c r="G2270" s="37" t="str">
        <f t="shared" ref="G2270:G2333" si="110">TEXT(D2270,"#,###,")</f>
        <v/>
      </c>
    </row>
    <row r="2271" spans="5:7" x14ac:dyDescent="0.45">
      <c r="E2271" s="32" t="str">
        <f t="shared" si="108"/>
        <v>.0</v>
      </c>
      <c r="F2271" s="32" t="str">
        <f t="shared" si="109"/>
        <v>.0</v>
      </c>
      <c r="G2271" s="37" t="str">
        <f t="shared" si="110"/>
        <v/>
      </c>
    </row>
    <row r="2272" spans="5:7" x14ac:dyDescent="0.45">
      <c r="E2272" s="32" t="str">
        <f t="shared" si="108"/>
        <v>.0</v>
      </c>
      <c r="F2272" s="32" t="str">
        <f t="shared" si="109"/>
        <v>.0</v>
      </c>
      <c r="G2272" s="37" t="str">
        <f t="shared" si="110"/>
        <v/>
      </c>
    </row>
    <row r="2273" spans="5:7" x14ac:dyDescent="0.45">
      <c r="E2273" s="32" t="str">
        <f t="shared" si="108"/>
        <v>.0</v>
      </c>
      <c r="F2273" s="32" t="str">
        <f t="shared" si="109"/>
        <v>.0</v>
      </c>
      <c r="G2273" s="37" t="str">
        <f t="shared" si="110"/>
        <v/>
      </c>
    </row>
    <row r="2274" spans="5:7" x14ac:dyDescent="0.45">
      <c r="E2274" s="32" t="str">
        <f t="shared" si="108"/>
        <v>.0</v>
      </c>
      <c r="F2274" s="32" t="str">
        <f t="shared" si="109"/>
        <v>.0</v>
      </c>
      <c r="G2274" s="37" t="str">
        <f t="shared" si="110"/>
        <v/>
      </c>
    </row>
    <row r="2275" spans="5:7" x14ac:dyDescent="0.45">
      <c r="E2275" s="32" t="str">
        <f t="shared" si="108"/>
        <v>.0</v>
      </c>
      <c r="F2275" s="32" t="str">
        <f t="shared" si="109"/>
        <v>.0</v>
      </c>
      <c r="G2275" s="37" t="str">
        <f t="shared" si="110"/>
        <v/>
      </c>
    </row>
    <row r="2276" spans="5:7" x14ac:dyDescent="0.45">
      <c r="E2276" s="32" t="str">
        <f t="shared" si="108"/>
        <v>.0</v>
      </c>
      <c r="F2276" s="32" t="str">
        <f t="shared" si="109"/>
        <v>.0</v>
      </c>
      <c r="G2276" s="37" t="str">
        <f t="shared" si="110"/>
        <v/>
      </c>
    </row>
    <row r="2277" spans="5:7" x14ac:dyDescent="0.45">
      <c r="E2277" s="32" t="str">
        <f t="shared" si="108"/>
        <v>.0</v>
      </c>
      <c r="F2277" s="32" t="str">
        <f t="shared" si="109"/>
        <v>.0</v>
      </c>
      <c r="G2277" s="37" t="str">
        <f t="shared" si="110"/>
        <v/>
      </c>
    </row>
    <row r="2278" spans="5:7" x14ac:dyDescent="0.45">
      <c r="E2278" s="32" t="str">
        <f t="shared" si="108"/>
        <v>.0</v>
      </c>
      <c r="F2278" s="32" t="str">
        <f t="shared" si="109"/>
        <v>.0</v>
      </c>
      <c r="G2278" s="37" t="str">
        <f t="shared" si="110"/>
        <v/>
      </c>
    </row>
    <row r="2279" spans="5:7" x14ac:dyDescent="0.45">
      <c r="E2279" s="32" t="str">
        <f t="shared" si="108"/>
        <v>.0</v>
      </c>
      <c r="F2279" s="32" t="str">
        <f t="shared" si="109"/>
        <v>.0</v>
      </c>
      <c r="G2279" s="37" t="str">
        <f t="shared" si="110"/>
        <v/>
      </c>
    </row>
    <row r="2280" spans="5:7" x14ac:dyDescent="0.45">
      <c r="E2280" s="32" t="str">
        <f t="shared" si="108"/>
        <v>.0</v>
      </c>
      <c r="F2280" s="32" t="str">
        <f t="shared" si="109"/>
        <v>.0</v>
      </c>
      <c r="G2280" s="37" t="str">
        <f t="shared" si="110"/>
        <v/>
      </c>
    </row>
    <row r="2281" spans="5:7" x14ac:dyDescent="0.45">
      <c r="E2281" s="32" t="str">
        <f t="shared" si="108"/>
        <v>.0</v>
      </c>
      <c r="F2281" s="32" t="str">
        <f t="shared" si="109"/>
        <v>.0</v>
      </c>
      <c r="G2281" s="37" t="str">
        <f t="shared" si="110"/>
        <v/>
      </c>
    </row>
    <row r="2282" spans="5:7" x14ac:dyDescent="0.45">
      <c r="E2282" s="32" t="str">
        <f t="shared" si="108"/>
        <v>.0</v>
      </c>
      <c r="F2282" s="32" t="str">
        <f t="shared" si="109"/>
        <v>.0</v>
      </c>
      <c r="G2282" s="37" t="str">
        <f t="shared" si="110"/>
        <v/>
      </c>
    </row>
    <row r="2283" spans="5:7" x14ac:dyDescent="0.45">
      <c r="E2283" s="32" t="str">
        <f t="shared" si="108"/>
        <v>.0</v>
      </c>
      <c r="F2283" s="32" t="str">
        <f t="shared" si="109"/>
        <v>.0</v>
      </c>
      <c r="G2283" s="37" t="str">
        <f t="shared" si="110"/>
        <v/>
      </c>
    </row>
    <row r="2284" spans="5:7" x14ac:dyDescent="0.45">
      <c r="E2284" s="32" t="str">
        <f t="shared" si="108"/>
        <v>.0</v>
      </c>
      <c r="F2284" s="32" t="str">
        <f t="shared" si="109"/>
        <v>.0</v>
      </c>
      <c r="G2284" s="37" t="str">
        <f t="shared" si="110"/>
        <v/>
      </c>
    </row>
    <row r="2285" spans="5:7" x14ac:dyDescent="0.45">
      <c r="E2285" s="32" t="str">
        <f t="shared" si="108"/>
        <v>.0</v>
      </c>
      <c r="F2285" s="32" t="str">
        <f t="shared" si="109"/>
        <v>.0</v>
      </c>
      <c r="G2285" s="37" t="str">
        <f t="shared" si="110"/>
        <v/>
      </c>
    </row>
    <row r="2286" spans="5:7" x14ac:dyDescent="0.45">
      <c r="E2286" s="32" t="str">
        <f t="shared" si="108"/>
        <v>.0</v>
      </c>
      <c r="F2286" s="32" t="str">
        <f t="shared" si="109"/>
        <v>.0</v>
      </c>
      <c r="G2286" s="37" t="str">
        <f t="shared" si="110"/>
        <v/>
      </c>
    </row>
    <row r="2287" spans="5:7" x14ac:dyDescent="0.45">
      <c r="E2287" s="32" t="str">
        <f t="shared" si="108"/>
        <v>.0</v>
      </c>
      <c r="F2287" s="32" t="str">
        <f t="shared" si="109"/>
        <v>.0</v>
      </c>
      <c r="G2287" s="37" t="str">
        <f t="shared" si="110"/>
        <v/>
      </c>
    </row>
    <row r="2288" spans="5:7" x14ac:dyDescent="0.45">
      <c r="E2288" s="32" t="str">
        <f t="shared" si="108"/>
        <v>.0</v>
      </c>
      <c r="F2288" s="32" t="str">
        <f t="shared" si="109"/>
        <v>.0</v>
      </c>
      <c r="G2288" s="37" t="str">
        <f t="shared" si="110"/>
        <v/>
      </c>
    </row>
    <row r="2289" spans="5:7" x14ac:dyDescent="0.45">
      <c r="E2289" s="32" t="str">
        <f t="shared" si="108"/>
        <v>.0</v>
      </c>
      <c r="F2289" s="32" t="str">
        <f t="shared" si="109"/>
        <v>.0</v>
      </c>
      <c r="G2289" s="37" t="str">
        <f t="shared" si="110"/>
        <v/>
      </c>
    </row>
    <row r="2290" spans="5:7" x14ac:dyDescent="0.45">
      <c r="E2290" s="32" t="str">
        <f t="shared" si="108"/>
        <v>.0</v>
      </c>
      <c r="F2290" s="32" t="str">
        <f t="shared" si="109"/>
        <v>.0</v>
      </c>
      <c r="G2290" s="37" t="str">
        <f t="shared" si="110"/>
        <v/>
      </c>
    </row>
    <row r="2291" spans="5:7" x14ac:dyDescent="0.45">
      <c r="E2291" s="32" t="str">
        <f t="shared" si="108"/>
        <v>.0</v>
      </c>
      <c r="F2291" s="32" t="str">
        <f t="shared" si="109"/>
        <v>.0</v>
      </c>
      <c r="G2291" s="37" t="str">
        <f t="shared" si="110"/>
        <v/>
      </c>
    </row>
    <row r="2292" spans="5:7" x14ac:dyDescent="0.45">
      <c r="E2292" s="32" t="str">
        <f t="shared" si="108"/>
        <v>.0</v>
      </c>
      <c r="F2292" s="32" t="str">
        <f t="shared" si="109"/>
        <v>.0</v>
      </c>
      <c r="G2292" s="37" t="str">
        <f t="shared" si="110"/>
        <v/>
      </c>
    </row>
    <row r="2293" spans="5:7" x14ac:dyDescent="0.45">
      <c r="E2293" s="32" t="str">
        <f t="shared" si="108"/>
        <v>.0</v>
      </c>
      <c r="F2293" s="32" t="str">
        <f t="shared" si="109"/>
        <v>.0</v>
      </c>
      <c r="G2293" s="37" t="str">
        <f t="shared" si="110"/>
        <v/>
      </c>
    </row>
    <row r="2294" spans="5:7" x14ac:dyDescent="0.45">
      <c r="E2294" s="32" t="str">
        <f t="shared" si="108"/>
        <v>.0</v>
      </c>
      <c r="F2294" s="32" t="str">
        <f t="shared" si="109"/>
        <v>.0</v>
      </c>
      <c r="G2294" s="37" t="str">
        <f t="shared" si="110"/>
        <v/>
      </c>
    </row>
    <row r="2295" spans="5:7" x14ac:dyDescent="0.45">
      <c r="E2295" s="32" t="str">
        <f t="shared" si="108"/>
        <v>.0</v>
      </c>
      <c r="F2295" s="32" t="str">
        <f t="shared" si="109"/>
        <v>.0</v>
      </c>
      <c r="G2295" s="37" t="str">
        <f t="shared" si="110"/>
        <v/>
      </c>
    </row>
    <row r="2296" spans="5:7" x14ac:dyDescent="0.45">
      <c r="E2296" s="32" t="str">
        <f t="shared" si="108"/>
        <v>.0</v>
      </c>
      <c r="F2296" s="32" t="str">
        <f t="shared" si="109"/>
        <v>.0</v>
      </c>
      <c r="G2296" s="37" t="str">
        <f t="shared" si="110"/>
        <v/>
      </c>
    </row>
    <row r="2297" spans="5:7" x14ac:dyDescent="0.45">
      <c r="E2297" s="32" t="str">
        <f t="shared" si="108"/>
        <v>.0</v>
      </c>
      <c r="F2297" s="32" t="str">
        <f t="shared" si="109"/>
        <v>.0</v>
      </c>
      <c r="G2297" s="37" t="str">
        <f t="shared" si="110"/>
        <v/>
      </c>
    </row>
    <row r="2298" spans="5:7" x14ac:dyDescent="0.45">
      <c r="E2298" s="32" t="str">
        <f t="shared" si="108"/>
        <v>.0</v>
      </c>
      <c r="F2298" s="32" t="str">
        <f t="shared" si="109"/>
        <v>.0</v>
      </c>
      <c r="G2298" s="37" t="str">
        <f t="shared" si="110"/>
        <v/>
      </c>
    </row>
    <row r="2299" spans="5:7" x14ac:dyDescent="0.45">
      <c r="E2299" s="32" t="str">
        <f t="shared" si="108"/>
        <v>.0</v>
      </c>
      <c r="F2299" s="32" t="str">
        <f t="shared" si="109"/>
        <v>.0</v>
      </c>
      <c r="G2299" s="37" t="str">
        <f t="shared" si="110"/>
        <v/>
      </c>
    </row>
    <row r="2300" spans="5:7" x14ac:dyDescent="0.45">
      <c r="E2300" s="32" t="str">
        <f t="shared" si="108"/>
        <v>.0</v>
      </c>
      <c r="F2300" s="32" t="str">
        <f t="shared" si="109"/>
        <v>.0</v>
      </c>
      <c r="G2300" s="37" t="str">
        <f t="shared" si="110"/>
        <v/>
      </c>
    </row>
    <row r="2301" spans="5:7" x14ac:dyDescent="0.45">
      <c r="E2301" s="32" t="str">
        <f t="shared" si="108"/>
        <v>.0</v>
      </c>
      <c r="F2301" s="32" t="str">
        <f t="shared" si="109"/>
        <v>.0</v>
      </c>
      <c r="G2301" s="37" t="str">
        <f t="shared" si="110"/>
        <v/>
      </c>
    </row>
    <row r="2302" spans="5:7" x14ac:dyDescent="0.45">
      <c r="E2302" s="32" t="str">
        <f t="shared" si="108"/>
        <v>.0</v>
      </c>
      <c r="F2302" s="32" t="str">
        <f t="shared" si="109"/>
        <v>.0</v>
      </c>
      <c r="G2302" s="37" t="str">
        <f t="shared" si="110"/>
        <v/>
      </c>
    </row>
    <row r="2303" spans="5:7" x14ac:dyDescent="0.45">
      <c r="E2303" s="32" t="str">
        <f t="shared" si="108"/>
        <v>.0</v>
      </c>
      <c r="F2303" s="32" t="str">
        <f t="shared" si="109"/>
        <v>.0</v>
      </c>
      <c r="G2303" s="37" t="str">
        <f t="shared" si="110"/>
        <v/>
      </c>
    </row>
    <row r="2304" spans="5:7" x14ac:dyDescent="0.45">
      <c r="E2304" s="32" t="str">
        <f t="shared" si="108"/>
        <v>.0</v>
      </c>
      <c r="F2304" s="32" t="str">
        <f t="shared" si="109"/>
        <v>.0</v>
      </c>
      <c r="G2304" s="37" t="str">
        <f t="shared" si="110"/>
        <v/>
      </c>
    </row>
    <row r="2305" spans="5:7" x14ac:dyDescent="0.45">
      <c r="E2305" s="32" t="str">
        <f t="shared" si="108"/>
        <v>.0</v>
      </c>
      <c r="F2305" s="32" t="str">
        <f t="shared" si="109"/>
        <v>.0</v>
      </c>
      <c r="G2305" s="37" t="str">
        <f t="shared" si="110"/>
        <v/>
      </c>
    </row>
    <row r="2306" spans="5:7" x14ac:dyDescent="0.45">
      <c r="E2306" s="32" t="str">
        <f t="shared" si="108"/>
        <v>.0</v>
      </c>
      <c r="F2306" s="32" t="str">
        <f t="shared" si="109"/>
        <v>.0</v>
      </c>
      <c r="G2306" s="37" t="str">
        <f t="shared" si="110"/>
        <v/>
      </c>
    </row>
    <row r="2307" spans="5:7" x14ac:dyDescent="0.45">
      <c r="E2307" s="32" t="str">
        <f t="shared" si="108"/>
        <v>.0</v>
      </c>
      <c r="F2307" s="32" t="str">
        <f t="shared" si="109"/>
        <v>.0</v>
      </c>
      <c r="G2307" s="37" t="str">
        <f t="shared" si="110"/>
        <v/>
      </c>
    </row>
    <row r="2308" spans="5:7" x14ac:dyDescent="0.45">
      <c r="E2308" s="32" t="str">
        <f t="shared" si="108"/>
        <v>.0</v>
      </c>
      <c r="F2308" s="32" t="str">
        <f t="shared" si="109"/>
        <v>.0</v>
      </c>
      <c r="G2308" s="37" t="str">
        <f t="shared" si="110"/>
        <v/>
      </c>
    </row>
    <row r="2309" spans="5:7" x14ac:dyDescent="0.45">
      <c r="E2309" s="32" t="str">
        <f t="shared" si="108"/>
        <v>.0</v>
      </c>
      <c r="F2309" s="32" t="str">
        <f t="shared" si="109"/>
        <v>.0</v>
      </c>
      <c r="G2309" s="37" t="str">
        <f t="shared" si="110"/>
        <v/>
      </c>
    </row>
    <row r="2310" spans="5:7" x14ac:dyDescent="0.45">
      <c r="E2310" s="32" t="str">
        <f t="shared" si="108"/>
        <v>.0</v>
      </c>
      <c r="F2310" s="32" t="str">
        <f t="shared" si="109"/>
        <v>.0</v>
      </c>
      <c r="G2310" s="37" t="str">
        <f t="shared" si="110"/>
        <v/>
      </c>
    </row>
    <row r="2311" spans="5:7" x14ac:dyDescent="0.45">
      <c r="E2311" s="32" t="str">
        <f t="shared" si="108"/>
        <v>.0</v>
      </c>
      <c r="F2311" s="32" t="str">
        <f t="shared" si="109"/>
        <v>.0</v>
      </c>
      <c r="G2311" s="37" t="str">
        <f t="shared" si="110"/>
        <v/>
      </c>
    </row>
    <row r="2312" spans="5:7" x14ac:dyDescent="0.45">
      <c r="E2312" s="32" t="str">
        <f t="shared" si="108"/>
        <v>.0</v>
      </c>
      <c r="F2312" s="32" t="str">
        <f t="shared" si="109"/>
        <v>.0</v>
      </c>
      <c r="G2312" s="37" t="str">
        <f t="shared" si="110"/>
        <v/>
      </c>
    </row>
    <row r="2313" spans="5:7" x14ac:dyDescent="0.45">
      <c r="E2313" s="32" t="str">
        <f t="shared" si="108"/>
        <v>.0</v>
      </c>
      <c r="F2313" s="32" t="str">
        <f t="shared" si="109"/>
        <v>.0</v>
      </c>
      <c r="G2313" s="37" t="str">
        <f t="shared" si="110"/>
        <v/>
      </c>
    </row>
    <row r="2314" spans="5:7" x14ac:dyDescent="0.45">
      <c r="E2314" s="32" t="str">
        <f t="shared" si="108"/>
        <v>.0</v>
      </c>
      <c r="F2314" s="32" t="str">
        <f t="shared" si="109"/>
        <v>.0</v>
      </c>
      <c r="G2314" s="37" t="str">
        <f t="shared" si="110"/>
        <v/>
      </c>
    </row>
    <row r="2315" spans="5:7" x14ac:dyDescent="0.45">
      <c r="E2315" s="32" t="str">
        <f t="shared" si="108"/>
        <v>.0</v>
      </c>
      <c r="F2315" s="32" t="str">
        <f t="shared" si="109"/>
        <v>.0</v>
      </c>
      <c r="G2315" s="37" t="str">
        <f t="shared" si="110"/>
        <v/>
      </c>
    </row>
    <row r="2316" spans="5:7" x14ac:dyDescent="0.45">
      <c r="E2316" s="32" t="str">
        <f t="shared" si="108"/>
        <v>.0</v>
      </c>
      <c r="F2316" s="32" t="str">
        <f t="shared" si="109"/>
        <v>.0</v>
      </c>
      <c r="G2316" s="37" t="str">
        <f t="shared" si="110"/>
        <v/>
      </c>
    </row>
    <row r="2317" spans="5:7" x14ac:dyDescent="0.45">
      <c r="E2317" s="32" t="str">
        <f t="shared" si="108"/>
        <v>.0</v>
      </c>
      <c r="F2317" s="32" t="str">
        <f t="shared" si="109"/>
        <v>.0</v>
      </c>
      <c r="G2317" s="37" t="str">
        <f t="shared" si="110"/>
        <v/>
      </c>
    </row>
    <row r="2318" spans="5:7" x14ac:dyDescent="0.45">
      <c r="E2318" s="32" t="str">
        <f t="shared" si="108"/>
        <v>.0</v>
      </c>
      <c r="F2318" s="32" t="str">
        <f t="shared" si="109"/>
        <v>.0</v>
      </c>
      <c r="G2318" s="37" t="str">
        <f t="shared" si="110"/>
        <v/>
      </c>
    </row>
    <row r="2319" spans="5:7" x14ac:dyDescent="0.45">
      <c r="E2319" s="32" t="str">
        <f t="shared" si="108"/>
        <v>.0</v>
      </c>
      <c r="F2319" s="32" t="str">
        <f t="shared" si="109"/>
        <v>.0</v>
      </c>
      <c r="G2319" s="37" t="str">
        <f t="shared" si="110"/>
        <v/>
      </c>
    </row>
    <row r="2320" spans="5:7" x14ac:dyDescent="0.45">
      <c r="E2320" s="32" t="str">
        <f t="shared" si="108"/>
        <v>.0</v>
      </c>
      <c r="F2320" s="32" t="str">
        <f t="shared" si="109"/>
        <v>.0</v>
      </c>
      <c r="G2320" s="37" t="str">
        <f t="shared" si="110"/>
        <v/>
      </c>
    </row>
    <row r="2321" spans="5:7" x14ac:dyDescent="0.45">
      <c r="E2321" s="32" t="str">
        <f t="shared" si="108"/>
        <v>.0</v>
      </c>
      <c r="F2321" s="32" t="str">
        <f t="shared" si="109"/>
        <v>.0</v>
      </c>
      <c r="G2321" s="37" t="str">
        <f t="shared" si="110"/>
        <v/>
      </c>
    </row>
    <row r="2322" spans="5:7" x14ac:dyDescent="0.45">
      <c r="E2322" s="32" t="str">
        <f t="shared" si="108"/>
        <v>.0</v>
      </c>
      <c r="F2322" s="32" t="str">
        <f t="shared" si="109"/>
        <v>.0</v>
      </c>
      <c r="G2322" s="37" t="str">
        <f t="shared" si="110"/>
        <v/>
      </c>
    </row>
    <row r="2323" spans="5:7" x14ac:dyDescent="0.45">
      <c r="E2323" s="32" t="str">
        <f t="shared" si="108"/>
        <v>.0</v>
      </c>
      <c r="F2323" s="32" t="str">
        <f t="shared" si="109"/>
        <v>.0</v>
      </c>
      <c r="G2323" s="37" t="str">
        <f t="shared" si="110"/>
        <v/>
      </c>
    </row>
    <row r="2324" spans="5:7" x14ac:dyDescent="0.45">
      <c r="E2324" s="32" t="str">
        <f t="shared" si="108"/>
        <v>.0</v>
      </c>
      <c r="F2324" s="32" t="str">
        <f t="shared" si="109"/>
        <v>.0</v>
      </c>
      <c r="G2324" s="37" t="str">
        <f t="shared" si="110"/>
        <v/>
      </c>
    </row>
    <row r="2325" spans="5:7" x14ac:dyDescent="0.45">
      <c r="E2325" s="32" t="str">
        <f t="shared" si="108"/>
        <v>.0</v>
      </c>
      <c r="F2325" s="32" t="str">
        <f t="shared" si="109"/>
        <v>.0</v>
      </c>
      <c r="G2325" s="37" t="str">
        <f t="shared" si="110"/>
        <v/>
      </c>
    </row>
    <row r="2326" spans="5:7" x14ac:dyDescent="0.45">
      <c r="E2326" s="32" t="str">
        <f t="shared" si="108"/>
        <v>.0</v>
      </c>
      <c r="F2326" s="32" t="str">
        <f t="shared" si="109"/>
        <v>.0</v>
      </c>
      <c r="G2326" s="37" t="str">
        <f t="shared" si="110"/>
        <v/>
      </c>
    </row>
    <row r="2327" spans="5:7" x14ac:dyDescent="0.45">
      <c r="E2327" s="32" t="str">
        <f t="shared" si="108"/>
        <v>.0</v>
      </c>
      <c r="F2327" s="32" t="str">
        <f t="shared" si="109"/>
        <v>.0</v>
      </c>
      <c r="G2327" s="37" t="str">
        <f t="shared" si="110"/>
        <v/>
      </c>
    </row>
    <row r="2328" spans="5:7" x14ac:dyDescent="0.45">
      <c r="E2328" s="32" t="str">
        <f t="shared" si="108"/>
        <v>.0</v>
      </c>
      <c r="F2328" s="32" t="str">
        <f t="shared" si="109"/>
        <v>.0</v>
      </c>
      <c r="G2328" s="37" t="str">
        <f t="shared" si="110"/>
        <v/>
      </c>
    </row>
    <row r="2329" spans="5:7" x14ac:dyDescent="0.45">
      <c r="E2329" s="32" t="str">
        <f t="shared" si="108"/>
        <v>.0</v>
      </c>
      <c r="F2329" s="32" t="str">
        <f t="shared" si="109"/>
        <v>.0</v>
      </c>
      <c r="G2329" s="37" t="str">
        <f t="shared" si="110"/>
        <v/>
      </c>
    </row>
    <row r="2330" spans="5:7" x14ac:dyDescent="0.45">
      <c r="E2330" s="32" t="str">
        <f t="shared" si="108"/>
        <v>.0</v>
      </c>
      <c r="F2330" s="32" t="str">
        <f t="shared" si="109"/>
        <v>.0</v>
      </c>
      <c r="G2330" s="37" t="str">
        <f t="shared" si="110"/>
        <v/>
      </c>
    </row>
    <row r="2331" spans="5:7" x14ac:dyDescent="0.45">
      <c r="E2331" s="32" t="str">
        <f t="shared" si="108"/>
        <v>.0</v>
      </c>
      <c r="F2331" s="32" t="str">
        <f t="shared" si="109"/>
        <v>.0</v>
      </c>
      <c r="G2331" s="37" t="str">
        <f t="shared" si="110"/>
        <v/>
      </c>
    </row>
    <row r="2332" spans="5:7" x14ac:dyDescent="0.45">
      <c r="E2332" s="32" t="str">
        <f t="shared" si="108"/>
        <v>.0</v>
      </c>
      <c r="F2332" s="32" t="str">
        <f t="shared" si="109"/>
        <v>.0</v>
      </c>
      <c r="G2332" s="37" t="str">
        <f t="shared" si="110"/>
        <v/>
      </c>
    </row>
    <row r="2333" spans="5:7" x14ac:dyDescent="0.45">
      <c r="E2333" s="32" t="str">
        <f t="shared" si="108"/>
        <v>.0</v>
      </c>
      <c r="F2333" s="32" t="str">
        <f t="shared" si="109"/>
        <v>.0</v>
      </c>
      <c r="G2333" s="37" t="str">
        <f t="shared" si="110"/>
        <v/>
      </c>
    </row>
    <row r="2334" spans="5:7" x14ac:dyDescent="0.45">
      <c r="E2334" s="32" t="str">
        <f t="shared" ref="E2334:E2397" si="111">MID(B2334,3,2)&amp;"."&amp;IF(C2334&lt;10,"0"&amp;C2334,C2334)</f>
        <v>.0</v>
      </c>
      <c r="F2334" s="32" t="str">
        <f t="shared" ref="F2334:F2397" si="112">MID(B2334,3,2)&amp;"."&amp;IF(C2334&lt;10,"0"&amp;C2334,C2334)</f>
        <v>.0</v>
      </c>
      <c r="G2334" s="37" t="str">
        <f t="shared" ref="G2334:G2397" si="113">TEXT(D2334,"#,###,")</f>
        <v/>
      </c>
    </row>
    <row r="2335" spans="5:7" x14ac:dyDescent="0.45">
      <c r="E2335" s="32" t="str">
        <f t="shared" si="111"/>
        <v>.0</v>
      </c>
      <c r="F2335" s="32" t="str">
        <f t="shared" si="112"/>
        <v>.0</v>
      </c>
      <c r="G2335" s="37" t="str">
        <f t="shared" si="113"/>
        <v/>
      </c>
    </row>
    <row r="2336" spans="5:7" x14ac:dyDescent="0.45">
      <c r="E2336" s="32" t="str">
        <f t="shared" si="111"/>
        <v>.0</v>
      </c>
      <c r="F2336" s="32" t="str">
        <f t="shared" si="112"/>
        <v>.0</v>
      </c>
      <c r="G2336" s="37" t="str">
        <f t="shared" si="113"/>
        <v/>
      </c>
    </row>
    <row r="2337" spans="5:7" x14ac:dyDescent="0.45">
      <c r="E2337" s="32" t="str">
        <f t="shared" si="111"/>
        <v>.0</v>
      </c>
      <c r="F2337" s="32" t="str">
        <f t="shared" si="112"/>
        <v>.0</v>
      </c>
      <c r="G2337" s="37" t="str">
        <f t="shared" si="113"/>
        <v/>
      </c>
    </row>
    <row r="2338" spans="5:7" x14ac:dyDescent="0.45">
      <c r="E2338" s="32" t="str">
        <f t="shared" si="111"/>
        <v>.0</v>
      </c>
      <c r="F2338" s="32" t="str">
        <f t="shared" si="112"/>
        <v>.0</v>
      </c>
      <c r="G2338" s="37" t="str">
        <f t="shared" si="113"/>
        <v/>
      </c>
    </row>
    <row r="2339" spans="5:7" x14ac:dyDescent="0.45">
      <c r="E2339" s="32" t="str">
        <f t="shared" si="111"/>
        <v>.0</v>
      </c>
      <c r="F2339" s="32" t="str">
        <f t="shared" si="112"/>
        <v>.0</v>
      </c>
      <c r="G2339" s="37" t="str">
        <f t="shared" si="113"/>
        <v/>
      </c>
    </row>
    <row r="2340" spans="5:7" x14ac:dyDescent="0.45">
      <c r="E2340" s="32" t="str">
        <f t="shared" si="111"/>
        <v>.0</v>
      </c>
      <c r="F2340" s="32" t="str">
        <f t="shared" si="112"/>
        <v>.0</v>
      </c>
      <c r="G2340" s="37" t="str">
        <f t="shared" si="113"/>
        <v/>
      </c>
    </row>
    <row r="2341" spans="5:7" x14ac:dyDescent="0.45">
      <c r="E2341" s="32" t="str">
        <f t="shared" si="111"/>
        <v>.0</v>
      </c>
      <c r="F2341" s="32" t="str">
        <f t="shared" si="112"/>
        <v>.0</v>
      </c>
      <c r="G2341" s="37" t="str">
        <f t="shared" si="113"/>
        <v/>
      </c>
    </row>
    <row r="2342" spans="5:7" x14ac:dyDescent="0.45">
      <c r="E2342" s="32" t="str">
        <f t="shared" si="111"/>
        <v>.0</v>
      </c>
      <c r="F2342" s="32" t="str">
        <f t="shared" si="112"/>
        <v>.0</v>
      </c>
      <c r="G2342" s="37" t="str">
        <f t="shared" si="113"/>
        <v/>
      </c>
    </row>
    <row r="2343" spans="5:7" x14ac:dyDescent="0.45">
      <c r="E2343" s="32" t="str">
        <f t="shared" si="111"/>
        <v>.0</v>
      </c>
      <c r="F2343" s="32" t="str">
        <f t="shared" si="112"/>
        <v>.0</v>
      </c>
      <c r="G2343" s="37" t="str">
        <f t="shared" si="113"/>
        <v/>
      </c>
    </row>
    <row r="2344" spans="5:7" x14ac:dyDescent="0.45">
      <c r="E2344" s="32" t="str">
        <f t="shared" si="111"/>
        <v>.0</v>
      </c>
      <c r="F2344" s="32" t="str">
        <f t="shared" si="112"/>
        <v>.0</v>
      </c>
      <c r="G2344" s="37" t="str">
        <f t="shared" si="113"/>
        <v/>
      </c>
    </row>
    <row r="2345" spans="5:7" x14ac:dyDescent="0.45">
      <c r="E2345" s="32" t="str">
        <f t="shared" si="111"/>
        <v>.0</v>
      </c>
      <c r="F2345" s="32" t="str">
        <f t="shared" si="112"/>
        <v>.0</v>
      </c>
      <c r="G2345" s="37" t="str">
        <f t="shared" si="113"/>
        <v/>
      </c>
    </row>
    <row r="2346" spans="5:7" x14ac:dyDescent="0.45">
      <c r="E2346" s="32" t="str">
        <f t="shared" si="111"/>
        <v>.0</v>
      </c>
      <c r="F2346" s="32" t="str">
        <f t="shared" si="112"/>
        <v>.0</v>
      </c>
      <c r="G2346" s="37" t="str">
        <f t="shared" si="113"/>
        <v/>
      </c>
    </row>
    <row r="2347" spans="5:7" x14ac:dyDescent="0.45">
      <c r="E2347" s="32" t="str">
        <f t="shared" si="111"/>
        <v>.0</v>
      </c>
      <c r="F2347" s="32" t="str">
        <f t="shared" si="112"/>
        <v>.0</v>
      </c>
      <c r="G2347" s="37" t="str">
        <f t="shared" si="113"/>
        <v/>
      </c>
    </row>
    <row r="2348" spans="5:7" x14ac:dyDescent="0.45">
      <c r="E2348" s="32" t="str">
        <f t="shared" si="111"/>
        <v>.0</v>
      </c>
      <c r="F2348" s="32" t="str">
        <f t="shared" si="112"/>
        <v>.0</v>
      </c>
      <c r="G2348" s="37" t="str">
        <f t="shared" si="113"/>
        <v/>
      </c>
    </row>
    <row r="2349" spans="5:7" x14ac:dyDescent="0.45">
      <c r="E2349" s="32" t="str">
        <f t="shared" si="111"/>
        <v>.0</v>
      </c>
      <c r="F2349" s="32" t="str">
        <f t="shared" si="112"/>
        <v>.0</v>
      </c>
      <c r="G2349" s="37" t="str">
        <f t="shared" si="113"/>
        <v/>
      </c>
    </row>
    <row r="2350" spans="5:7" x14ac:dyDescent="0.45">
      <c r="E2350" s="32" t="str">
        <f t="shared" si="111"/>
        <v>.0</v>
      </c>
      <c r="F2350" s="32" t="str">
        <f t="shared" si="112"/>
        <v>.0</v>
      </c>
      <c r="G2350" s="37" t="str">
        <f t="shared" si="113"/>
        <v/>
      </c>
    </row>
    <row r="2351" spans="5:7" x14ac:dyDescent="0.45">
      <c r="E2351" s="32" t="str">
        <f t="shared" si="111"/>
        <v>.0</v>
      </c>
      <c r="F2351" s="32" t="str">
        <f t="shared" si="112"/>
        <v>.0</v>
      </c>
      <c r="G2351" s="37" t="str">
        <f t="shared" si="113"/>
        <v/>
      </c>
    </row>
    <row r="2352" spans="5:7" x14ac:dyDescent="0.45">
      <c r="E2352" s="32" t="str">
        <f t="shared" si="111"/>
        <v>.0</v>
      </c>
      <c r="F2352" s="32" t="str">
        <f t="shared" si="112"/>
        <v>.0</v>
      </c>
      <c r="G2352" s="37" t="str">
        <f t="shared" si="113"/>
        <v/>
      </c>
    </row>
    <row r="2353" spans="5:7" x14ac:dyDescent="0.45">
      <c r="E2353" s="32" t="str">
        <f t="shared" si="111"/>
        <v>.0</v>
      </c>
      <c r="F2353" s="32" t="str">
        <f t="shared" si="112"/>
        <v>.0</v>
      </c>
      <c r="G2353" s="37" t="str">
        <f t="shared" si="113"/>
        <v/>
      </c>
    </row>
    <row r="2354" spans="5:7" x14ac:dyDescent="0.45">
      <c r="E2354" s="32" t="str">
        <f t="shared" si="111"/>
        <v>.0</v>
      </c>
      <c r="F2354" s="32" t="str">
        <f t="shared" si="112"/>
        <v>.0</v>
      </c>
      <c r="G2354" s="37" t="str">
        <f t="shared" si="113"/>
        <v/>
      </c>
    </row>
    <row r="2355" spans="5:7" x14ac:dyDescent="0.45">
      <c r="E2355" s="32" t="str">
        <f t="shared" si="111"/>
        <v>.0</v>
      </c>
      <c r="F2355" s="32" t="str">
        <f t="shared" si="112"/>
        <v>.0</v>
      </c>
      <c r="G2355" s="37" t="str">
        <f t="shared" si="113"/>
        <v/>
      </c>
    </row>
    <row r="2356" spans="5:7" x14ac:dyDescent="0.45">
      <c r="E2356" s="32" t="str">
        <f t="shared" si="111"/>
        <v>.0</v>
      </c>
      <c r="F2356" s="32" t="str">
        <f t="shared" si="112"/>
        <v>.0</v>
      </c>
      <c r="G2356" s="37" t="str">
        <f t="shared" si="113"/>
        <v/>
      </c>
    </row>
    <row r="2357" spans="5:7" x14ac:dyDescent="0.45">
      <c r="E2357" s="32" t="str">
        <f t="shared" si="111"/>
        <v>.0</v>
      </c>
      <c r="F2357" s="32" t="str">
        <f t="shared" si="112"/>
        <v>.0</v>
      </c>
      <c r="G2357" s="37" t="str">
        <f t="shared" si="113"/>
        <v/>
      </c>
    </row>
    <row r="2358" spans="5:7" x14ac:dyDescent="0.45">
      <c r="E2358" s="32" t="str">
        <f t="shared" si="111"/>
        <v>.0</v>
      </c>
      <c r="F2358" s="32" t="str">
        <f t="shared" si="112"/>
        <v>.0</v>
      </c>
      <c r="G2358" s="37" t="str">
        <f t="shared" si="113"/>
        <v/>
      </c>
    </row>
    <row r="2359" spans="5:7" x14ac:dyDescent="0.45">
      <c r="E2359" s="32" t="str">
        <f t="shared" si="111"/>
        <v>.0</v>
      </c>
      <c r="F2359" s="32" t="str">
        <f t="shared" si="112"/>
        <v>.0</v>
      </c>
      <c r="G2359" s="37" t="str">
        <f t="shared" si="113"/>
        <v/>
      </c>
    </row>
    <row r="2360" spans="5:7" x14ac:dyDescent="0.45">
      <c r="E2360" s="32" t="str">
        <f t="shared" si="111"/>
        <v>.0</v>
      </c>
      <c r="F2360" s="32" t="str">
        <f t="shared" si="112"/>
        <v>.0</v>
      </c>
      <c r="G2360" s="37" t="str">
        <f t="shared" si="113"/>
        <v/>
      </c>
    </row>
    <row r="2361" spans="5:7" x14ac:dyDescent="0.45">
      <c r="E2361" s="32" t="str">
        <f t="shared" si="111"/>
        <v>.0</v>
      </c>
      <c r="F2361" s="32" t="str">
        <f t="shared" si="112"/>
        <v>.0</v>
      </c>
      <c r="G2361" s="37" t="str">
        <f t="shared" si="113"/>
        <v/>
      </c>
    </row>
    <row r="2362" spans="5:7" x14ac:dyDescent="0.45">
      <c r="E2362" s="32" t="str">
        <f t="shared" si="111"/>
        <v>.0</v>
      </c>
      <c r="F2362" s="32" t="str">
        <f t="shared" si="112"/>
        <v>.0</v>
      </c>
      <c r="G2362" s="37" t="str">
        <f t="shared" si="113"/>
        <v/>
      </c>
    </row>
    <row r="2363" spans="5:7" x14ac:dyDescent="0.45">
      <c r="E2363" s="32" t="str">
        <f t="shared" si="111"/>
        <v>.0</v>
      </c>
      <c r="F2363" s="32" t="str">
        <f t="shared" si="112"/>
        <v>.0</v>
      </c>
      <c r="G2363" s="37" t="str">
        <f t="shared" si="113"/>
        <v/>
      </c>
    </row>
    <row r="2364" spans="5:7" x14ac:dyDescent="0.45">
      <c r="E2364" s="32" t="str">
        <f t="shared" si="111"/>
        <v>.0</v>
      </c>
      <c r="F2364" s="32" t="str">
        <f t="shared" si="112"/>
        <v>.0</v>
      </c>
      <c r="G2364" s="37" t="str">
        <f t="shared" si="113"/>
        <v/>
      </c>
    </row>
    <row r="2365" spans="5:7" x14ac:dyDescent="0.45">
      <c r="E2365" s="32" t="str">
        <f t="shared" si="111"/>
        <v>.0</v>
      </c>
      <c r="F2365" s="32" t="str">
        <f t="shared" si="112"/>
        <v>.0</v>
      </c>
      <c r="G2365" s="37" t="str">
        <f t="shared" si="113"/>
        <v/>
      </c>
    </row>
    <row r="2366" spans="5:7" x14ac:dyDescent="0.45">
      <c r="E2366" s="32" t="str">
        <f t="shared" si="111"/>
        <v>.0</v>
      </c>
      <c r="F2366" s="32" t="str">
        <f t="shared" si="112"/>
        <v>.0</v>
      </c>
      <c r="G2366" s="37" t="str">
        <f t="shared" si="113"/>
        <v/>
      </c>
    </row>
    <row r="2367" spans="5:7" x14ac:dyDescent="0.45">
      <c r="E2367" s="32" t="str">
        <f t="shared" si="111"/>
        <v>.0</v>
      </c>
      <c r="F2367" s="32" t="str">
        <f t="shared" si="112"/>
        <v>.0</v>
      </c>
      <c r="G2367" s="37" t="str">
        <f t="shared" si="113"/>
        <v/>
      </c>
    </row>
    <row r="2368" spans="5:7" x14ac:dyDescent="0.45">
      <c r="E2368" s="32" t="str">
        <f t="shared" si="111"/>
        <v>.0</v>
      </c>
      <c r="F2368" s="32" t="str">
        <f t="shared" si="112"/>
        <v>.0</v>
      </c>
      <c r="G2368" s="37" t="str">
        <f t="shared" si="113"/>
        <v/>
      </c>
    </row>
    <row r="2369" spans="5:7" x14ac:dyDescent="0.45">
      <c r="E2369" s="32" t="str">
        <f t="shared" si="111"/>
        <v>.0</v>
      </c>
      <c r="F2369" s="32" t="str">
        <f t="shared" si="112"/>
        <v>.0</v>
      </c>
      <c r="G2369" s="37" t="str">
        <f t="shared" si="113"/>
        <v/>
      </c>
    </row>
    <row r="2370" spans="5:7" x14ac:dyDescent="0.45">
      <c r="E2370" s="32" t="str">
        <f t="shared" si="111"/>
        <v>.0</v>
      </c>
      <c r="F2370" s="32" t="str">
        <f t="shared" si="112"/>
        <v>.0</v>
      </c>
      <c r="G2370" s="37" t="str">
        <f t="shared" si="113"/>
        <v/>
      </c>
    </row>
    <row r="2371" spans="5:7" x14ac:dyDescent="0.45">
      <c r="E2371" s="32" t="str">
        <f t="shared" si="111"/>
        <v>.0</v>
      </c>
      <c r="F2371" s="32" t="str">
        <f t="shared" si="112"/>
        <v>.0</v>
      </c>
      <c r="G2371" s="37" t="str">
        <f t="shared" si="113"/>
        <v/>
      </c>
    </row>
    <row r="2372" spans="5:7" x14ac:dyDescent="0.45">
      <c r="E2372" s="32" t="str">
        <f t="shared" si="111"/>
        <v>.0</v>
      </c>
      <c r="F2372" s="32" t="str">
        <f t="shared" si="112"/>
        <v>.0</v>
      </c>
      <c r="G2372" s="37" t="str">
        <f t="shared" si="113"/>
        <v/>
      </c>
    </row>
    <row r="2373" spans="5:7" x14ac:dyDescent="0.45">
      <c r="E2373" s="32" t="str">
        <f t="shared" si="111"/>
        <v>.0</v>
      </c>
      <c r="F2373" s="32" t="str">
        <f t="shared" si="112"/>
        <v>.0</v>
      </c>
      <c r="G2373" s="37" t="str">
        <f t="shared" si="113"/>
        <v/>
      </c>
    </row>
    <row r="2374" spans="5:7" x14ac:dyDescent="0.45">
      <c r="E2374" s="32" t="str">
        <f t="shared" si="111"/>
        <v>.0</v>
      </c>
      <c r="F2374" s="32" t="str">
        <f t="shared" si="112"/>
        <v>.0</v>
      </c>
      <c r="G2374" s="37" t="str">
        <f t="shared" si="113"/>
        <v/>
      </c>
    </row>
    <row r="2375" spans="5:7" x14ac:dyDescent="0.45">
      <c r="E2375" s="32" t="str">
        <f t="shared" si="111"/>
        <v>.0</v>
      </c>
      <c r="F2375" s="32" t="str">
        <f t="shared" si="112"/>
        <v>.0</v>
      </c>
      <c r="G2375" s="37" t="str">
        <f t="shared" si="113"/>
        <v/>
      </c>
    </row>
    <row r="2376" spans="5:7" x14ac:dyDescent="0.45">
      <c r="E2376" s="32" t="str">
        <f t="shared" si="111"/>
        <v>.0</v>
      </c>
      <c r="F2376" s="32" t="str">
        <f t="shared" si="112"/>
        <v>.0</v>
      </c>
      <c r="G2376" s="37" t="str">
        <f t="shared" si="113"/>
        <v/>
      </c>
    </row>
    <row r="2377" spans="5:7" x14ac:dyDescent="0.45">
      <c r="E2377" s="32" t="str">
        <f t="shared" si="111"/>
        <v>.0</v>
      </c>
      <c r="F2377" s="32" t="str">
        <f t="shared" si="112"/>
        <v>.0</v>
      </c>
      <c r="G2377" s="37" t="str">
        <f t="shared" si="113"/>
        <v/>
      </c>
    </row>
    <row r="2378" spans="5:7" x14ac:dyDescent="0.45">
      <c r="E2378" s="32" t="str">
        <f t="shared" si="111"/>
        <v>.0</v>
      </c>
      <c r="F2378" s="32" t="str">
        <f t="shared" si="112"/>
        <v>.0</v>
      </c>
      <c r="G2378" s="37" t="str">
        <f t="shared" si="113"/>
        <v/>
      </c>
    </row>
    <row r="2379" spans="5:7" x14ac:dyDescent="0.45">
      <c r="E2379" s="32" t="str">
        <f t="shared" si="111"/>
        <v>.0</v>
      </c>
      <c r="F2379" s="32" t="str">
        <f t="shared" si="112"/>
        <v>.0</v>
      </c>
      <c r="G2379" s="37" t="str">
        <f t="shared" si="113"/>
        <v/>
      </c>
    </row>
    <row r="2380" spans="5:7" x14ac:dyDescent="0.45">
      <c r="E2380" s="32" t="str">
        <f t="shared" si="111"/>
        <v>.0</v>
      </c>
      <c r="F2380" s="32" t="str">
        <f t="shared" si="112"/>
        <v>.0</v>
      </c>
      <c r="G2380" s="37" t="str">
        <f t="shared" si="113"/>
        <v/>
      </c>
    </row>
    <row r="2381" spans="5:7" x14ac:dyDescent="0.45">
      <c r="E2381" s="32" t="str">
        <f t="shared" si="111"/>
        <v>.0</v>
      </c>
      <c r="F2381" s="32" t="str">
        <f t="shared" si="112"/>
        <v>.0</v>
      </c>
      <c r="G2381" s="37" t="str">
        <f t="shared" si="113"/>
        <v/>
      </c>
    </row>
    <row r="2382" spans="5:7" x14ac:dyDescent="0.45">
      <c r="E2382" s="32" t="str">
        <f t="shared" si="111"/>
        <v>.0</v>
      </c>
      <c r="F2382" s="32" t="str">
        <f t="shared" si="112"/>
        <v>.0</v>
      </c>
      <c r="G2382" s="37" t="str">
        <f t="shared" si="113"/>
        <v/>
      </c>
    </row>
    <row r="2383" spans="5:7" x14ac:dyDescent="0.45">
      <c r="E2383" s="32" t="str">
        <f t="shared" si="111"/>
        <v>.0</v>
      </c>
      <c r="F2383" s="32" t="str">
        <f t="shared" si="112"/>
        <v>.0</v>
      </c>
      <c r="G2383" s="37" t="str">
        <f t="shared" si="113"/>
        <v/>
      </c>
    </row>
    <row r="2384" spans="5:7" x14ac:dyDescent="0.45">
      <c r="E2384" s="32" t="str">
        <f t="shared" si="111"/>
        <v>.0</v>
      </c>
      <c r="F2384" s="32" t="str">
        <f t="shared" si="112"/>
        <v>.0</v>
      </c>
      <c r="G2384" s="37" t="str">
        <f t="shared" si="113"/>
        <v/>
      </c>
    </row>
    <row r="2385" spans="5:7" x14ac:dyDescent="0.45">
      <c r="E2385" s="32" t="str">
        <f t="shared" si="111"/>
        <v>.0</v>
      </c>
      <c r="F2385" s="32" t="str">
        <f t="shared" si="112"/>
        <v>.0</v>
      </c>
      <c r="G2385" s="37" t="str">
        <f t="shared" si="113"/>
        <v/>
      </c>
    </row>
    <row r="2386" spans="5:7" x14ac:dyDescent="0.45">
      <c r="E2386" s="32" t="str">
        <f t="shared" si="111"/>
        <v>.0</v>
      </c>
      <c r="F2386" s="32" t="str">
        <f t="shared" si="112"/>
        <v>.0</v>
      </c>
      <c r="G2386" s="37" t="str">
        <f t="shared" si="113"/>
        <v/>
      </c>
    </row>
    <row r="2387" spans="5:7" x14ac:dyDescent="0.45">
      <c r="E2387" s="32" t="str">
        <f t="shared" si="111"/>
        <v>.0</v>
      </c>
      <c r="F2387" s="32" t="str">
        <f t="shared" si="112"/>
        <v>.0</v>
      </c>
      <c r="G2387" s="37" t="str">
        <f t="shared" si="113"/>
        <v/>
      </c>
    </row>
    <row r="2388" spans="5:7" x14ac:dyDescent="0.45">
      <c r="E2388" s="32" t="str">
        <f t="shared" si="111"/>
        <v>.0</v>
      </c>
      <c r="F2388" s="32" t="str">
        <f t="shared" si="112"/>
        <v>.0</v>
      </c>
      <c r="G2388" s="37" t="str">
        <f t="shared" si="113"/>
        <v/>
      </c>
    </row>
    <row r="2389" spans="5:7" x14ac:dyDescent="0.45">
      <c r="E2389" s="32" t="str">
        <f t="shared" si="111"/>
        <v>.0</v>
      </c>
      <c r="F2389" s="32" t="str">
        <f t="shared" si="112"/>
        <v>.0</v>
      </c>
      <c r="G2389" s="37" t="str">
        <f t="shared" si="113"/>
        <v/>
      </c>
    </row>
    <row r="2390" spans="5:7" x14ac:dyDescent="0.45">
      <c r="E2390" s="32" t="str">
        <f t="shared" si="111"/>
        <v>.0</v>
      </c>
      <c r="F2390" s="32" t="str">
        <f t="shared" si="112"/>
        <v>.0</v>
      </c>
      <c r="G2390" s="37" t="str">
        <f t="shared" si="113"/>
        <v/>
      </c>
    </row>
    <row r="2391" spans="5:7" x14ac:dyDescent="0.45">
      <c r="E2391" s="32" t="str">
        <f t="shared" si="111"/>
        <v>.0</v>
      </c>
      <c r="F2391" s="32" t="str">
        <f t="shared" si="112"/>
        <v>.0</v>
      </c>
      <c r="G2391" s="37" t="str">
        <f t="shared" si="113"/>
        <v/>
      </c>
    </row>
    <row r="2392" spans="5:7" x14ac:dyDescent="0.45">
      <c r="E2392" s="32" t="str">
        <f t="shared" si="111"/>
        <v>.0</v>
      </c>
      <c r="F2392" s="32" t="str">
        <f t="shared" si="112"/>
        <v>.0</v>
      </c>
      <c r="G2392" s="37" t="str">
        <f t="shared" si="113"/>
        <v/>
      </c>
    </row>
    <row r="2393" spans="5:7" x14ac:dyDescent="0.45">
      <c r="E2393" s="32" t="str">
        <f t="shared" si="111"/>
        <v>.0</v>
      </c>
      <c r="F2393" s="32" t="str">
        <f t="shared" si="112"/>
        <v>.0</v>
      </c>
      <c r="G2393" s="37" t="str">
        <f t="shared" si="113"/>
        <v/>
      </c>
    </row>
    <row r="2394" spans="5:7" x14ac:dyDescent="0.45">
      <c r="E2394" s="32" t="str">
        <f t="shared" si="111"/>
        <v>.0</v>
      </c>
      <c r="F2394" s="32" t="str">
        <f t="shared" si="112"/>
        <v>.0</v>
      </c>
      <c r="G2394" s="37" t="str">
        <f t="shared" si="113"/>
        <v/>
      </c>
    </row>
    <row r="2395" spans="5:7" x14ac:dyDescent="0.45">
      <c r="E2395" s="32" t="str">
        <f t="shared" si="111"/>
        <v>.0</v>
      </c>
      <c r="F2395" s="32" t="str">
        <f t="shared" si="112"/>
        <v>.0</v>
      </c>
      <c r="G2395" s="37" t="str">
        <f t="shared" si="113"/>
        <v/>
      </c>
    </row>
    <row r="2396" spans="5:7" x14ac:dyDescent="0.45">
      <c r="E2396" s="32" t="str">
        <f t="shared" si="111"/>
        <v>.0</v>
      </c>
      <c r="F2396" s="32" t="str">
        <f t="shared" si="112"/>
        <v>.0</v>
      </c>
      <c r="G2396" s="37" t="str">
        <f t="shared" si="113"/>
        <v/>
      </c>
    </row>
    <row r="2397" spans="5:7" x14ac:dyDescent="0.45">
      <c r="E2397" s="32" t="str">
        <f t="shared" si="111"/>
        <v>.0</v>
      </c>
      <c r="F2397" s="32" t="str">
        <f t="shared" si="112"/>
        <v>.0</v>
      </c>
      <c r="G2397" s="37" t="str">
        <f t="shared" si="113"/>
        <v/>
      </c>
    </row>
    <row r="2398" spans="5:7" x14ac:dyDescent="0.45">
      <c r="E2398" s="32" t="str">
        <f t="shared" ref="E2398:E2461" si="114">MID(B2398,3,2)&amp;"."&amp;IF(C2398&lt;10,"0"&amp;C2398,C2398)</f>
        <v>.0</v>
      </c>
      <c r="F2398" s="32" t="str">
        <f t="shared" ref="F2398:F2461" si="115">MID(B2398,3,2)&amp;"."&amp;IF(C2398&lt;10,"0"&amp;C2398,C2398)</f>
        <v>.0</v>
      </c>
      <c r="G2398" s="37" t="str">
        <f t="shared" ref="G2398:G2461" si="116">TEXT(D2398,"#,###,")</f>
        <v/>
      </c>
    </row>
    <row r="2399" spans="5:7" x14ac:dyDescent="0.45">
      <c r="E2399" s="32" t="str">
        <f t="shared" si="114"/>
        <v>.0</v>
      </c>
      <c r="F2399" s="32" t="str">
        <f t="shared" si="115"/>
        <v>.0</v>
      </c>
      <c r="G2399" s="37" t="str">
        <f t="shared" si="116"/>
        <v/>
      </c>
    </row>
    <row r="2400" spans="5:7" x14ac:dyDescent="0.45">
      <c r="E2400" s="32" t="str">
        <f t="shared" si="114"/>
        <v>.0</v>
      </c>
      <c r="F2400" s="32" t="str">
        <f t="shared" si="115"/>
        <v>.0</v>
      </c>
      <c r="G2400" s="37" t="str">
        <f t="shared" si="116"/>
        <v/>
      </c>
    </row>
    <row r="2401" spans="5:7" x14ac:dyDescent="0.45">
      <c r="E2401" s="32" t="str">
        <f t="shared" si="114"/>
        <v>.0</v>
      </c>
      <c r="F2401" s="32" t="str">
        <f t="shared" si="115"/>
        <v>.0</v>
      </c>
      <c r="G2401" s="37" t="str">
        <f t="shared" si="116"/>
        <v/>
      </c>
    </row>
    <row r="2402" spans="5:7" x14ac:dyDescent="0.45">
      <c r="E2402" s="32" t="str">
        <f t="shared" si="114"/>
        <v>.0</v>
      </c>
      <c r="F2402" s="32" t="str">
        <f t="shared" si="115"/>
        <v>.0</v>
      </c>
      <c r="G2402" s="37" t="str">
        <f t="shared" si="116"/>
        <v/>
      </c>
    </row>
    <row r="2403" spans="5:7" x14ac:dyDescent="0.45">
      <c r="E2403" s="32" t="str">
        <f t="shared" si="114"/>
        <v>.0</v>
      </c>
      <c r="F2403" s="32" t="str">
        <f t="shared" si="115"/>
        <v>.0</v>
      </c>
      <c r="G2403" s="37" t="str">
        <f t="shared" si="116"/>
        <v/>
      </c>
    </row>
    <row r="2404" spans="5:7" x14ac:dyDescent="0.45">
      <c r="E2404" s="32" t="str">
        <f t="shared" si="114"/>
        <v>.0</v>
      </c>
      <c r="F2404" s="32" t="str">
        <f t="shared" si="115"/>
        <v>.0</v>
      </c>
      <c r="G2404" s="37" t="str">
        <f t="shared" si="116"/>
        <v/>
      </c>
    </row>
    <row r="2405" spans="5:7" x14ac:dyDescent="0.45">
      <c r="E2405" s="32" t="str">
        <f t="shared" si="114"/>
        <v>.0</v>
      </c>
      <c r="F2405" s="32" t="str">
        <f t="shared" si="115"/>
        <v>.0</v>
      </c>
      <c r="G2405" s="37" t="str">
        <f t="shared" si="116"/>
        <v/>
      </c>
    </row>
    <row r="2406" spans="5:7" x14ac:dyDescent="0.45">
      <c r="E2406" s="32" t="str">
        <f t="shared" si="114"/>
        <v>.0</v>
      </c>
      <c r="F2406" s="32" t="str">
        <f t="shared" si="115"/>
        <v>.0</v>
      </c>
      <c r="G2406" s="37" t="str">
        <f t="shared" si="116"/>
        <v/>
      </c>
    </row>
    <row r="2407" spans="5:7" x14ac:dyDescent="0.45">
      <c r="E2407" s="32" t="str">
        <f t="shared" si="114"/>
        <v>.0</v>
      </c>
      <c r="F2407" s="32" t="str">
        <f t="shared" si="115"/>
        <v>.0</v>
      </c>
      <c r="G2407" s="37" t="str">
        <f t="shared" si="116"/>
        <v/>
      </c>
    </row>
    <row r="2408" spans="5:7" x14ac:dyDescent="0.45">
      <c r="E2408" s="32" t="str">
        <f t="shared" si="114"/>
        <v>.0</v>
      </c>
      <c r="F2408" s="32" t="str">
        <f t="shared" si="115"/>
        <v>.0</v>
      </c>
      <c r="G2408" s="37" t="str">
        <f t="shared" si="116"/>
        <v/>
      </c>
    </row>
    <row r="2409" spans="5:7" x14ac:dyDescent="0.45">
      <c r="E2409" s="32" t="str">
        <f t="shared" si="114"/>
        <v>.0</v>
      </c>
      <c r="F2409" s="32" t="str">
        <f t="shared" si="115"/>
        <v>.0</v>
      </c>
      <c r="G2409" s="37" t="str">
        <f t="shared" si="116"/>
        <v/>
      </c>
    </row>
    <row r="2410" spans="5:7" x14ac:dyDescent="0.45">
      <c r="E2410" s="32" t="str">
        <f t="shared" si="114"/>
        <v>.0</v>
      </c>
      <c r="F2410" s="32" t="str">
        <f t="shared" si="115"/>
        <v>.0</v>
      </c>
      <c r="G2410" s="37" t="str">
        <f t="shared" si="116"/>
        <v/>
      </c>
    </row>
    <row r="2411" spans="5:7" x14ac:dyDescent="0.45">
      <c r="E2411" s="32" t="str">
        <f t="shared" si="114"/>
        <v>.0</v>
      </c>
      <c r="F2411" s="32" t="str">
        <f t="shared" si="115"/>
        <v>.0</v>
      </c>
      <c r="G2411" s="37" t="str">
        <f t="shared" si="116"/>
        <v/>
      </c>
    </row>
    <row r="2412" spans="5:7" x14ac:dyDescent="0.45">
      <c r="E2412" s="32" t="str">
        <f t="shared" si="114"/>
        <v>.0</v>
      </c>
      <c r="F2412" s="32" t="str">
        <f t="shared" si="115"/>
        <v>.0</v>
      </c>
      <c r="G2412" s="37" t="str">
        <f t="shared" si="116"/>
        <v/>
      </c>
    </row>
    <row r="2413" spans="5:7" x14ac:dyDescent="0.45">
      <c r="E2413" s="32" t="str">
        <f t="shared" si="114"/>
        <v>.0</v>
      </c>
      <c r="F2413" s="32" t="str">
        <f t="shared" si="115"/>
        <v>.0</v>
      </c>
      <c r="G2413" s="37" t="str">
        <f t="shared" si="116"/>
        <v/>
      </c>
    </row>
    <row r="2414" spans="5:7" x14ac:dyDescent="0.45">
      <c r="E2414" s="32" t="str">
        <f t="shared" si="114"/>
        <v>.0</v>
      </c>
      <c r="F2414" s="32" t="str">
        <f t="shared" si="115"/>
        <v>.0</v>
      </c>
      <c r="G2414" s="37" t="str">
        <f t="shared" si="116"/>
        <v/>
      </c>
    </row>
    <row r="2415" spans="5:7" x14ac:dyDescent="0.45">
      <c r="E2415" s="32" t="str">
        <f t="shared" si="114"/>
        <v>.0</v>
      </c>
      <c r="F2415" s="32" t="str">
        <f t="shared" si="115"/>
        <v>.0</v>
      </c>
      <c r="G2415" s="37" t="str">
        <f t="shared" si="116"/>
        <v/>
      </c>
    </row>
    <row r="2416" spans="5:7" x14ac:dyDescent="0.45">
      <c r="E2416" s="32" t="str">
        <f t="shared" si="114"/>
        <v>.0</v>
      </c>
      <c r="F2416" s="32" t="str">
        <f t="shared" si="115"/>
        <v>.0</v>
      </c>
      <c r="G2416" s="37" t="str">
        <f t="shared" si="116"/>
        <v/>
      </c>
    </row>
    <row r="2417" spans="5:7" x14ac:dyDescent="0.45">
      <c r="E2417" s="32" t="str">
        <f t="shared" si="114"/>
        <v>.0</v>
      </c>
      <c r="F2417" s="32" t="str">
        <f t="shared" si="115"/>
        <v>.0</v>
      </c>
      <c r="G2417" s="37" t="str">
        <f t="shared" si="116"/>
        <v/>
      </c>
    </row>
    <row r="2418" spans="5:7" x14ac:dyDescent="0.45">
      <c r="E2418" s="32" t="str">
        <f t="shared" si="114"/>
        <v>.0</v>
      </c>
      <c r="F2418" s="32" t="str">
        <f t="shared" si="115"/>
        <v>.0</v>
      </c>
      <c r="G2418" s="37" t="str">
        <f t="shared" si="116"/>
        <v/>
      </c>
    </row>
    <row r="2419" spans="5:7" x14ac:dyDescent="0.45">
      <c r="E2419" s="32" t="str">
        <f t="shared" si="114"/>
        <v>.0</v>
      </c>
      <c r="F2419" s="32" t="str">
        <f t="shared" si="115"/>
        <v>.0</v>
      </c>
      <c r="G2419" s="37" t="str">
        <f t="shared" si="116"/>
        <v/>
      </c>
    </row>
    <row r="2420" spans="5:7" x14ac:dyDescent="0.45">
      <c r="E2420" s="32" t="str">
        <f t="shared" si="114"/>
        <v>.0</v>
      </c>
      <c r="F2420" s="32" t="str">
        <f t="shared" si="115"/>
        <v>.0</v>
      </c>
      <c r="G2420" s="37" t="str">
        <f t="shared" si="116"/>
        <v/>
      </c>
    </row>
    <row r="2421" spans="5:7" x14ac:dyDescent="0.45">
      <c r="E2421" s="32" t="str">
        <f t="shared" si="114"/>
        <v>.0</v>
      </c>
      <c r="F2421" s="32" t="str">
        <f t="shared" si="115"/>
        <v>.0</v>
      </c>
      <c r="G2421" s="37" t="str">
        <f t="shared" si="116"/>
        <v/>
      </c>
    </row>
    <row r="2422" spans="5:7" x14ac:dyDescent="0.45">
      <c r="E2422" s="32" t="str">
        <f t="shared" si="114"/>
        <v>.0</v>
      </c>
      <c r="F2422" s="32" t="str">
        <f t="shared" si="115"/>
        <v>.0</v>
      </c>
      <c r="G2422" s="37" t="str">
        <f t="shared" si="116"/>
        <v/>
      </c>
    </row>
    <row r="2423" spans="5:7" x14ac:dyDescent="0.45">
      <c r="E2423" s="32" t="str">
        <f t="shared" si="114"/>
        <v>.0</v>
      </c>
      <c r="F2423" s="32" t="str">
        <f t="shared" si="115"/>
        <v>.0</v>
      </c>
      <c r="G2423" s="37" t="str">
        <f t="shared" si="116"/>
        <v/>
      </c>
    </row>
    <row r="2424" spans="5:7" x14ac:dyDescent="0.45">
      <c r="E2424" s="32" t="str">
        <f t="shared" si="114"/>
        <v>.0</v>
      </c>
      <c r="F2424" s="32" t="str">
        <f t="shared" si="115"/>
        <v>.0</v>
      </c>
      <c r="G2424" s="37" t="str">
        <f t="shared" si="116"/>
        <v/>
      </c>
    </row>
    <row r="2425" spans="5:7" x14ac:dyDescent="0.45">
      <c r="E2425" s="32" t="str">
        <f t="shared" si="114"/>
        <v>.0</v>
      </c>
      <c r="F2425" s="32" t="str">
        <f t="shared" si="115"/>
        <v>.0</v>
      </c>
      <c r="G2425" s="37" t="str">
        <f t="shared" si="116"/>
        <v/>
      </c>
    </row>
    <row r="2426" spans="5:7" x14ac:dyDescent="0.45">
      <c r="E2426" s="32" t="str">
        <f t="shared" si="114"/>
        <v>.0</v>
      </c>
      <c r="F2426" s="32" t="str">
        <f t="shared" si="115"/>
        <v>.0</v>
      </c>
      <c r="G2426" s="37" t="str">
        <f t="shared" si="116"/>
        <v/>
      </c>
    </row>
    <row r="2427" spans="5:7" x14ac:dyDescent="0.45">
      <c r="E2427" s="32" t="str">
        <f t="shared" si="114"/>
        <v>.0</v>
      </c>
      <c r="F2427" s="32" t="str">
        <f t="shared" si="115"/>
        <v>.0</v>
      </c>
      <c r="G2427" s="37" t="str">
        <f t="shared" si="116"/>
        <v/>
      </c>
    </row>
    <row r="2428" spans="5:7" x14ac:dyDescent="0.45">
      <c r="E2428" s="32" t="str">
        <f t="shared" si="114"/>
        <v>.0</v>
      </c>
      <c r="F2428" s="32" t="str">
        <f t="shared" si="115"/>
        <v>.0</v>
      </c>
      <c r="G2428" s="37" t="str">
        <f t="shared" si="116"/>
        <v/>
      </c>
    </row>
    <row r="2429" spans="5:7" x14ac:dyDescent="0.45">
      <c r="E2429" s="32" t="str">
        <f t="shared" si="114"/>
        <v>.0</v>
      </c>
      <c r="F2429" s="32" t="str">
        <f t="shared" si="115"/>
        <v>.0</v>
      </c>
      <c r="G2429" s="37" t="str">
        <f t="shared" si="116"/>
        <v/>
      </c>
    </row>
    <row r="2430" spans="5:7" x14ac:dyDescent="0.45">
      <c r="E2430" s="32" t="str">
        <f t="shared" si="114"/>
        <v>.0</v>
      </c>
      <c r="F2430" s="32" t="str">
        <f t="shared" si="115"/>
        <v>.0</v>
      </c>
      <c r="G2430" s="37" t="str">
        <f t="shared" si="116"/>
        <v/>
      </c>
    </row>
    <row r="2431" spans="5:7" x14ac:dyDescent="0.45">
      <c r="E2431" s="32" t="str">
        <f t="shared" si="114"/>
        <v>.0</v>
      </c>
      <c r="F2431" s="32" t="str">
        <f t="shared" si="115"/>
        <v>.0</v>
      </c>
      <c r="G2431" s="37" t="str">
        <f t="shared" si="116"/>
        <v/>
      </c>
    </row>
    <row r="2432" spans="5:7" x14ac:dyDescent="0.45">
      <c r="E2432" s="32" t="str">
        <f t="shared" si="114"/>
        <v>.0</v>
      </c>
      <c r="F2432" s="32" t="str">
        <f t="shared" si="115"/>
        <v>.0</v>
      </c>
      <c r="G2432" s="37" t="str">
        <f t="shared" si="116"/>
        <v/>
      </c>
    </row>
    <row r="2433" spans="5:7" x14ac:dyDescent="0.45">
      <c r="E2433" s="32" t="str">
        <f t="shared" si="114"/>
        <v>.0</v>
      </c>
      <c r="F2433" s="32" t="str">
        <f t="shared" si="115"/>
        <v>.0</v>
      </c>
      <c r="G2433" s="37" t="str">
        <f t="shared" si="116"/>
        <v/>
      </c>
    </row>
    <row r="2434" spans="5:7" x14ac:dyDescent="0.45">
      <c r="E2434" s="32" t="str">
        <f t="shared" si="114"/>
        <v>.0</v>
      </c>
      <c r="F2434" s="32" t="str">
        <f t="shared" si="115"/>
        <v>.0</v>
      </c>
      <c r="G2434" s="37" t="str">
        <f t="shared" si="116"/>
        <v/>
      </c>
    </row>
    <row r="2435" spans="5:7" x14ac:dyDescent="0.45">
      <c r="E2435" s="32" t="str">
        <f t="shared" si="114"/>
        <v>.0</v>
      </c>
      <c r="F2435" s="32" t="str">
        <f t="shared" si="115"/>
        <v>.0</v>
      </c>
      <c r="G2435" s="37" t="str">
        <f t="shared" si="116"/>
        <v/>
      </c>
    </row>
    <row r="2436" spans="5:7" x14ac:dyDescent="0.45">
      <c r="E2436" s="32" t="str">
        <f t="shared" si="114"/>
        <v>.0</v>
      </c>
      <c r="F2436" s="32" t="str">
        <f t="shared" si="115"/>
        <v>.0</v>
      </c>
      <c r="G2436" s="37" t="str">
        <f t="shared" si="116"/>
        <v/>
      </c>
    </row>
    <row r="2437" spans="5:7" x14ac:dyDescent="0.45">
      <c r="E2437" s="32" t="str">
        <f t="shared" si="114"/>
        <v>.0</v>
      </c>
      <c r="F2437" s="32" t="str">
        <f t="shared" si="115"/>
        <v>.0</v>
      </c>
      <c r="G2437" s="37" t="str">
        <f t="shared" si="116"/>
        <v/>
      </c>
    </row>
    <row r="2438" spans="5:7" x14ac:dyDescent="0.45">
      <c r="E2438" s="32" t="str">
        <f t="shared" si="114"/>
        <v>.0</v>
      </c>
      <c r="F2438" s="32" t="str">
        <f t="shared" si="115"/>
        <v>.0</v>
      </c>
      <c r="G2438" s="37" t="str">
        <f t="shared" si="116"/>
        <v/>
      </c>
    </row>
    <row r="2439" spans="5:7" x14ac:dyDescent="0.45">
      <c r="E2439" s="32" t="str">
        <f t="shared" si="114"/>
        <v>.0</v>
      </c>
      <c r="F2439" s="32" t="str">
        <f t="shared" si="115"/>
        <v>.0</v>
      </c>
      <c r="G2439" s="37" t="str">
        <f t="shared" si="116"/>
        <v/>
      </c>
    </row>
    <row r="2440" spans="5:7" x14ac:dyDescent="0.45">
      <c r="E2440" s="32" t="str">
        <f t="shared" si="114"/>
        <v>.0</v>
      </c>
      <c r="F2440" s="32" t="str">
        <f t="shared" si="115"/>
        <v>.0</v>
      </c>
      <c r="G2440" s="37" t="str">
        <f t="shared" si="116"/>
        <v/>
      </c>
    </row>
    <row r="2441" spans="5:7" x14ac:dyDescent="0.45">
      <c r="E2441" s="32" t="str">
        <f t="shared" si="114"/>
        <v>.0</v>
      </c>
      <c r="F2441" s="32" t="str">
        <f t="shared" si="115"/>
        <v>.0</v>
      </c>
      <c r="G2441" s="37" t="str">
        <f t="shared" si="116"/>
        <v/>
      </c>
    </row>
    <row r="2442" spans="5:7" x14ac:dyDescent="0.45">
      <c r="E2442" s="32" t="str">
        <f t="shared" si="114"/>
        <v>.0</v>
      </c>
      <c r="F2442" s="32" t="str">
        <f t="shared" si="115"/>
        <v>.0</v>
      </c>
      <c r="G2442" s="37" t="str">
        <f t="shared" si="116"/>
        <v/>
      </c>
    </row>
    <row r="2443" spans="5:7" x14ac:dyDescent="0.45">
      <c r="E2443" s="32" t="str">
        <f t="shared" si="114"/>
        <v>.0</v>
      </c>
      <c r="F2443" s="32" t="str">
        <f t="shared" si="115"/>
        <v>.0</v>
      </c>
      <c r="G2443" s="37" t="str">
        <f t="shared" si="116"/>
        <v/>
      </c>
    </row>
    <row r="2444" spans="5:7" x14ac:dyDescent="0.45">
      <c r="E2444" s="32" t="str">
        <f t="shared" si="114"/>
        <v>.0</v>
      </c>
      <c r="F2444" s="32" t="str">
        <f t="shared" si="115"/>
        <v>.0</v>
      </c>
      <c r="G2444" s="37" t="str">
        <f t="shared" si="116"/>
        <v/>
      </c>
    </row>
    <row r="2445" spans="5:7" x14ac:dyDescent="0.45">
      <c r="E2445" s="32" t="str">
        <f t="shared" si="114"/>
        <v>.0</v>
      </c>
      <c r="F2445" s="32" t="str">
        <f t="shared" si="115"/>
        <v>.0</v>
      </c>
      <c r="G2445" s="37" t="str">
        <f t="shared" si="116"/>
        <v/>
      </c>
    </row>
    <row r="2446" spans="5:7" x14ac:dyDescent="0.45">
      <c r="E2446" s="32" t="str">
        <f t="shared" si="114"/>
        <v>.0</v>
      </c>
      <c r="F2446" s="32" t="str">
        <f t="shared" si="115"/>
        <v>.0</v>
      </c>
      <c r="G2446" s="37" t="str">
        <f t="shared" si="116"/>
        <v/>
      </c>
    </row>
    <row r="2447" spans="5:7" x14ac:dyDescent="0.45">
      <c r="E2447" s="32" t="str">
        <f t="shared" si="114"/>
        <v>.0</v>
      </c>
      <c r="F2447" s="32" t="str">
        <f t="shared" si="115"/>
        <v>.0</v>
      </c>
      <c r="G2447" s="37" t="str">
        <f t="shared" si="116"/>
        <v/>
      </c>
    </row>
    <row r="2448" spans="5:7" x14ac:dyDescent="0.45">
      <c r="E2448" s="32" t="str">
        <f t="shared" si="114"/>
        <v>.0</v>
      </c>
      <c r="F2448" s="32" t="str">
        <f t="shared" si="115"/>
        <v>.0</v>
      </c>
      <c r="G2448" s="37" t="str">
        <f t="shared" si="116"/>
        <v/>
      </c>
    </row>
    <row r="2449" spans="5:7" x14ac:dyDescent="0.45">
      <c r="E2449" s="32" t="str">
        <f t="shared" si="114"/>
        <v>.0</v>
      </c>
      <c r="F2449" s="32" t="str">
        <f t="shared" si="115"/>
        <v>.0</v>
      </c>
      <c r="G2449" s="37" t="str">
        <f t="shared" si="116"/>
        <v/>
      </c>
    </row>
    <row r="2450" spans="5:7" x14ac:dyDescent="0.45">
      <c r="E2450" s="32" t="str">
        <f t="shared" si="114"/>
        <v>.0</v>
      </c>
      <c r="F2450" s="32" t="str">
        <f t="shared" si="115"/>
        <v>.0</v>
      </c>
      <c r="G2450" s="37" t="str">
        <f t="shared" si="116"/>
        <v/>
      </c>
    </row>
    <row r="2451" spans="5:7" x14ac:dyDescent="0.45">
      <c r="E2451" s="32" t="str">
        <f t="shared" si="114"/>
        <v>.0</v>
      </c>
      <c r="F2451" s="32" t="str">
        <f t="shared" si="115"/>
        <v>.0</v>
      </c>
      <c r="G2451" s="37" t="str">
        <f t="shared" si="116"/>
        <v/>
      </c>
    </row>
    <row r="2452" spans="5:7" x14ac:dyDescent="0.45">
      <c r="E2452" s="32" t="str">
        <f t="shared" si="114"/>
        <v>.0</v>
      </c>
      <c r="F2452" s="32" t="str">
        <f t="shared" si="115"/>
        <v>.0</v>
      </c>
      <c r="G2452" s="37" t="str">
        <f t="shared" si="116"/>
        <v/>
      </c>
    </row>
    <row r="2453" spans="5:7" x14ac:dyDescent="0.45">
      <c r="E2453" s="32" t="str">
        <f t="shared" si="114"/>
        <v>.0</v>
      </c>
      <c r="F2453" s="32" t="str">
        <f t="shared" si="115"/>
        <v>.0</v>
      </c>
      <c r="G2453" s="37" t="str">
        <f t="shared" si="116"/>
        <v/>
      </c>
    </row>
    <row r="2454" spans="5:7" x14ac:dyDescent="0.45">
      <c r="E2454" s="32" t="str">
        <f t="shared" si="114"/>
        <v>.0</v>
      </c>
      <c r="F2454" s="32" t="str">
        <f t="shared" si="115"/>
        <v>.0</v>
      </c>
      <c r="G2454" s="37" t="str">
        <f t="shared" si="116"/>
        <v/>
      </c>
    </row>
    <row r="2455" spans="5:7" x14ac:dyDescent="0.45">
      <c r="E2455" s="32" t="str">
        <f t="shared" si="114"/>
        <v>.0</v>
      </c>
      <c r="F2455" s="32" t="str">
        <f t="shared" si="115"/>
        <v>.0</v>
      </c>
      <c r="G2455" s="37" t="str">
        <f t="shared" si="116"/>
        <v/>
      </c>
    </row>
    <row r="2456" spans="5:7" x14ac:dyDescent="0.45">
      <c r="E2456" s="32" t="str">
        <f t="shared" si="114"/>
        <v>.0</v>
      </c>
      <c r="F2456" s="32" t="str">
        <f t="shared" si="115"/>
        <v>.0</v>
      </c>
      <c r="G2456" s="37" t="str">
        <f t="shared" si="116"/>
        <v/>
      </c>
    </row>
    <row r="2457" spans="5:7" x14ac:dyDescent="0.45">
      <c r="E2457" s="32" t="str">
        <f t="shared" si="114"/>
        <v>.0</v>
      </c>
      <c r="F2457" s="32" t="str">
        <f t="shared" si="115"/>
        <v>.0</v>
      </c>
      <c r="G2457" s="37" t="str">
        <f t="shared" si="116"/>
        <v/>
      </c>
    </row>
    <row r="2458" spans="5:7" x14ac:dyDescent="0.45">
      <c r="E2458" s="32" t="str">
        <f t="shared" si="114"/>
        <v>.0</v>
      </c>
      <c r="F2458" s="32" t="str">
        <f t="shared" si="115"/>
        <v>.0</v>
      </c>
      <c r="G2458" s="37" t="str">
        <f t="shared" si="116"/>
        <v/>
      </c>
    </row>
    <row r="2459" spans="5:7" x14ac:dyDescent="0.45">
      <c r="E2459" s="32" t="str">
        <f t="shared" si="114"/>
        <v>.0</v>
      </c>
      <c r="F2459" s="32" t="str">
        <f t="shared" si="115"/>
        <v>.0</v>
      </c>
      <c r="G2459" s="37" t="str">
        <f t="shared" si="116"/>
        <v/>
      </c>
    </row>
    <row r="2460" spans="5:7" x14ac:dyDescent="0.45">
      <c r="E2460" s="32" t="str">
        <f t="shared" si="114"/>
        <v>.0</v>
      </c>
      <c r="F2460" s="32" t="str">
        <f t="shared" si="115"/>
        <v>.0</v>
      </c>
      <c r="G2460" s="37" t="str">
        <f t="shared" si="116"/>
        <v/>
      </c>
    </row>
    <row r="2461" spans="5:7" x14ac:dyDescent="0.45">
      <c r="E2461" s="32" t="str">
        <f t="shared" si="114"/>
        <v>.0</v>
      </c>
      <c r="F2461" s="32" t="str">
        <f t="shared" si="115"/>
        <v>.0</v>
      </c>
      <c r="G2461" s="37" t="str">
        <f t="shared" si="116"/>
        <v/>
      </c>
    </row>
    <row r="2462" spans="5:7" x14ac:dyDescent="0.45">
      <c r="E2462" s="32" t="str">
        <f t="shared" ref="E2462:E2525" si="117">MID(B2462,3,2)&amp;"."&amp;IF(C2462&lt;10,"0"&amp;C2462,C2462)</f>
        <v>.0</v>
      </c>
      <c r="F2462" s="32" t="str">
        <f t="shared" ref="F2462:F2525" si="118">MID(B2462,3,2)&amp;"."&amp;IF(C2462&lt;10,"0"&amp;C2462,C2462)</f>
        <v>.0</v>
      </c>
      <c r="G2462" s="37" t="str">
        <f t="shared" ref="G2462:G2525" si="119">TEXT(D2462,"#,###,")</f>
        <v/>
      </c>
    </row>
    <row r="2463" spans="5:7" x14ac:dyDescent="0.45">
      <c r="E2463" s="32" t="str">
        <f t="shared" si="117"/>
        <v>.0</v>
      </c>
      <c r="F2463" s="32" t="str">
        <f t="shared" si="118"/>
        <v>.0</v>
      </c>
      <c r="G2463" s="37" t="str">
        <f t="shared" si="119"/>
        <v/>
      </c>
    </row>
    <row r="2464" spans="5:7" x14ac:dyDescent="0.45">
      <c r="E2464" s="32" t="str">
        <f t="shared" si="117"/>
        <v>.0</v>
      </c>
      <c r="F2464" s="32" t="str">
        <f t="shared" si="118"/>
        <v>.0</v>
      </c>
      <c r="G2464" s="37" t="str">
        <f t="shared" si="119"/>
        <v/>
      </c>
    </row>
    <row r="2465" spans="5:7" x14ac:dyDescent="0.45">
      <c r="E2465" s="32" t="str">
        <f t="shared" si="117"/>
        <v>.0</v>
      </c>
      <c r="F2465" s="32" t="str">
        <f t="shared" si="118"/>
        <v>.0</v>
      </c>
      <c r="G2465" s="37" t="str">
        <f t="shared" si="119"/>
        <v/>
      </c>
    </row>
    <row r="2466" spans="5:7" x14ac:dyDescent="0.45">
      <c r="E2466" s="32" t="str">
        <f t="shared" si="117"/>
        <v>.0</v>
      </c>
      <c r="F2466" s="32" t="str">
        <f t="shared" si="118"/>
        <v>.0</v>
      </c>
      <c r="G2466" s="37" t="str">
        <f t="shared" si="119"/>
        <v/>
      </c>
    </row>
    <row r="2467" spans="5:7" x14ac:dyDescent="0.45">
      <c r="E2467" s="32" t="str">
        <f t="shared" si="117"/>
        <v>.0</v>
      </c>
      <c r="F2467" s="32" t="str">
        <f t="shared" si="118"/>
        <v>.0</v>
      </c>
      <c r="G2467" s="37" t="str">
        <f t="shared" si="119"/>
        <v/>
      </c>
    </row>
    <row r="2468" spans="5:7" x14ac:dyDescent="0.45">
      <c r="E2468" s="32" t="str">
        <f t="shared" si="117"/>
        <v>.0</v>
      </c>
      <c r="F2468" s="32" t="str">
        <f t="shared" si="118"/>
        <v>.0</v>
      </c>
      <c r="G2468" s="37" t="str">
        <f t="shared" si="119"/>
        <v/>
      </c>
    </row>
    <row r="2469" spans="5:7" x14ac:dyDescent="0.45">
      <c r="E2469" s="32" t="str">
        <f t="shared" si="117"/>
        <v>.0</v>
      </c>
      <c r="F2469" s="32" t="str">
        <f t="shared" si="118"/>
        <v>.0</v>
      </c>
      <c r="G2469" s="37" t="str">
        <f t="shared" si="119"/>
        <v/>
      </c>
    </row>
    <row r="2470" spans="5:7" x14ac:dyDescent="0.45">
      <c r="E2470" s="32" t="str">
        <f t="shared" si="117"/>
        <v>.0</v>
      </c>
      <c r="F2470" s="32" t="str">
        <f t="shared" si="118"/>
        <v>.0</v>
      </c>
      <c r="G2470" s="37" t="str">
        <f t="shared" si="119"/>
        <v/>
      </c>
    </row>
    <row r="2471" spans="5:7" x14ac:dyDescent="0.45">
      <c r="E2471" s="32" t="str">
        <f t="shared" si="117"/>
        <v>.0</v>
      </c>
      <c r="F2471" s="32" t="str">
        <f t="shared" si="118"/>
        <v>.0</v>
      </c>
      <c r="G2471" s="37" t="str">
        <f t="shared" si="119"/>
        <v/>
      </c>
    </row>
    <row r="2472" spans="5:7" x14ac:dyDescent="0.45">
      <c r="E2472" s="32" t="str">
        <f t="shared" si="117"/>
        <v>.0</v>
      </c>
      <c r="F2472" s="32" t="str">
        <f t="shared" si="118"/>
        <v>.0</v>
      </c>
      <c r="G2472" s="37" t="str">
        <f t="shared" si="119"/>
        <v/>
      </c>
    </row>
    <row r="2473" spans="5:7" x14ac:dyDescent="0.45">
      <c r="E2473" s="32" t="str">
        <f t="shared" si="117"/>
        <v>.0</v>
      </c>
      <c r="F2473" s="32" t="str">
        <f t="shared" si="118"/>
        <v>.0</v>
      </c>
      <c r="G2473" s="37" t="str">
        <f t="shared" si="119"/>
        <v/>
      </c>
    </row>
    <row r="2474" spans="5:7" x14ac:dyDescent="0.45">
      <c r="E2474" s="32" t="str">
        <f t="shared" si="117"/>
        <v>.0</v>
      </c>
      <c r="F2474" s="32" t="str">
        <f t="shared" si="118"/>
        <v>.0</v>
      </c>
      <c r="G2474" s="37" t="str">
        <f t="shared" si="119"/>
        <v/>
      </c>
    </row>
    <row r="2475" spans="5:7" x14ac:dyDescent="0.45">
      <c r="E2475" s="32" t="str">
        <f t="shared" si="117"/>
        <v>.0</v>
      </c>
      <c r="F2475" s="32" t="str">
        <f t="shared" si="118"/>
        <v>.0</v>
      </c>
      <c r="G2475" s="37" t="str">
        <f t="shared" si="119"/>
        <v/>
      </c>
    </row>
    <row r="2476" spans="5:7" x14ac:dyDescent="0.45">
      <c r="E2476" s="32" t="str">
        <f t="shared" si="117"/>
        <v>.0</v>
      </c>
      <c r="F2476" s="32" t="str">
        <f t="shared" si="118"/>
        <v>.0</v>
      </c>
      <c r="G2476" s="37" t="str">
        <f t="shared" si="119"/>
        <v/>
      </c>
    </row>
    <row r="2477" spans="5:7" x14ac:dyDescent="0.45">
      <c r="E2477" s="32" t="str">
        <f t="shared" si="117"/>
        <v>.0</v>
      </c>
      <c r="F2477" s="32" t="str">
        <f t="shared" si="118"/>
        <v>.0</v>
      </c>
      <c r="G2477" s="37" t="str">
        <f t="shared" si="119"/>
        <v/>
      </c>
    </row>
    <row r="2478" spans="5:7" x14ac:dyDescent="0.45">
      <c r="E2478" s="32" t="str">
        <f t="shared" si="117"/>
        <v>.0</v>
      </c>
      <c r="F2478" s="32" t="str">
        <f t="shared" si="118"/>
        <v>.0</v>
      </c>
      <c r="G2478" s="37" t="str">
        <f t="shared" si="119"/>
        <v/>
      </c>
    </row>
    <row r="2479" spans="5:7" x14ac:dyDescent="0.45">
      <c r="E2479" s="32" t="str">
        <f t="shared" si="117"/>
        <v>.0</v>
      </c>
      <c r="F2479" s="32" t="str">
        <f t="shared" si="118"/>
        <v>.0</v>
      </c>
      <c r="G2479" s="37" t="str">
        <f t="shared" si="119"/>
        <v/>
      </c>
    </row>
    <row r="2480" spans="5:7" x14ac:dyDescent="0.45">
      <c r="E2480" s="32" t="str">
        <f t="shared" si="117"/>
        <v>.0</v>
      </c>
      <c r="F2480" s="32" t="str">
        <f t="shared" si="118"/>
        <v>.0</v>
      </c>
      <c r="G2480" s="37" t="str">
        <f t="shared" si="119"/>
        <v/>
      </c>
    </row>
    <row r="2481" spans="5:7" x14ac:dyDescent="0.45">
      <c r="E2481" s="32" t="str">
        <f t="shared" si="117"/>
        <v>.0</v>
      </c>
      <c r="F2481" s="32" t="str">
        <f t="shared" si="118"/>
        <v>.0</v>
      </c>
      <c r="G2481" s="37" t="str">
        <f t="shared" si="119"/>
        <v/>
      </c>
    </row>
    <row r="2482" spans="5:7" x14ac:dyDescent="0.45">
      <c r="E2482" s="32" t="str">
        <f t="shared" si="117"/>
        <v>.0</v>
      </c>
      <c r="F2482" s="32" t="str">
        <f t="shared" si="118"/>
        <v>.0</v>
      </c>
      <c r="G2482" s="37" t="str">
        <f t="shared" si="119"/>
        <v/>
      </c>
    </row>
    <row r="2483" spans="5:7" x14ac:dyDescent="0.45">
      <c r="E2483" s="32" t="str">
        <f t="shared" si="117"/>
        <v>.0</v>
      </c>
      <c r="F2483" s="32" t="str">
        <f t="shared" si="118"/>
        <v>.0</v>
      </c>
      <c r="G2483" s="37" t="str">
        <f t="shared" si="119"/>
        <v/>
      </c>
    </row>
    <row r="2484" spans="5:7" x14ac:dyDescent="0.45">
      <c r="E2484" s="32" t="str">
        <f t="shared" si="117"/>
        <v>.0</v>
      </c>
      <c r="F2484" s="32" t="str">
        <f t="shared" si="118"/>
        <v>.0</v>
      </c>
      <c r="G2484" s="37" t="str">
        <f t="shared" si="119"/>
        <v/>
      </c>
    </row>
    <row r="2485" spans="5:7" x14ac:dyDescent="0.45">
      <c r="E2485" s="32" t="str">
        <f t="shared" si="117"/>
        <v>.0</v>
      </c>
      <c r="F2485" s="32" t="str">
        <f t="shared" si="118"/>
        <v>.0</v>
      </c>
      <c r="G2485" s="37" t="str">
        <f t="shared" si="119"/>
        <v/>
      </c>
    </row>
    <row r="2486" spans="5:7" x14ac:dyDescent="0.45">
      <c r="E2486" s="32" t="str">
        <f t="shared" si="117"/>
        <v>.0</v>
      </c>
      <c r="F2486" s="32" t="str">
        <f t="shared" si="118"/>
        <v>.0</v>
      </c>
      <c r="G2486" s="37" t="str">
        <f t="shared" si="119"/>
        <v/>
      </c>
    </row>
    <row r="2487" spans="5:7" x14ac:dyDescent="0.45">
      <c r="E2487" s="32" t="str">
        <f t="shared" si="117"/>
        <v>.0</v>
      </c>
      <c r="F2487" s="32" t="str">
        <f t="shared" si="118"/>
        <v>.0</v>
      </c>
      <c r="G2487" s="37" t="str">
        <f t="shared" si="119"/>
        <v/>
      </c>
    </row>
    <row r="2488" spans="5:7" x14ac:dyDescent="0.45">
      <c r="E2488" s="32" t="str">
        <f t="shared" si="117"/>
        <v>.0</v>
      </c>
      <c r="F2488" s="32" t="str">
        <f t="shared" si="118"/>
        <v>.0</v>
      </c>
      <c r="G2488" s="37" t="str">
        <f t="shared" si="119"/>
        <v/>
      </c>
    </row>
    <row r="2489" spans="5:7" x14ac:dyDescent="0.45">
      <c r="E2489" s="32" t="str">
        <f t="shared" si="117"/>
        <v>.0</v>
      </c>
      <c r="F2489" s="32" t="str">
        <f t="shared" si="118"/>
        <v>.0</v>
      </c>
      <c r="G2489" s="37" t="str">
        <f t="shared" si="119"/>
        <v/>
      </c>
    </row>
    <row r="2490" spans="5:7" x14ac:dyDescent="0.45">
      <c r="E2490" s="32" t="str">
        <f t="shared" si="117"/>
        <v>.0</v>
      </c>
      <c r="F2490" s="32" t="str">
        <f t="shared" si="118"/>
        <v>.0</v>
      </c>
      <c r="G2490" s="37" t="str">
        <f t="shared" si="119"/>
        <v/>
      </c>
    </row>
    <row r="2491" spans="5:7" x14ac:dyDescent="0.45">
      <c r="E2491" s="32" t="str">
        <f t="shared" si="117"/>
        <v>.0</v>
      </c>
      <c r="F2491" s="32" t="str">
        <f t="shared" si="118"/>
        <v>.0</v>
      </c>
      <c r="G2491" s="37" t="str">
        <f t="shared" si="119"/>
        <v/>
      </c>
    </row>
    <row r="2492" spans="5:7" x14ac:dyDescent="0.45">
      <c r="E2492" s="32" t="str">
        <f t="shared" si="117"/>
        <v>.0</v>
      </c>
      <c r="F2492" s="32" t="str">
        <f t="shared" si="118"/>
        <v>.0</v>
      </c>
      <c r="G2492" s="37" t="str">
        <f t="shared" si="119"/>
        <v/>
      </c>
    </row>
    <row r="2493" spans="5:7" x14ac:dyDescent="0.45">
      <c r="E2493" s="32" t="str">
        <f t="shared" si="117"/>
        <v>.0</v>
      </c>
      <c r="F2493" s="32" t="str">
        <f t="shared" si="118"/>
        <v>.0</v>
      </c>
      <c r="G2493" s="37" t="str">
        <f t="shared" si="119"/>
        <v/>
      </c>
    </row>
    <row r="2494" spans="5:7" x14ac:dyDescent="0.45">
      <c r="E2494" s="32" t="str">
        <f t="shared" si="117"/>
        <v>.0</v>
      </c>
      <c r="F2494" s="32" t="str">
        <f t="shared" si="118"/>
        <v>.0</v>
      </c>
      <c r="G2494" s="37" t="str">
        <f t="shared" si="119"/>
        <v/>
      </c>
    </row>
    <row r="2495" spans="5:7" x14ac:dyDescent="0.45">
      <c r="E2495" s="32" t="str">
        <f t="shared" si="117"/>
        <v>.0</v>
      </c>
      <c r="F2495" s="32" t="str">
        <f t="shared" si="118"/>
        <v>.0</v>
      </c>
      <c r="G2495" s="37" t="str">
        <f t="shared" si="119"/>
        <v/>
      </c>
    </row>
    <row r="2496" spans="5:7" x14ac:dyDescent="0.45">
      <c r="E2496" s="32" t="str">
        <f t="shared" si="117"/>
        <v>.0</v>
      </c>
      <c r="F2496" s="32" t="str">
        <f t="shared" si="118"/>
        <v>.0</v>
      </c>
      <c r="G2496" s="37" t="str">
        <f t="shared" si="119"/>
        <v/>
      </c>
    </row>
    <row r="2497" spans="5:7" x14ac:dyDescent="0.45">
      <c r="E2497" s="32" t="str">
        <f t="shared" si="117"/>
        <v>.0</v>
      </c>
      <c r="F2497" s="32" t="str">
        <f t="shared" si="118"/>
        <v>.0</v>
      </c>
      <c r="G2497" s="37" t="str">
        <f t="shared" si="119"/>
        <v/>
      </c>
    </row>
    <row r="2498" spans="5:7" x14ac:dyDescent="0.45">
      <c r="E2498" s="32" t="str">
        <f t="shared" si="117"/>
        <v>.0</v>
      </c>
      <c r="F2498" s="32" t="str">
        <f t="shared" si="118"/>
        <v>.0</v>
      </c>
      <c r="G2498" s="37" t="str">
        <f t="shared" si="119"/>
        <v/>
      </c>
    </row>
    <row r="2499" spans="5:7" x14ac:dyDescent="0.45">
      <c r="E2499" s="32" t="str">
        <f t="shared" si="117"/>
        <v>.0</v>
      </c>
      <c r="F2499" s="32" t="str">
        <f t="shared" si="118"/>
        <v>.0</v>
      </c>
      <c r="G2499" s="37" t="str">
        <f t="shared" si="119"/>
        <v/>
      </c>
    </row>
    <row r="2500" spans="5:7" x14ac:dyDescent="0.45">
      <c r="E2500" s="32" t="str">
        <f t="shared" si="117"/>
        <v>.0</v>
      </c>
      <c r="F2500" s="32" t="str">
        <f t="shared" si="118"/>
        <v>.0</v>
      </c>
      <c r="G2500" s="37" t="str">
        <f t="shared" si="119"/>
        <v/>
      </c>
    </row>
    <row r="2501" spans="5:7" x14ac:dyDescent="0.45">
      <c r="E2501" s="32" t="str">
        <f t="shared" si="117"/>
        <v>.0</v>
      </c>
      <c r="F2501" s="32" t="str">
        <f t="shared" si="118"/>
        <v>.0</v>
      </c>
      <c r="G2501" s="37" t="str">
        <f t="shared" si="119"/>
        <v/>
      </c>
    </row>
    <row r="2502" spans="5:7" x14ac:dyDescent="0.45">
      <c r="E2502" s="32" t="str">
        <f t="shared" si="117"/>
        <v>.0</v>
      </c>
      <c r="F2502" s="32" t="str">
        <f t="shared" si="118"/>
        <v>.0</v>
      </c>
      <c r="G2502" s="37" t="str">
        <f t="shared" si="119"/>
        <v/>
      </c>
    </row>
    <row r="2503" spans="5:7" x14ac:dyDescent="0.45">
      <c r="E2503" s="32" t="str">
        <f t="shared" si="117"/>
        <v>.0</v>
      </c>
      <c r="F2503" s="32" t="str">
        <f t="shared" si="118"/>
        <v>.0</v>
      </c>
      <c r="G2503" s="37" t="str">
        <f t="shared" si="119"/>
        <v/>
      </c>
    </row>
    <row r="2504" spans="5:7" x14ac:dyDescent="0.45">
      <c r="E2504" s="32" t="str">
        <f t="shared" si="117"/>
        <v>.0</v>
      </c>
      <c r="F2504" s="32" t="str">
        <f t="shared" si="118"/>
        <v>.0</v>
      </c>
      <c r="G2504" s="37" t="str">
        <f t="shared" si="119"/>
        <v/>
      </c>
    </row>
    <row r="2505" spans="5:7" x14ac:dyDescent="0.45">
      <c r="E2505" s="32" t="str">
        <f t="shared" si="117"/>
        <v>.0</v>
      </c>
      <c r="F2505" s="32" t="str">
        <f t="shared" si="118"/>
        <v>.0</v>
      </c>
      <c r="G2505" s="37" t="str">
        <f t="shared" si="119"/>
        <v/>
      </c>
    </row>
    <row r="2506" spans="5:7" x14ac:dyDescent="0.45">
      <c r="E2506" s="32" t="str">
        <f t="shared" si="117"/>
        <v>.0</v>
      </c>
      <c r="F2506" s="32" t="str">
        <f t="shared" si="118"/>
        <v>.0</v>
      </c>
      <c r="G2506" s="37" t="str">
        <f t="shared" si="119"/>
        <v/>
      </c>
    </row>
    <row r="2507" spans="5:7" x14ac:dyDescent="0.45">
      <c r="E2507" s="32" t="str">
        <f t="shared" si="117"/>
        <v>.0</v>
      </c>
      <c r="F2507" s="32" t="str">
        <f t="shared" si="118"/>
        <v>.0</v>
      </c>
      <c r="G2507" s="37" t="str">
        <f t="shared" si="119"/>
        <v/>
      </c>
    </row>
    <row r="2508" spans="5:7" x14ac:dyDescent="0.45">
      <c r="E2508" s="32" t="str">
        <f t="shared" si="117"/>
        <v>.0</v>
      </c>
      <c r="F2508" s="32" t="str">
        <f t="shared" si="118"/>
        <v>.0</v>
      </c>
      <c r="G2508" s="37" t="str">
        <f t="shared" si="119"/>
        <v/>
      </c>
    </row>
    <row r="2509" spans="5:7" x14ac:dyDescent="0.45">
      <c r="E2509" s="32" t="str">
        <f t="shared" si="117"/>
        <v>.0</v>
      </c>
      <c r="F2509" s="32" t="str">
        <f t="shared" si="118"/>
        <v>.0</v>
      </c>
      <c r="G2509" s="37" t="str">
        <f t="shared" si="119"/>
        <v/>
      </c>
    </row>
    <row r="2510" spans="5:7" x14ac:dyDescent="0.45">
      <c r="E2510" s="32" t="str">
        <f t="shared" si="117"/>
        <v>.0</v>
      </c>
      <c r="F2510" s="32" t="str">
        <f t="shared" si="118"/>
        <v>.0</v>
      </c>
      <c r="G2510" s="37" t="str">
        <f t="shared" si="119"/>
        <v/>
      </c>
    </row>
    <row r="2511" spans="5:7" x14ac:dyDescent="0.45">
      <c r="E2511" s="32" t="str">
        <f t="shared" si="117"/>
        <v>.0</v>
      </c>
      <c r="F2511" s="32" t="str">
        <f t="shared" si="118"/>
        <v>.0</v>
      </c>
      <c r="G2511" s="37" t="str">
        <f t="shared" si="119"/>
        <v/>
      </c>
    </row>
    <row r="2512" spans="5:7" x14ac:dyDescent="0.45">
      <c r="E2512" s="32" t="str">
        <f t="shared" si="117"/>
        <v>.0</v>
      </c>
      <c r="F2512" s="32" t="str">
        <f t="shared" si="118"/>
        <v>.0</v>
      </c>
      <c r="G2512" s="37" t="str">
        <f t="shared" si="119"/>
        <v/>
      </c>
    </row>
    <row r="2513" spans="5:7" x14ac:dyDescent="0.45">
      <c r="E2513" s="32" t="str">
        <f t="shared" si="117"/>
        <v>.0</v>
      </c>
      <c r="F2513" s="32" t="str">
        <f t="shared" si="118"/>
        <v>.0</v>
      </c>
      <c r="G2513" s="37" t="str">
        <f t="shared" si="119"/>
        <v/>
      </c>
    </row>
    <row r="2514" spans="5:7" x14ac:dyDescent="0.45">
      <c r="E2514" s="32" t="str">
        <f t="shared" si="117"/>
        <v>.0</v>
      </c>
      <c r="F2514" s="32" t="str">
        <f t="shared" si="118"/>
        <v>.0</v>
      </c>
      <c r="G2514" s="37" t="str">
        <f t="shared" si="119"/>
        <v/>
      </c>
    </row>
    <row r="2515" spans="5:7" x14ac:dyDescent="0.45">
      <c r="E2515" s="32" t="str">
        <f t="shared" si="117"/>
        <v>.0</v>
      </c>
      <c r="F2515" s="32" t="str">
        <f t="shared" si="118"/>
        <v>.0</v>
      </c>
      <c r="G2515" s="37" t="str">
        <f t="shared" si="119"/>
        <v/>
      </c>
    </row>
    <row r="2516" spans="5:7" x14ac:dyDescent="0.45">
      <c r="E2516" s="32" t="str">
        <f t="shared" si="117"/>
        <v>.0</v>
      </c>
      <c r="F2516" s="32" t="str">
        <f t="shared" si="118"/>
        <v>.0</v>
      </c>
      <c r="G2516" s="37" t="str">
        <f t="shared" si="119"/>
        <v/>
      </c>
    </row>
    <row r="2517" spans="5:7" x14ac:dyDescent="0.45">
      <c r="E2517" s="32" t="str">
        <f t="shared" si="117"/>
        <v>.0</v>
      </c>
      <c r="F2517" s="32" t="str">
        <f t="shared" si="118"/>
        <v>.0</v>
      </c>
      <c r="G2517" s="37" t="str">
        <f t="shared" si="119"/>
        <v/>
      </c>
    </row>
    <row r="2518" spans="5:7" x14ac:dyDescent="0.45">
      <c r="E2518" s="32" t="str">
        <f t="shared" si="117"/>
        <v>.0</v>
      </c>
      <c r="F2518" s="32" t="str">
        <f t="shared" si="118"/>
        <v>.0</v>
      </c>
      <c r="G2518" s="37" t="str">
        <f t="shared" si="119"/>
        <v/>
      </c>
    </row>
    <row r="2519" spans="5:7" x14ac:dyDescent="0.45">
      <c r="E2519" s="32" t="str">
        <f t="shared" si="117"/>
        <v>.0</v>
      </c>
      <c r="F2519" s="32" t="str">
        <f t="shared" si="118"/>
        <v>.0</v>
      </c>
      <c r="G2519" s="37" t="str">
        <f t="shared" si="119"/>
        <v/>
      </c>
    </row>
    <row r="2520" spans="5:7" x14ac:dyDescent="0.45">
      <c r="E2520" s="32" t="str">
        <f t="shared" si="117"/>
        <v>.0</v>
      </c>
      <c r="F2520" s="32" t="str">
        <f t="shared" si="118"/>
        <v>.0</v>
      </c>
      <c r="G2520" s="37" t="str">
        <f t="shared" si="119"/>
        <v/>
      </c>
    </row>
    <row r="2521" spans="5:7" x14ac:dyDescent="0.45">
      <c r="E2521" s="32" t="str">
        <f t="shared" si="117"/>
        <v>.0</v>
      </c>
      <c r="F2521" s="32" t="str">
        <f t="shared" si="118"/>
        <v>.0</v>
      </c>
      <c r="G2521" s="37" t="str">
        <f t="shared" si="119"/>
        <v/>
      </c>
    </row>
    <row r="2522" spans="5:7" x14ac:dyDescent="0.45">
      <c r="E2522" s="32" t="str">
        <f t="shared" si="117"/>
        <v>.0</v>
      </c>
      <c r="F2522" s="32" t="str">
        <f t="shared" si="118"/>
        <v>.0</v>
      </c>
      <c r="G2522" s="37" t="str">
        <f t="shared" si="119"/>
        <v/>
      </c>
    </row>
    <row r="2523" spans="5:7" x14ac:dyDescent="0.45">
      <c r="E2523" s="32" t="str">
        <f t="shared" si="117"/>
        <v>.0</v>
      </c>
      <c r="F2523" s="32" t="str">
        <f t="shared" si="118"/>
        <v>.0</v>
      </c>
      <c r="G2523" s="37" t="str">
        <f t="shared" si="119"/>
        <v/>
      </c>
    </row>
    <row r="2524" spans="5:7" x14ac:dyDescent="0.45">
      <c r="E2524" s="32" t="str">
        <f t="shared" si="117"/>
        <v>.0</v>
      </c>
      <c r="F2524" s="32" t="str">
        <f t="shared" si="118"/>
        <v>.0</v>
      </c>
      <c r="G2524" s="37" t="str">
        <f t="shared" si="119"/>
        <v/>
      </c>
    </row>
    <row r="2525" spans="5:7" x14ac:dyDescent="0.45">
      <c r="E2525" s="32" t="str">
        <f t="shared" si="117"/>
        <v>.0</v>
      </c>
      <c r="F2525" s="32" t="str">
        <f t="shared" si="118"/>
        <v>.0</v>
      </c>
      <c r="G2525" s="37" t="str">
        <f t="shared" si="119"/>
        <v/>
      </c>
    </row>
    <row r="2526" spans="5:7" x14ac:dyDescent="0.45">
      <c r="E2526" s="32" t="str">
        <f t="shared" ref="E2526:E2589" si="120">MID(B2526,3,2)&amp;"."&amp;IF(C2526&lt;10,"0"&amp;C2526,C2526)</f>
        <v>.0</v>
      </c>
      <c r="F2526" s="32" t="str">
        <f t="shared" ref="F2526:F2589" si="121">MID(B2526,3,2)&amp;"."&amp;IF(C2526&lt;10,"0"&amp;C2526,C2526)</f>
        <v>.0</v>
      </c>
      <c r="G2526" s="37" t="str">
        <f t="shared" ref="G2526:G2589" si="122">TEXT(D2526,"#,###,")</f>
        <v/>
      </c>
    </row>
    <row r="2527" spans="5:7" x14ac:dyDescent="0.45">
      <c r="E2527" s="32" t="str">
        <f t="shared" si="120"/>
        <v>.0</v>
      </c>
      <c r="F2527" s="32" t="str">
        <f t="shared" si="121"/>
        <v>.0</v>
      </c>
      <c r="G2527" s="37" t="str">
        <f t="shared" si="122"/>
        <v/>
      </c>
    </row>
    <row r="2528" spans="5:7" x14ac:dyDescent="0.45">
      <c r="E2528" s="32" t="str">
        <f t="shared" si="120"/>
        <v>.0</v>
      </c>
      <c r="F2528" s="32" t="str">
        <f t="shared" si="121"/>
        <v>.0</v>
      </c>
      <c r="G2528" s="37" t="str">
        <f t="shared" si="122"/>
        <v/>
      </c>
    </row>
    <row r="2529" spans="5:7" x14ac:dyDescent="0.45">
      <c r="E2529" s="32" t="str">
        <f t="shared" si="120"/>
        <v>.0</v>
      </c>
      <c r="F2529" s="32" t="str">
        <f t="shared" si="121"/>
        <v>.0</v>
      </c>
      <c r="G2529" s="37" t="str">
        <f t="shared" si="122"/>
        <v/>
      </c>
    </row>
    <row r="2530" spans="5:7" x14ac:dyDescent="0.45">
      <c r="E2530" s="32" t="str">
        <f t="shared" si="120"/>
        <v>.0</v>
      </c>
      <c r="F2530" s="32" t="str">
        <f t="shared" si="121"/>
        <v>.0</v>
      </c>
      <c r="G2530" s="37" t="str">
        <f t="shared" si="122"/>
        <v/>
      </c>
    </row>
    <row r="2531" spans="5:7" x14ac:dyDescent="0.45">
      <c r="E2531" s="32" t="str">
        <f t="shared" si="120"/>
        <v>.0</v>
      </c>
      <c r="F2531" s="32" t="str">
        <f t="shared" si="121"/>
        <v>.0</v>
      </c>
      <c r="G2531" s="37" t="str">
        <f t="shared" si="122"/>
        <v/>
      </c>
    </row>
    <row r="2532" spans="5:7" x14ac:dyDescent="0.45">
      <c r="E2532" s="32" t="str">
        <f t="shared" si="120"/>
        <v>.0</v>
      </c>
      <c r="F2532" s="32" t="str">
        <f t="shared" si="121"/>
        <v>.0</v>
      </c>
      <c r="G2532" s="37" t="str">
        <f t="shared" si="122"/>
        <v/>
      </c>
    </row>
    <row r="2533" spans="5:7" x14ac:dyDescent="0.45">
      <c r="E2533" s="32" t="str">
        <f t="shared" si="120"/>
        <v>.0</v>
      </c>
      <c r="F2533" s="32" t="str">
        <f t="shared" si="121"/>
        <v>.0</v>
      </c>
      <c r="G2533" s="37" t="str">
        <f t="shared" si="122"/>
        <v/>
      </c>
    </row>
    <row r="2534" spans="5:7" x14ac:dyDescent="0.45">
      <c r="E2534" s="32" t="str">
        <f t="shared" si="120"/>
        <v>.0</v>
      </c>
      <c r="F2534" s="32" t="str">
        <f t="shared" si="121"/>
        <v>.0</v>
      </c>
      <c r="G2534" s="37" t="str">
        <f t="shared" si="122"/>
        <v/>
      </c>
    </row>
    <row r="2535" spans="5:7" x14ac:dyDescent="0.45">
      <c r="E2535" s="32" t="str">
        <f t="shared" si="120"/>
        <v>.0</v>
      </c>
      <c r="F2535" s="32" t="str">
        <f t="shared" si="121"/>
        <v>.0</v>
      </c>
      <c r="G2535" s="37" t="str">
        <f t="shared" si="122"/>
        <v/>
      </c>
    </row>
    <row r="2536" spans="5:7" x14ac:dyDescent="0.45">
      <c r="E2536" s="32" t="str">
        <f t="shared" si="120"/>
        <v>.0</v>
      </c>
      <c r="F2536" s="32" t="str">
        <f t="shared" si="121"/>
        <v>.0</v>
      </c>
      <c r="G2536" s="37" t="str">
        <f t="shared" si="122"/>
        <v/>
      </c>
    </row>
    <row r="2537" spans="5:7" x14ac:dyDescent="0.45">
      <c r="E2537" s="32" t="str">
        <f t="shared" si="120"/>
        <v>.0</v>
      </c>
      <c r="F2537" s="32" t="str">
        <f t="shared" si="121"/>
        <v>.0</v>
      </c>
      <c r="G2537" s="37" t="str">
        <f t="shared" si="122"/>
        <v/>
      </c>
    </row>
    <row r="2538" spans="5:7" x14ac:dyDescent="0.45">
      <c r="E2538" s="32" t="str">
        <f t="shared" si="120"/>
        <v>.0</v>
      </c>
      <c r="F2538" s="32" t="str">
        <f t="shared" si="121"/>
        <v>.0</v>
      </c>
      <c r="G2538" s="37" t="str">
        <f t="shared" si="122"/>
        <v/>
      </c>
    </row>
    <row r="2539" spans="5:7" x14ac:dyDescent="0.45">
      <c r="E2539" s="32" t="str">
        <f t="shared" si="120"/>
        <v>.0</v>
      </c>
      <c r="F2539" s="32" t="str">
        <f t="shared" si="121"/>
        <v>.0</v>
      </c>
      <c r="G2539" s="37" t="str">
        <f t="shared" si="122"/>
        <v/>
      </c>
    </row>
    <row r="2540" spans="5:7" x14ac:dyDescent="0.45">
      <c r="E2540" s="32" t="str">
        <f t="shared" si="120"/>
        <v>.0</v>
      </c>
      <c r="F2540" s="32" t="str">
        <f t="shared" si="121"/>
        <v>.0</v>
      </c>
      <c r="G2540" s="37" t="str">
        <f t="shared" si="122"/>
        <v/>
      </c>
    </row>
    <row r="2541" spans="5:7" x14ac:dyDescent="0.45">
      <c r="E2541" s="32" t="str">
        <f t="shared" si="120"/>
        <v>.0</v>
      </c>
      <c r="F2541" s="32" t="str">
        <f t="shared" si="121"/>
        <v>.0</v>
      </c>
      <c r="G2541" s="37" t="str">
        <f t="shared" si="122"/>
        <v/>
      </c>
    </row>
    <row r="2542" spans="5:7" x14ac:dyDescent="0.45">
      <c r="E2542" s="32" t="str">
        <f t="shared" si="120"/>
        <v>.0</v>
      </c>
      <c r="F2542" s="32" t="str">
        <f t="shared" si="121"/>
        <v>.0</v>
      </c>
      <c r="G2542" s="37" t="str">
        <f t="shared" si="122"/>
        <v/>
      </c>
    </row>
    <row r="2543" spans="5:7" x14ac:dyDescent="0.45">
      <c r="E2543" s="32" t="str">
        <f t="shared" si="120"/>
        <v>.0</v>
      </c>
      <c r="F2543" s="32" t="str">
        <f t="shared" si="121"/>
        <v>.0</v>
      </c>
      <c r="G2543" s="37" t="str">
        <f t="shared" si="122"/>
        <v/>
      </c>
    </row>
    <row r="2544" spans="5:7" x14ac:dyDescent="0.45">
      <c r="E2544" s="32" t="str">
        <f t="shared" si="120"/>
        <v>.0</v>
      </c>
      <c r="F2544" s="32" t="str">
        <f t="shared" si="121"/>
        <v>.0</v>
      </c>
      <c r="G2544" s="37" t="str">
        <f t="shared" si="122"/>
        <v/>
      </c>
    </row>
    <row r="2545" spans="5:7" x14ac:dyDescent="0.45">
      <c r="E2545" s="32" t="str">
        <f t="shared" si="120"/>
        <v>.0</v>
      </c>
      <c r="F2545" s="32" t="str">
        <f t="shared" si="121"/>
        <v>.0</v>
      </c>
      <c r="G2545" s="37" t="str">
        <f t="shared" si="122"/>
        <v/>
      </c>
    </row>
    <row r="2546" spans="5:7" x14ac:dyDescent="0.45">
      <c r="E2546" s="32" t="str">
        <f t="shared" si="120"/>
        <v>.0</v>
      </c>
      <c r="F2546" s="32" t="str">
        <f t="shared" si="121"/>
        <v>.0</v>
      </c>
      <c r="G2546" s="37" t="str">
        <f t="shared" si="122"/>
        <v/>
      </c>
    </row>
    <row r="2547" spans="5:7" x14ac:dyDescent="0.45">
      <c r="E2547" s="32" t="str">
        <f t="shared" si="120"/>
        <v>.0</v>
      </c>
      <c r="F2547" s="32" t="str">
        <f t="shared" si="121"/>
        <v>.0</v>
      </c>
      <c r="G2547" s="37" t="str">
        <f t="shared" si="122"/>
        <v/>
      </c>
    </row>
    <row r="2548" spans="5:7" x14ac:dyDescent="0.45">
      <c r="E2548" s="32" t="str">
        <f t="shared" si="120"/>
        <v>.0</v>
      </c>
      <c r="F2548" s="32" t="str">
        <f t="shared" si="121"/>
        <v>.0</v>
      </c>
      <c r="G2548" s="37" t="str">
        <f t="shared" si="122"/>
        <v/>
      </c>
    </row>
    <row r="2549" spans="5:7" x14ac:dyDescent="0.45">
      <c r="E2549" s="32" t="str">
        <f t="shared" si="120"/>
        <v>.0</v>
      </c>
      <c r="F2549" s="32" t="str">
        <f t="shared" si="121"/>
        <v>.0</v>
      </c>
      <c r="G2549" s="37" t="str">
        <f t="shared" si="122"/>
        <v/>
      </c>
    </row>
    <row r="2550" spans="5:7" x14ac:dyDescent="0.45">
      <c r="E2550" s="32" t="str">
        <f t="shared" si="120"/>
        <v>.0</v>
      </c>
      <c r="F2550" s="32" t="str">
        <f t="shared" si="121"/>
        <v>.0</v>
      </c>
      <c r="G2550" s="37" t="str">
        <f t="shared" si="122"/>
        <v/>
      </c>
    </row>
    <row r="2551" spans="5:7" x14ac:dyDescent="0.45">
      <c r="E2551" s="32" t="str">
        <f t="shared" si="120"/>
        <v>.0</v>
      </c>
      <c r="F2551" s="32" t="str">
        <f t="shared" si="121"/>
        <v>.0</v>
      </c>
      <c r="G2551" s="37" t="str">
        <f t="shared" si="122"/>
        <v/>
      </c>
    </row>
    <row r="2552" spans="5:7" x14ac:dyDescent="0.45">
      <c r="E2552" s="32" t="str">
        <f t="shared" si="120"/>
        <v>.0</v>
      </c>
      <c r="F2552" s="32" t="str">
        <f t="shared" si="121"/>
        <v>.0</v>
      </c>
      <c r="G2552" s="37" t="str">
        <f t="shared" si="122"/>
        <v/>
      </c>
    </row>
    <row r="2553" spans="5:7" x14ac:dyDescent="0.45">
      <c r="E2553" s="32" t="str">
        <f t="shared" si="120"/>
        <v>.0</v>
      </c>
      <c r="F2553" s="32" t="str">
        <f t="shared" si="121"/>
        <v>.0</v>
      </c>
      <c r="G2553" s="37" t="str">
        <f t="shared" si="122"/>
        <v/>
      </c>
    </row>
    <row r="2554" spans="5:7" x14ac:dyDescent="0.45">
      <c r="E2554" s="32" t="str">
        <f t="shared" si="120"/>
        <v>.0</v>
      </c>
      <c r="F2554" s="32" t="str">
        <f t="shared" si="121"/>
        <v>.0</v>
      </c>
      <c r="G2554" s="37" t="str">
        <f t="shared" si="122"/>
        <v/>
      </c>
    </row>
    <row r="2555" spans="5:7" x14ac:dyDescent="0.45">
      <c r="E2555" s="32" t="str">
        <f t="shared" si="120"/>
        <v>.0</v>
      </c>
      <c r="F2555" s="32" t="str">
        <f t="shared" si="121"/>
        <v>.0</v>
      </c>
      <c r="G2555" s="37" t="str">
        <f t="shared" si="122"/>
        <v/>
      </c>
    </row>
    <row r="2556" spans="5:7" x14ac:dyDescent="0.45">
      <c r="E2556" s="32" t="str">
        <f t="shared" si="120"/>
        <v>.0</v>
      </c>
      <c r="F2556" s="32" t="str">
        <f t="shared" si="121"/>
        <v>.0</v>
      </c>
      <c r="G2556" s="37" t="str">
        <f t="shared" si="122"/>
        <v/>
      </c>
    </row>
    <row r="2557" spans="5:7" x14ac:dyDescent="0.45">
      <c r="E2557" s="32" t="str">
        <f t="shared" si="120"/>
        <v>.0</v>
      </c>
      <c r="F2557" s="32" t="str">
        <f t="shared" si="121"/>
        <v>.0</v>
      </c>
      <c r="G2557" s="37" t="str">
        <f t="shared" si="122"/>
        <v/>
      </c>
    </row>
    <row r="2558" spans="5:7" x14ac:dyDescent="0.45">
      <c r="E2558" s="32" t="str">
        <f t="shared" si="120"/>
        <v>.0</v>
      </c>
      <c r="F2558" s="32" t="str">
        <f t="shared" si="121"/>
        <v>.0</v>
      </c>
      <c r="G2558" s="37" t="str">
        <f t="shared" si="122"/>
        <v/>
      </c>
    </row>
    <row r="2559" spans="5:7" x14ac:dyDescent="0.45">
      <c r="E2559" s="32" t="str">
        <f t="shared" si="120"/>
        <v>.0</v>
      </c>
      <c r="F2559" s="32" t="str">
        <f t="shared" si="121"/>
        <v>.0</v>
      </c>
      <c r="G2559" s="37" t="str">
        <f t="shared" si="122"/>
        <v/>
      </c>
    </row>
    <row r="2560" spans="5:7" x14ac:dyDescent="0.45">
      <c r="E2560" s="32" t="str">
        <f t="shared" si="120"/>
        <v>.0</v>
      </c>
      <c r="F2560" s="32" t="str">
        <f t="shared" si="121"/>
        <v>.0</v>
      </c>
      <c r="G2560" s="37" t="str">
        <f t="shared" si="122"/>
        <v/>
      </c>
    </row>
    <row r="2561" spans="5:7" x14ac:dyDescent="0.45">
      <c r="E2561" s="32" t="str">
        <f t="shared" si="120"/>
        <v>.0</v>
      </c>
      <c r="F2561" s="32" t="str">
        <f t="shared" si="121"/>
        <v>.0</v>
      </c>
      <c r="G2561" s="37" t="str">
        <f t="shared" si="122"/>
        <v/>
      </c>
    </row>
    <row r="2562" spans="5:7" x14ac:dyDescent="0.45">
      <c r="E2562" s="32" t="str">
        <f t="shared" si="120"/>
        <v>.0</v>
      </c>
      <c r="F2562" s="32" t="str">
        <f t="shared" si="121"/>
        <v>.0</v>
      </c>
      <c r="G2562" s="37" t="str">
        <f t="shared" si="122"/>
        <v/>
      </c>
    </row>
    <row r="2563" spans="5:7" x14ac:dyDescent="0.45">
      <c r="E2563" s="32" t="str">
        <f t="shared" si="120"/>
        <v>.0</v>
      </c>
      <c r="F2563" s="32" t="str">
        <f t="shared" si="121"/>
        <v>.0</v>
      </c>
      <c r="G2563" s="37" t="str">
        <f t="shared" si="122"/>
        <v/>
      </c>
    </row>
    <row r="2564" spans="5:7" x14ac:dyDescent="0.45">
      <c r="E2564" s="32" t="str">
        <f t="shared" si="120"/>
        <v>.0</v>
      </c>
      <c r="F2564" s="32" t="str">
        <f t="shared" si="121"/>
        <v>.0</v>
      </c>
      <c r="G2564" s="37" t="str">
        <f t="shared" si="122"/>
        <v/>
      </c>
    </row>
    <row r="2565" spans="5:7" x14ac:dyDescent="0.45">
      <c r="E2565" s="32" t="str">
        <f t="shared" si="120"/>
        <v>.0</v>
      </c>
      <c r="F2565" s="32" t="str">
        <f t="shared" si="121"/>
        <v>.0</v>
      </c>
      <c r="G2565" s="37" t="str">
        <f t="shared" si="122"/>
        <v/>
      </c>
    </row>
    <row r="2566" spans="5:7" x14ac:dyDescent="0.45">
      <c r="E2566" s="32" t="str">
        <f t="shared" si="120"/>
        <v>.0</v>
      </c>
      <c r="F2566" s="32" t="str">
        <f t="shared" si="121"/>
        <v>.0</v>
      </c>
      <c r="G2566" s="37" t="str">
        <f t="shared" si="122"/>
        <v/>
      </c>
    </row>
    <row r="2567" spans="5:7" x14ac:dyDescent="0.45">
      <c r="E2567" s="32" t="str">
        <f t="shared" si="120"/>
        <v>.0</v>
      </c>
      <c r="F2567" s="32" t="str">
        <f t="shared" si="121"/>
        <v>.0</v>
      </c>
      <c r="G2567" s="37" t="str">
        <f t="shared" si="122"/>
        <v/>
      </c>
    </row>
    <row r="2568" spans="5:7" x14ac:dyDescent="0.45">
      <c r="E2568" s="32" t="str">
        <f t="shared" si="120"/>
        <v>.0</v>
      </c>
      <c r="F2568" s="32" t="str">
        <f t="shared" si="121"/>
        <v>.0</v>
      </c>
      <c r="G2568" s="37" t="str">
        <f t="shared" si="122"/>
        <v/>
      </c>
    </row>
    <row r="2569" spans="5:7" x14ac:dyDescent="0.45">
      <c r="E2569" s="32" t="str">
        <f t="shared" si="120"/>
        <v>.0</v>
      </c>
      <c r="F2569" s="32" t="str">
        <f t="shared" si="121"/>
        <v>.0</v>
      </c>
      <c r="G2569" s="37" t="str">
        <f t="shared" si="122"/>
        <v/>
      </c>
    </row>
    <row r="2570" spans="5:7" x14ac:dyDescent="0.45">
      <c r="E2570" s="32" t="str">
        <f t="shared" si="120"/>
        <v>.0</v>
      </c>
      <c r="F2570" s="32" t="str">
        <f t="shared" si="121"/>
        <v>.0</v>
      </c>
      <c r="G2570" s="37" t="str">
        <f t="shared" si="122"/>
        <v/>
      </c>
    </row>
    <row r="2571" spans="5:7" x14ac:dyDescent="0.45">
      <c r="E2571" s="32" t="str">
        <f t="shared" si="120"/>
        <v>.0</v>
      </c>
      <c r="F2571" s="32" t="str">
        <f t="shared" si="121"/>
        <v>.0</v>
      </c>
      <c r="G2571" s="37" t="str">
        <f t="shared" si="122"/>
        <v/>
      </c>
    </row>
    <row r="2572" spans="5:7" x14ac:dyDescent="0.45">
      <c r="E2572" s="32" t="str">
        <f t="shared" si="120"/>
        <v>.0</v>
      </c>
      <c r="F2572" s="32" t="str">
        <f t="shared" si="121"/>
        <v>.0</v>
      </c>
      <c r="G2572" s="37" t="str">
        <f t="shared" si="122"/>
        <v/>
      </c>
    </row>
    <row r="2573" spans="5:7" x14ac:dyDescent="0.45">
      <c r="E2573" s="32" t="str">
        <f t="shared" si="120"/>
        <v>.0</v>
      </c>
      <c r="F2573" s="32" t="str">
        <f t="shared" si="121"/>
        <v>.0</v>
      </c>
      <c r="G2573" s="37" t="str">
        <f t="shared" si="122"/>
        <v/>
      </c>
    </row>
    <row r="2574" spans="5:7" x14ac:dyDescent="0.45">
      <c r="E2574" s="32" t="str">
        <f t="shared" si="120"/>
        <v>.0</v>
      </c>
      <c r="F2574" s="32" t="str">
        <f t="shared" si="121"/>
        <v>.0</v>
      </c>
      <c r="G2574" s="37" t="str">
        <f t="shared" si="122"/>
        <v/>
      </c>
    </row>
    <row r="2575" spans="5:7" x14ac:dyDescent="0.45">
      <c r="E2575" s="32" t="str">
        <f t="shared" si="120"/>
        <v>.0</v>
      </c>
      <c r="F2575" s="32" t="str">
        <f t="shared" si="121"/>
        <v>.0</v>
      </c>
      <c r="G2575" s="37" t="str">
        <f t="shared" si="122"/>
        <v/>
      </c>
    </row>
    <row r="2576" spans="5:7" x14ac:dyDescent="0.45">
      <c r="E2576" s="32" t="str">
        <f t="shared" si="120"/>
        <v>.0</v>
      </c>
      <c r="F2576" s="32" t="str">
        <f t="shared" si="121"/>
        <v>.0</v>
      </c>
      <c r="G2576" s="37" t="str">
        <f t="shared" si="122"/>
        <v/>
      </c>
    </row>
    <row r="2577" spans="5:7" x14ac:dyDescent="0.45">
      <c r="E2577" s="32" t="str">
        <f t="shared" si="120"/>
        <v>.0</v>
      </c>
      <c r="F2577" s="32" t="str">
        <f t="shared" si="121"/>
        <v>.0</v>
      </c>
      <c r="G2577" s="37" t="str">
        <f t="shared" si="122"/>
        <v/>
      </c>
    </row>
    <row r="2578" spans="5:7" x14ac:dyDescent="0.45">
      <c r="E2578" s="32" t="str">
        <f t="shared" si="120"/>
        <v>.0</v>
      </c>
      <c r="F2578" s="32" t="str">
        <f t="shared" si="121"/>
        <v>.0</v>
      </c>
      <c r="G2578" s="37" t="str">
        <f t="shared" si="122"/>
        <v/>
      </c>
    </row>
    <row r="2579" spans="5:7" x14ac:dyDescent="0.45">
      <c r="E2579" s="32" t="str">
        <f t="shared" si="120"/>
        <v>.0</v>
      </c>
      <c r="F2579" s="32" t="str">
        <f t="shared" si="121"/>
        <v>.0</v>
      </c>
      <c r="G2579" s="37" t="str">
        <f t="shared" si="122"/>
        <v/>
      </c>
    </row>
    <row r="2580" spans="5:7" x14ac:dyDescent="0.45">
      <c r="E2580" s="32" t="str">
        <f t="shared" si="120"/>
        <v>.0</v>
      </c>
      <c r="F2580" s="32" t="str">
        <f t="shared" si="121"/>
        <v>.0</v>
      </c>
      <c r="G2580" s="37" t="str">
        <f t="shared" si="122"/>
        <v/>
      </c>
    </row>
    <row r="2581" spans="5:7" x14ac:dyDescent="0.45">
      <c r="E2581" s="32" t="str">
        <f t="shared" si="120"/>
        <v>.0</v>
      </c>
      <c r="F2581" s="32" t="str">
        <f t="shared" si="121"/>
        <v>.0</v>
      </c>
      <c r="G2581" s="37" t="str">
        <f t="shared" si="122"/>
        <v/>
      </c>
    </row>
    <row r="2582" spans="5:7" x14ac:dyDescent="0.45">
      <c r="E2582" s="32" t="str">
        <f t="shared" si="120"/>
        <v>.0</v>
      </c>
      <c r="F2582" s="32" t="str">
        <f t="shared" si="121"/>
        <v>.0</v>
      </c>
      <c r="G2582" s="37" t="str">
        <f t="shared" si="122"/>
        <v/>
      </c>
    </row>
    <row r="2583" spans="5:7" x14ac:dyDescent="0.45">
      <c r="E2583" s="32" t="str">
        <f t="shared" si="120"/>
        <v>.0</v>
      </c>
      <c r="F2583" s="32" t="str">
        <f t="shared" si="121"/>
        <v>.0</v>
      </c>
      <c r="G2583" s="37" t="str">
        <f t="shared" si="122"/>
        <v/>
      </c>
    </row>
    <row r="2584" spans="5:7" x14ac:dyDescent="0.45">
      <c r="E2584" s="32" t="str">
        <f t="shared" si="120"/>
        <v>.0</v>
      </c>
      <c r="F2584" s="32" t="str">
        <f t="shared" si="121"/>
        <v>.0</v>
      </c>
      <c r="G2584" s="37" t="str">
        <f t="shared" si="122"/>
        <v/>
      </c>
    </row>
    <row r="2585" spans="5:7" x14ac:dyDescent="0.45">
      <c r="E2585" s="32" t="str">
        <f t="shared" si="120"/>
        <v>.0</v>
      </c>
      <c r="F2585" s="32" t="str">
        <f t="shared" si="121"/>
        <v>.0</v>
      </c>
      <c r="G2585" s="37" t="str">
        <f t="shared" si="122"/>
        <v/>
      </c>
    </row>
    <row r="2586" spans="5:7" x14ac:dyDescent="0.45">
      <c r="E2586" s="32" t="str">
        <f t="shared" si="120"/>
        <v>.0</v>
      </c>
      <c r="F2586" s="32" t="str">
        <f t="shared" si="121"/>
        <v>.0</v>
      </c>
      <c r="G2586" s="37" t="str">
        <f t="shared" si="122"/>
        <v/>
      </c>
    </row>
    <row r="2587" spans="5:7" x14ac:dyDescent="0.45">
      <c r="E2587" s="32" t="str">
        <f t="shared" si="120"/>
        <v>.0</v>
      </c>
      <c r="F2587" s="32" t="str">
        <f t="shared" si="121"/>
        <v>.0</v>
      </c>
      <c r="G2587" s="37" t="str">
        <f t="shared" si="122"/>
        <v/>
      </c>
    </row>
    <row r="2588" spans="5:7" x14ac:dyDescent="0.45">
      <c r="E2588" s="32" t="str">
        <f t="shared" si="120"/>
        <v>.0</v>
      </c>
      <c r="F2588" s="32" t="str">
        <f t="shared" si="121"/>
        <v>.0</v>
      </c>
      <c r="G2588" s="37" t="str">
        <f t="shared" si="122"/>
        <v/>
      </c>
    </row>
    <row r="2589" spans="5:7" x14ac:dyDescent="0.45">
      <c r="E2589" s="32" t="str">
        <f t="shared" si="120"/>
        <v>.0</v>
      </c>
      <c r="F2589" s="32" t="str">
        <f t="shared" si="121"/>
        <v>.0</v>
      </c>
      <c r="G2589" s="37" t="str">
        <f t="shared" si="122"/>
        <v/>
      </c>
    </row>
    <row r="2590" spans="5:7" x14ac:dyDescent="0.45">
      <c r="E2590" s="32" t="str">
        <f t="shared" ref="E2590:E2653" si="123">MID(B2590,3,2)&amp;"."&amp;IF(C2590&lt;10,"0"&amp;C2590,C2590)</f>
        <v>.0</v>
      </c>
      <c r="F2590" s="32" t="str">
        <f t="shared" ref="F2590:F2653" si="124">MID(B2590,3,2)&amp;"."&amp;IF(C2590&lt;10,"0"&amp;C2590,C2590)</f>
        <v>.0</v>
      </c>
      <c r="G2590" s="37" t="str">
        <f t="shared" ref="G2590:G2653" si="125">TEXT(D2590,"#,###,")</f>
        <v/>
      </c>
    </row>
    <row r="2591" spans="5:7" x14ac:dyDescent="0.45">
      <c r="E2591" s="32" t="str">
        <f t="shared" si="123"/>
        <v>.0</v>
      </c>
      <c r="F2591" s="32" t="str">
        <f t="shared" si="124"/>
        <v>.0</v>
      </c>
      <c r="G2591" s="37" t="str">
        <f t="shared" si="125"/>
        <v/>
      </c>
    </row>
    <row r="2592" spans="5:7" x14ac:dyDescent="0.45">
      <c r="E2592" s="32" t="str">
        <f t="shared" si="123"/>
        <v>.0</v>
      </c>
      <c r="F2592" s="32" t="str">
        <f t="shared" si="124"/>
        <v>.0</v>
      </c>
      <c r="G2592" s="37" t="str">
        <f t="shared" si="125"/>
        <v/>
      </c>
    </row>
    <row r="2593" spans="5:7" x14ac:dyDescent="0.45">
      <c r="E2593" s="32" t="str">
        <f t="shared" si="123"/>
        <v>.0</v>
      </c>
      <c r="F2593" s="32" t="str">
        <f t="shared" si="124"/>
        <v>.0</v>
      </c>
      <c r="G2593" s="37" t="str">
        <f t="shared" si="125"/>
        <v/>
      </c>
    </row>
    <row r="2594" spans="5:7" x14ac:dyDescent="0.45">
      <c r="E2594" s="32" t="str">
        <f t="shared" si="123"/>
        <v>.0</v>
      </c>
      <c r="F2594" s="32" t="str">
        <f t="shared" si="124"/>
        <v>.0</v>
      </c>
      <c r="G2594" s="37" t="str">
        <f t="shared" si="125"/>
        <v/>
      </c>
    </row>
    <row r="2595" spans="5:7" x14ac:dyDescent="0.45">
      <c r="E2595" s="32" t="str">
        <f t="shared" si="123"/>
        <v>.0</v>
      </c>
      <c r="F2595" s="32" t="str">
        <f t="shared" si="124"/>
        <v>.0</v>
      </c>
      <c r="G2595" s="37" t="str">
        <f t="shared" si="125"/>
        <v/>
      </c>
    </row>
    <row r="2596" spans="5:7" x14ac:dyDescent="0.45">
      <c r="E2596" s="32" t="str">
        <f t="shared" si="123"/>
        <v>.0</v>
      </c>
      <c r="F2596" s="32" t="str">
        <f t="shared" si="124"/>
        <v>.0</v>
      </c>
      <c r="G2596" s="37" t="str">
        <f t="shared" si="125"/>
        <v/>
      </c>
    </row>
    <row r="2597" spans="5:7" x14ac:dyDescent="0.45">
      <c r="E2597" s="32" t="str">
        <f t="shared" si="123"/>
        <v>.0</v>
      </c>
      <c r="F2597" s="32" t="str">
        <f t="shared" si="124"/>
        <v>.0</v>
      </c>
      <c r="G2597" s="37" t="str">
        <f t="shared" si="125"/>
        <v/>
      </c>
    </row>
    <row r="2598" spans="5:7" x14ac:dyDescent="0.45">
      <c r="E2598" s="32" t="str">
        <f t="shared" si="123"/>
        <v>.0</v>
      </c>
      <c r="F2598" s="32" t="str">
        <f t="shared" si="124"/>
        <v>.0</v>
      </c>
      <c r="G2598" s="37" t="str">
        <f t="shared" si="125"/>
        <v/>
      </c>
    </row>
    <row r="2599" spans="5:7" x14ac:dyDescent="0.45">
      <c r="E2599" s="32" t="str">
        <f t="shared" si="123"/>
        <v>.0</v>
      </c>
      <c r="F2599" s="32" t="str">
        <f t="shared" si="124"/>
        <v>.0</v>
      </c>
      <c r="G2599" s="37" t="str">
        <f t="shared" si="125"/>
        <v/>
      </c>
    </row>
    <row r="2600" spans="5:7" x14ac:dyDescent="0.45">
      <c r="E2600" s="32" t="str">
        <f t="shared" si="123"/>
        <v>.0</v>
      </c>
      <c r="F2600" s="32" t="str">
        <f t="shared" si="124"/>
        <v>.0</v>
      </c>
      <c r="G2600" s="37" t="str">
        <f t="shared" si="125"/>
        <v/>
      </c>
    </row>
    <row r="2601" spans="5:7" x14ac:dyDescent="0.45">
      <c r="E2601" s="32" t="str">
        <f t="shared" si="123"/>
        <v>.0</v>
      </c>
      <c r="F2601" s="32" t="str">
        <f t="shared" si="124"/>
        <v>.0</v>
      </c>
      <c r="G2601" s="37" t="str">
        <f t="shared" si="125"/>
        <v/>
      </c>
    </row>
    <row r="2602" spans="5:7" x14ac:dyDescent="0.45">
      <c r="E2602" s="32" t="str">
        <f t="shared" si="123"/>
        <v>.0</v>
      </c>
      <c r="F2602" s="32" t="str">
        <f t="shared" si="124"/>
        <v>.0</v>
      </c>
      <c r="G2602" s="37" t="str">
        <f t="shared" si="125"/>
        <v/>
      </c>
    </row>
    <row r="2603" spans="5:7" x14ac:dyDescent="0.45">
      <c r="E2603" s="32" t="str">
        <f t="shared" si="123"/>
        <v>.0</v>
      </c>
      <c r="F2603" s="32" t="str">
        <f t="shared" si="124"/>
        <v>.0</v>
      </c>
      <c r="G2603" s="37" t="str">
        <f t="shared" si="125"/>
        <v/>
      </c>
    </row>
    <row r="2604" spans="5:7" x14ac:dyDescent="0.45">
      <c r="E2604" s="32" t="str">
        <f t="shared" si="123"/>
        <v>.0</v>
      </c>
      <c r="F2604" s="32" t="str">
        <f t="shared" si="124"/>
        <v>.0</v>
      </c>
      <c r="G2604" s="37" t="str">
        <f t="shared" si="125"/>
        <v/>
      </c>
    </row>
    <row r="2605" spans="5:7" x14ac:dyDescent="0.45">
      <c r="E2605" s="32" t="str">
        <f t="shared" si="123"/>
        <v>.0</v>
      </c>
      <c r="F2605" s="32" t="str">
        <f t="shared" si="124"/>
        <v>.0</v>
      </c>
      <c r="G2605" s="37" t="str">
        <f t="shared" si="125"/>
        <v/>
      </c>
    </row>
    <row r="2606" spans="5:7" x14ac:dyDescent="0.45">
      <c r="E2606" s="32" t="str">
        <f t="shared" si="123"/>
        <v>.0</v>
      </c>
      <c r="F2606" s="32" t="str">
        <f t="shared" si="124"/>
        <v>.0</v>
      </c>
      <c r="G2606" s="37" t="str">
        <f t="shared" si="125"/>
        <v/>
      </c>
    </row>
    <row r="2607" spans="5:7" x14ac:dyDescent="0.45">
      <c r="E2607" s="32" t="str">
        <f t="shared" si="123"/>
        <v>.0</v>
      </c>
      <c r="F2607" s="32" t="str">
        <f t="shared" si="124"/>
        <v>.0</v>
      </c>
      <c r="G2607" s="37" t="str">
        <f t="shared" si="125"/>
        <v/>
      </c>
    </row>
    <row r="2608" spans="5:7" x14ac:dyDescent="0.45">
      <c r="E2608" s="32" t="str">
        <f t="shared" si="123"/>
        <v>.0</v>
      </c>
      <c r="F2608" s="32" t="str">
        <f t="shared" si="124"/>
        <v>.0</v>
      </c>
      <c r="G2608" s="37" t="str">
        <f t="shared" si="125"/>
        <v/>
      </c>
    </row>
    <row r="2609" spans="5:7" x14ac:dyDescent="0.45">
      <c r="E2609" s="32" t="str">
        <f t="shared" si="123"/>
        <v>.0</v>
      </c>
      <c r="F2609" s="32" t="str">
        <f t="shared" si="124"/>
        <v>.0</v>
      </c>
      <c r="G2609" s="37" t="str">
        <f t="shared" si="125"/>
        <v/>
      </c>
    </row>
    <row r="2610" spans="5:7" x14ac:dyDescent="0.45">
      <c r="E2610" s="32" t="str">
        <f t="shared" si="123"/>
        <v>.0</v>
      </c>
      <c r="F2610" s="32" t="str">
        <f t="shared" si="124"/>
        <v>.0</v>
      </c>
      <c r="G2610" s="37" t="str">
        <f t="shared" si="125"/>
        <v/>
      </c>
    </row>
    <row r="2611" spans="5:7" x14ac:dyDescent="0.45">
      <c r="E2611" s="32" t="str">
        <f t="shared" si="123"/>
        <v>.0</v>
      </c>
      <c r="F2611" s="32" t="str">
        <f t="shared" si="124"/>
        <v>.0</v>
      </c>
      <c r="G2611" s="37" t="str">
        <f t="shared" si="125"/>
        <v/>
      </c>
    </row>
    <row r="2612" spans="5:7" x14ac:dyDescent="0.45">
      <c r="E2612" s="32" t="str">
        <f t="shared" si="123"/>
        <v>.0</v>
      </c>
      <c r="F2612" s="32" t="str">
        <f t="shared" si="124"/>
        <v>.0</v>
      </c>
      <c r="G2612" s="37" t="str">
        <f t="shared" si="125"/>
        <v/>
      </c>
    </row>
    <row r="2613" spans="5:7" x14ac:dyDescent="0.45">
      <c r="E2613" s="32" t="str">
        <f t="shared" si="123"/>
        <v>.0</v>
      </c>
      <c r="F2613" s="32" t="str">
        <f t="shared" si="124"/>
        <v>.0</v>
      </c>
      <c r="G2613" s="37" t="str">
        <f t="shared" si="125"/>
        <v/>
      </c>
    </row>
    <row r="2614" spans="5:7" x14ac:dyDescent="0.45">
      <c r="E2614" s="32" t="str">
        <f t="shared" si="123"/>
        <v>.0</v>
      </c>
      <c r="F2614" s="32" t="str">
        <f t="shared" si="124"/>
        <v>.0</v>
      </c>
      <c r="G2614" s="37" t="str">
        <f t="shared" si="125"/>
        <v/>
      </c>
    </row>
    <row r="2615" spans="5:7" x14ac:dyDescent="0.45">
      <c r="E2615" s="32" t="str">
        <f t="shared" si="123"/>
        <v>.0</v>
      </c>
      <c r="F2615" s="32" t="str">
        <f t="shared" si="124"/>
        <v>.0</v>
      </c>
      <c r="G2615" s="37" t="str">
        <f t="shared" si="125"/>
        <v/>
      </c>
    </row>
    <row r="2616" spans="5:7" x14ac:dyDescent="0.45">
      <c r="E2616" s="32" t="str">
        <f t="shared" si="123"/>
        <v>.0</v>
      </c>
      <c r="F2616" s="32" t="str">
        <f t="shared" si="124"/>
        <v>.0</v>
      </c>
      <c r="G2616" s="37" t="str">
        <f t="shared" si="125"/>
        <v/>
      </c>
    </row>
    <row r="2617" spans="5:7" x14ac:dyDescent="0.45">
      <c r="E2617" s="32" t="str">
        <f t="shared" si="123"/>
        <v>.0</v>
      </c>
      <c r="F2617" s="32" t="str">
        <f t="shared" si="124"/>
        <v>.0</v>
      </c>
      <c r="G2617" s="37" t="str">
        <f t="shared" si="125"/>
        <v/>
      </c>
    </row>
    <row r="2618" spans="5:7" x14ac:dyDescent="0.45">
      <c r="E2618" s="32" t="str">
        <f t="shared" si="123"/>
        <v>.0</v>
      </c>
      <c r="F2618" s="32" t="str">
        <f t="shared" si="124"/>
        <v>.0</v>
      </c>
      <c r="G2618" s="37" t="str">
        <f t="shared" si="125"/>
        <v/>
      </c>
    </row>
    <row r="2619" spans="5:7" x14ac:dyDescent="0.45">
      <c r="E2619" s="32" t="str">
        <f t="shared" si="123"/>
        <v>.0</v>
      </c>
      <c r="F2619" s="32" t="str">
        <f t="shared" si="124"/>
        <v>.0</v>
      </c>
      <c r="G2619" s="37" t="str">
        <f t="shared" si="125"/>
        <v/>
      </c>
    </row>
    <row r="2620" spans="5:7" x14ac:dyDescent="0.45">
      <c r="E2620" s="32" t="str">
        <f t="shared" si="123"/>
        <v>.0</v>
      </c>
      <c r="F2620" s="32" t="str">
        <f t="shared" si="124"/>
        <v>.0</v>
      </c>
      <c r="G2620" s="37" t="str">
        <f t="shared" si="125"/>
        <v/>
      </c>
    </row>
    <row r="2621" spans="5:7" x14ac:dyDescent="0.45">
      <c r="E2621" s="32" t="str">
        <f t="shared" si="123"/>
        <v>.0</v>
      </c>
      <c r="F2621" s="32" t="str">
        <f t="shared" si="124"/>
        <v>.0</v>
      </c>
      <c r="G2621" s="37" t="str">
        <f t="shared" si="125"/>
        <v/>
      </c>
    </row>
    <row r="2622" spans="5:7" x14ac:dyDescent="0.45">
      <c r="E2622" s="32" t="str">
        <f t="shared" si="123"/>
        <v>.0</v>
      </c>
      <c r="F2622" s="32" t="str">
        <f t="shared" si="124"/>
        <v>.0</v>
      </c>
      <c r="G2622" s="37" t="str">
        <f t="shared" si="125"/>
        <v/>
      </c>
    </row>
    <row r="2623" spans="5:7" x14ac:dyDescent="0.45">
      <c r="E2623" s="32" t="str">
        <f t="shared" si="123"/>
        <v>.0</v>
      </c>
      <c r="F2623" s="32" t="str">
        <f t="shared" si="124"/>
        <v>.0</v>
      </c>
      <c r="G2623" s="37" t="str">
        <f t="shared" si="125"/>
        <v/>
      </c>
    </row>
    <row r="2624" spans="5:7" x14ac:dyDescent="0.45">
      <c r="E2624" s="32" t="str">
        <f t="shared" si="123"/>
        <v>.0</v>
      </c>
      <c r="F2624" s="32" t="str">
        <f t="shared" si="124"/>
        <v>.0</v>
      </c>
      <c r="G2624" s="37" t="str">
        <f t="shared" si="125"/>
        <v/>
      </c>
    </row>
    <row r="2625" spans="5:7" x14ac:dyDescent="0.45">
      <c r="E2625" s="32" t="str">
        <f t="shared" si="123"/>
        <v>.0</v>
      </c>
      <c r="F2625" s="32" t="str">
        <f t="shared" si="124"/>
        <v>.0</v>
      </c>
      <c r="G2625" s="37" t="str">
        <f t="shared" si="125"/>
        <v/>
      </c>
    </row>
    <row r="2626" spans="5:7" x14ac:dyDescent="0.45">
      <c r="E2626" s="32" t="str">
        <f t="shared" si="123"/>
        <v>.0</v>
      </c>
      <c r="F2626" s="32" t="str">
        <f t="shared" si="124"/>
        <v>.0</v>
      </c>
      <c r="G2626" s="37" t="str">
        <f t="shared" si="125"/>
        <v/>
      </c>
    </row>
    <row r="2627" spans="5:7" x14ac:dyDescent="0.45">
      <c r="E2627" s="32" t="str">
        <f t="shared" si="123"/>
        <v>.0</v>
      </c>
      <c r="F2627" s="32" t="str">
        <f t="shared" si="124"/>
        <v>.0</v>
      </c>
      <c r="G2627" s="37" t="str">
        <f t="shared" si="125"/>
        <v/>
      </c>
    </row>
    <row r="2628" spans="5:7" x14ac:dyDescent="0.45">
      <c r="E2628" s="32" t="str">
        <f t="shared" si="123"/>
        <v>.0</v>
      </c>
      <c r="F2628" s="32" t="str">
        <f t="shared" si="124"/>
        <v>.0</v>
      </c>
      <c r="G2628" s="37" t="str">
        <f t="shared" si="125"/>
        <v/>
      </c>
    </row>
    <row r="2629" spans="5:7" x14ac:dyDescent="0.45">
      <c r="E2629" s="32" t="str">
        <f t="shared" si="123"/>
        <v>.0</v>
      </c>
      <c r="F2629" s="32" t="str">
        <f t="shared" si="124"/>
        <v>.0</v>
      </c>
      <c r="G2629" s="37" t="str">
        <f t="shared" si="125"/>
        <v/>
      </c>
    </row>
    <row r="2630" spans="5:7" x14ac:dyDescent="0.45">
      <c r="E2630" s="32" t="str">
        <f t="shared" si="123"/>
        <v>.0</v>
      </c>
      <c r="F2630" s="32" t="str">
        <f t="shared" si="124"/>
        <v>.0</v>
      </c>
      <c r="G2630" s="37" t="str">
        <f t="shared" si="125"/>
        <v/>
      </c>
    </row>
    <row r="2631" spans="5:7" x14ac:dyDescent="0.45">
      <c r="E2631" s="32" t="str">
        <f t="shared" si="123"/>
        <v>.0</v>
      </c>
      <c r="F2631" s="32" t="str">
        <f t="shared" si="124"/>
        <v>.0</v>
      </c>
      <c r="G2631" s="37" t="str">
        <f t="shared" si="125"/>
        <v/>
      </c>
    </row>
    <row r="2632" spans="5:7" x14ac:dyDescent="0.45">
      <c r="E2632" s="32" t="str">
        <f t="shared" si="123"/>
        <v>.0</v>
      </c>
      <c r="F2632" s="32" t="str">
        <f t="shared" si="124"/>
        <v>.0</v>
      </c>
      <c r="G2632" s="37" t="str">
        <f t="shared" si="125"/>
        <v/>
      </c>
    </row>
    <row r="2633" spans="5:7" x14ac:dyDescent="0.45">
      <c r="E2633" s="32" t="str">
        <f t="shared" si="123"/>
        <v>.0</v>
      </c>
      <c r="F2633" s="32" t="str">
        <f t="shared" si="124"/>
        <v>.0</v>
      </c>
      <c r="G2633" s="37" t="str">
        <f t="shared" si="125"/>
        <v/>
      </c>
    </row>
    <row r="2634" spans="5:7" x14ac:dyDescent="0.45">
      <c r="E2634" s="32" t="str">
        <f t="shared" si="123"/>
        <v>.0</v>
      </c>
      <c r="F2634" s="32" t="str">
        <f t="shared" si="124"/>
        <v>.0</v>
      </c>
      <c r="G2634" s="37" t="str">
        <f t="shared" si="125"/>
        <v/>
      </c>
    </row>
    <row r="2635" spans="5:7" x14ac:dyDescent="0.45">
      <c r="E2635" s="32" t="str">
        <f t="shared" si="123"/>
        <v>.0</v>
      </c>
      <c r="F2635" s="32" t="str">
        <f t="shared" si="124"/>
        <v>.0</v>
      </c>
      <c r="G2635" s="37" t="str">
        <f t="shared" si="125"/>
        <v/>
      </c>
    </row>
    <row r="2636" spans="5:7" x14ac:dyDescent="0.45">
      <c r="E2636" s="32" t="str">
        <f t="shared" si="123"/>
        <v>.0</v>
      </c>
      <c r="F2636" s="32" t="str">
        <f t="shared" si="124"/>
        <v>.0</v>
      </c>
      <c r="G2636" s="37" t="str">
        <f t="shared" si="125"/>
        <v/>
      </c>
    </row>
    <row r="2637" spans="5:7" x14ac:dyDescent="0.45">
      <c r="E2637" s="32" t="str">
        <f t="shared" si="123"/>
        <v>.0</v>
      </c>
      <c r="F2637" s="32" t="str">
        <f t="shared" si="124"/>
        <v>.0</v>
      </c>
      <c r="G2637" s="37" t="str">
        <f t="shared" si="125"/>
        <v/>
      </c>
    </row>
    <row r="2638" spans="5:7" x14ac:dyDescent="0.45">
      <c r="E2638" s="32" t="str">
        <f t="shared" si="123"/>
        <v>.0</v>
      </c>
      <c r="F2638" s="32" t="str">
        <f t="shared" si="124"/>
        <v>.0</v>
      </c>
      <c r="G2638" s="37" t="str">
        <f t="shared" si="125"/>
        <v/>
      </c>
    </row>
    <row r="2639" spans="5:7" x14ac:dyDescent="0.45">
      <c r="E2639" s="32" t="str">
        <f t="shared" si="123"/>
        <v>.0</v>
      </c>
      <c r="F2639" s="32" t="str">
        <f t="shared" si="124"/>
        <v>.0</v>
      </c>
      <c r="G2639" s="37" t="str">
        <f t="shared" si="125"/>
        <v/>
      </c>
    </row>
    <row r="2640" spans="5:7" x14ac:dyDescent="0.45">
      <c r="E2640" s="32" t="str">
        <f t="shared" si="123"/>
        <v>.0</v>
      </c>
      <c r="F2640" s="32" t="str">
        <f t="shared" si="124"/>
        <v>.0</v>
      </c>
      <c r="G2640" s="37" t="str">
        <f t="shared" si="125"/>
        <v/>
      </c>
    </row>
    <row r="2641" spans="5:7" x14ac:dyDescent="0.45">
      <c r="E2641" s="32" t="str">
        <f t="shared" si="123"/>
        <v>.0</v>
      </c>
      <c r="F2641" s="32" t="str">
        <f t="shared" si="124"/>
        <v>.0</v>
      </c>
      <c r="G2641" s="37" t="str">
        <f t="shared" si="125"/>
        <v/>
      </c>
    </row>
    <row r="2642" spans="5:7" x14ac:dyDescent="0.45">
      <c r="E2642" s="32" t="str">
        <f t="shared" si="123"/>
        <v>.0</v>
      </c>
      <c r="F2642" s="32" t="str">
        <f t="shared" si="124"/>
        <v>.0</v>
      </c>
      <c r="G2642" s="37" t="str">
        <f t="shared" si="125"/>
        <v/>
      </c>
    </row>
    <row r="2643" spans="5:7" x14ac:dyDescent="0.45">
      <c r="E2643" s="32" t="str">
        <f t="shared" si="123"/>
        <v>.0</v>
      </c>
      <c r="F2643" s="32" t="str">
        <f t="shared" si="124"/>
        <v>.0</v>
      </c>
      <c r="G2643" s="37" t="str">
        <f t="shared" si="125"/>
        <v/>
      </c>
    </row>
    <row r="2644" spans="5:7" x14ac:dyDescent="0.45">
      <c r="E2644" s="32" t="str">
        <f t="shared" si="123"/>
        <v>.0</v>
      </c>
      <c r="F2644" s="32" t="str">
        <f t="shared" si="124"/>
        <v>.0</v>
      </c>
      <c r="G2644" s="37" t="str">
        <f t="shared" si="125"/>
        <v/>
      </c>
    </row>
    <row r="2645" spans="5:7" x14ac:dyDescent="0.45">
      <c r="E2645" s="32" t="str">
        <f t="shared" si="123"/>
        <v>.0</v>
      </c>
      <c r="F2645" s="32" t="str">
        <f t="shared" si="124"/>
        <v>.0</v>
      </c>
      <c r="G2645" s="37" t="str">
        <f t="shared" si="125"/>
        <v/>
      </c>
    </row>
    <row r="2646" spans="5:7" x14ac:dyDescent="0.45">
      <c r="E2646" s="32" t="str">
        <f t="shared" si="123"/>
        <v>.0</v>
      </c>
      <c r="F2646" s="32" t="str">
        <f t="shared" si="124"/>
        <v>.0</v>
      </c>
      <c r="G2646" s="37" t="str">
        <f t="shared" si="125"/>
        <v/>
      </c>
    </row>
    <row r="2647" spans="5:7" x14ac:dyDescent="0.45">
      <c r="E2647" s="32" t="str">
        <f t="shared" si="123"/>
        <v>.0</v>
      </c>
      <c r="F2647" s="32" t="str">
        <f t="shared" si="124"/>
        <v>.0</v>
      </c>
      <c r="G2647" s="37" t="str">
        <f t="shared" si="125"/>
        <v/>
      </c>
    </row>
    <row r="2648" spans="5:7" x14ac:dyDescent="0.45">
      <c r="E2648" s="32" t="str">
        <f t="shared" si="123"/>
        <v>.0</v>
      </c>
      <c r="F2648" s="32" t="str">
        <f t="shared" si="124"/>
        <v>.0</v>
      </c>
      <c r="G2648" s="37" t="str">
        <f t="shared" si="125"/>
        <v/>
      </c>
    </row>
    <row r="2649" spans="5:7" x14ac:dyDescent="0.45">
      <c r="E2649" s="32" t="str">
        <f t="shared" si="123"/>
        <v>.0</v>
      </c>
      <c r="F2649" s="32" t="str">
        <f t="shared" si="124"/>
        <v>.0</v>
      </c>
      <c r="G2649" s="37" t="str">
        <f t="shared" si="125"/>
        <v/>
      </c>
    </row>
    <row r="2650" spans="5:7" x14ac:dyDescent="0.45">
      <c r="E2650" s="32" t="str">
        <f t="shared" si="123"/>
        <v>.0</v>
      </c>
      <c r="F2650" s="32" t="str">
        <f t="shared" si="124"/>
        <v>.0</v>
      </c>
      <c r="G2650" s="37" t="str">
        <f t="shared" si="125"/>
        <v/>
      </c>
    </row>
    <row r="2651" spans="5:7" x14ac:dyDescent="0.45">
      <c r="E2651" s="32" t="str">
        <f t="shared" si="123"/>
        <v>.0</v>
      </c>
      <c r="F2651" s="32" t="str">
        <f t="shared" si="124"/>
        <v>.0</v>
      </c>
      <c r="G2651" s="37" t="str">
        <f t="shared" si="125"/>
        <v/>
      </c>
    </row>
    <row r="2652" spans="5:7" x14ac:dyDescent="0.45">
      <c r="E2652" s="32" t="str">
        <f t="shared" si="123"/>
        <v>.0</v>
      </c>
      <c r="F2652" s="32" t="str">
        <f t="shared" si="124"/>
        <v>.0</v>
      </c>
      <c r="G2652" s="37" t="str">
        <f t="shared" si="125"/>
        <v/>
      </c>
    </row>
    <row r="2653" spans="5:7" x14ac:dyDescent="0.45">
      <c r="E2653" s="32" t="str">
        <f t="shared" si="123"/>
        <v>.0</v>
      </c>
      <c r="F2653" s="32" t="str">
        <f t="shared" si="124"/>
        <v>.0</v>
      </c>
      <c r="G2653" s="37" t="str">
        <f t="shared" si="125"/>
        <v/>
      </c>
    </row>
    <row r="2654" spans="5:7" x14ac:dyDescent="0.45">
      <c r="E2654" s="32" t="str">
        <f t="shared" ref="E2654:E2717" si="126">MID(B2654,3,2)&amp;"."&amp;IF(C2654&lt;10,"0"&amp;C2654,C2654)</f>
        <v>.0</v>
      </c>
      <c r="F2654" s="32" t="str">
        <f t="shared" ref="F2654:F2717" si="127">MID(B2654,3,2)&amp;"."&amp;IF(C2654&lt;10,"0"&amp;C2654,C2654)</f>
        <v>.0</v>
      </c>
      <c r="G2654" s="37" t="str">
        <f t="shared" ref="G2654:G2717" si="128">TEXT(D2654,"#,###,")</f>
        <v/>
      </c>
    </row>
    <row r="2655" spans="5:7" x14ac:dyDescent="0.45">
      <c r="E2655" s="32" t="str">
        <f t="shared" si="126"/>
        <v>.0</v>
      </c>
      <c r="F2655" s="32" t="str">
        <f t="shared" si="127"/>
        <v>.0</v>
      </c>
      <c r="G2655" s="37" t="str">
        <f t="shared" si="128"/>
        <v/>
      </c>
    </row>
    <row r="2656" spans="5:7" x14ac:dyDescent="0.45">
      <c r="E2656" s="32" t="str">
        <f t="shared" si="126"/>
        <v>.0</v>
      </c>
      <c r="F2656" s="32" t="str">
        <f t="shared" si="127"/>
        <v>.0</v>
      </c>
      <c r="G2656" s="37" t="str">
        <f t="shared" si="128"/>
        <v/>
      </c>
    </row>
    <row r="2657" spans="5:7" x14ac:dyDescent="0.45">
      <c r="E2657" s="32" t="str">
        <f t="shared" si="126"/>
        <v>.0</v>
      </c>
      <c r="F2657" s="32" t="str">
        <f t="shared" si="127"/>
        <v>.0</v>
      </c>
      <c r="G2657" s="37" t="str">
        <f t="shared" si="128"/>
        <v/>
      </c>
    </row>
    <row r="2658" spans="5:7" x14ac:dyDescent="0.45">
      <c r="E2658" s="32" t="str">
        <f t="shared" si="126"/>
        <v>.0</v>
      </c>
      <c r="F2658" s="32" t="str">
        <f t="shared" si="127"/>
        <v>.0</v>
      </c>
      <c r="G2658" s="37" t="str">
        <f t="shared" si="128"/>
        <v/>
      </c>
    </row>
    <row r="2659" spans="5:7" x14ac:dyDescent="0.45">
      <c r="E2659" s="32" t="str">
        <f t="shared" si="126"/>
        <v>.0</v>
      </c>
      <c r="F2659" s="32" t="str">
        <f t="shared" si="127"/>
        <v>.0</v>
      </c>
      <c r="G2659" s="37" t="str">
        <f t="shared" si="128"/>
        <v/>
      </c>
    </row>
    <row r="2660" spans="5:7" x14ac:dyDescent="0.45">
      <c r="E2660" s="32" t="str">
        <f t="shared" si="126"/>
        <v>.0</v>
      </c>
      <c r="F2660" s="32" t="str">
        <f t="shared" si="127"/>
        <v>.0</v>
      </c>
      <c r="G2660" s="37" t="str">
        <f t="shared" si="128"/>
        <v/>
      </c>
    </row>
    <row r="2661" spans="5:7" x14ac:dyDescent="0.45">
      <c r="E2661" s="32" t="str">
        <f t="shared" si="126"/>
        <v>.0</v>
      </c>
      <c r="F2661" s="32" t="str">
        <f t="shared" si="127"/>
        <v>.0</v>
      </c>
      <c r="G2661" s="37" t="str">
        <f t="shared" si="128"/>
        <v/>
      </c>
    </row>
    <row r="2662" spans="5:7" x14ac:dyDescent="0.45">
      <c r="E2662" s="32" t="str">
        <f t="shared" si="126"/>
        <v>.0</v>
      </c>
      <c r="F2662" s="32" t="str">
        <f t="shared" si="127"/>
        <v>.0</v>
      </c>
      <c r="G2662" s="37" t="str">
        <f t="shared" si="128"/>
        <v/>
      </c>
    </row>
    <row r="2663" spans="5:7" x14ac:dyDescent="0.45">
      <c r="E2663" s="32" t="str">
        <f t="shared" si="126"/>
        <v>.0</v>
      </c>
      <c r="F2663" s="32" t="str">
        <f t="shared" si="127"/>
        <v>.0</v>
      </c>
      <c r="G2663" s="37" t="str">
        <f t="shared" si="128"/>
        <v/>
      </c>
    </row>
    <row r="2664" spans="5:7" x14ac:dyDescent="0.45">
      <c r="E2664" s="32" t="str">
        <f t="shared" si="126"/>
        <v>.0</v>
      </c>
      <c r="F2664" s="32" t="str">
        <f t="shared" si="127"/>
        <v>.0</v>
      </c>
      <c r="G2664" s="37" t="str">
        <f t="shared" si="128"/>
        <v/>
      </c>
    </row>
    <row r="2665" spans="5:7" x14ac:dyDescent="0.45">
      <c r="E2665" s="32" t="str">
        <f t="shared" si="126"/>
        <v>.0</v>
      </c>
      <c r="F2665" s="32" t="str">
        <f t="shared" si="127"/>
        <v>.0</v>
      </c>
      <c r="G2665" s="37" t="str">
        <f t="shared" si="128"/>
        <v/>
      </c>
    </row>
    <row r="2666" spans="5:7" x14ac:dyDescent="0.45">
      <c r="E2666" s="32" t="str">
        <f t="shared" si="126"/>
        <v>.0</v>
      </c>
      <c r="F2666" s="32" t="str">
        <f t="shared" si="127"/>
        <v>.0</v>
      </c>
      <c r="G2666" s="37" t="str">
        <f t="shared" si="128"/>
        <v/>
      </c>
    </row>
    <row r="2667" spans="5:7" x14ac:dyDescent="0.45">
      <c r="E2667" s="32" t="str">
        <f t="shared" si="126"/>
        <v>.0</v>
      </c>
      <c r="F2667" s="32" t="str">
        <f t="shared" si="127"/>
        <v>.0</v>
      </c>
      <c r="G2667" s="37" t="str">
        <f t="shared" si="128"/>
        <v/>
      </c>
    </row>
    <row r="2668" spans="5:7" x14ac:dyDescent="0.45">
      <c r="E2668" s="32" t="str">
        <f t="shared" si="126"/>
        <v>.0</v>
      </c>
      <c r="F2668" s="32" t="str">
        <f t="shared" si="127"/>
        <v>.0</v>
      </c>
      <c r="G2668" s="37" t="str">
        <f t="shared" si="128"/>
        <v/>
      </c>
    </row>
    <row r="2669" spans="5:7" x14ac:dyDescent="0.45">
      <c r="E2669" s="32" t="str">
        <f t="shared" si="126"/>
        <v>.0</v>
      </c>
      <c r="F2669" s="32" t="str">
        <f t="shared" si="127"/>
        <v>.0</v>
      </c>
      <c r="G2669" s="37" t="str">
        <f t="shared" si="128"/>
        <v/>
      </c>
    </row>
    <row r="2670" spans="5:7" x14ac:dyDescent="0.45">
      <c r="E2670" s="32" t="str">
        <f t="shared" si="126"/>
        <v>.0</v>
      </c>
      <c r="F2670" s="32" t="str">
        <f t="shared" si="127"/>
        <v>.0</v>
      </c>
      <c r="G2670" s="37" t="str">
        <f t="shared" si="128"/>
        <v/>
      </c>
    </row>
    <row r="2671" spans="5:7" x14ac:dyDescent="0.45">
      <c r="E2671" s="32" t="str">
        <f t="shared" si="126"/>
        <v>.0</v>
      </c>
      <c r="F2671" s="32" t="str">
        <f t="shared" si="127"/>
        <v>.0</v>
      </c>
      <c r="G2671" s="37" t="str">
        <f t="shared" si="128"/>
        <v/>
      </c>
    </row>
    <row r="2672" spans="5:7" x14ac:dyDescent="0.45">
      <c r="E2672" s="32" t="str">
        <f t="shared" si="126"/>
        <v>.0</v>
      </c>
      <c r="F2672" s="32" t="str">
        <f t="shared" si="127"/>
        <v>.0</v>
      </c>
      <c r="G2672" s="37" t="str">
        <f t="shared" si="128"/>
        <v/>
      </c>
    </row>
    <row r="2673" spans="5:7" x14ac:dyDescent="0.45">
      <c r="E2673" s="32" t="str">
        <f t="shared" si="126"/>
        <v>.0</v>
      </c>
      <c r="F2673" s="32" t="str">
        <f t="shared" si="127"/>
        <v>.0</v>
      </c>
      <c r="G2673" s="37" t="str">
        <f t="shared" si="128"/>
        <v/>
      </c>
    </row>
    <row r="2674" spans="5:7" x14ac:dyDescent="0.45">
      <c r="E2674" s="32" t="str">
        <f t="shared" si="126"/>
        <v>.0</v>
      </c>
      <c r="F2674" s="32" t="str">
        <f t="shared" si="127"/>
        <v>.0</v>
      </c>
      <c r="G2674" s="37" t="str">
        <f t="shared" si="128"/>
        <v/>
      </c>
    </row>
    <row r="2675" spans="5:7" x14ac:dyDescent="0.45">
      <c r="E2675" s="32" t="str">
        <f t="shared" si="126"/>
        <v>.0</v>
      </c>
      <c r="F2675" s="32" t="str">
        <f t="shared" si="127"/>
        <v>.0</v>
      </c>
      <c r="G2675" s="37" t="str">
        <f t="shared" si="128"/>
        <v/>
      </c>
    </row>
    <row r="2676" spans="5:7" x14ac:dyDescent="0.45">
      <c r="E2676" s="32" t="str">
        <f t="shared" si="126"/>
        <v>.0</v>
      </c>
      <c r="F2676" s="32" t="str">
        <f t="shared" si="127"/>
        <v>.0</v>
      </c>
      <c r="G2676" s="37" t="str">
        <f t="shared" si="128"/>
        <v/>
      </c>
    </row>
    <row r="2677" spans="5:7" x14ac:dyDescent="0.45">
      <c r="E2677" s="32" t="str">
        <f t="shared" si="126"/>
        <v>.0</v>
      </c>
      <c r="F2677" s="32" t="str">
        <f t="shared" si="127"/>
        <v>.0</v>
      </c>
      <c r="G2677" s="37" t="str">
        <f t="shared" si="128"/>
        <v/>
      </c>
    </row>
    <row r="2678" spans="5:7" x14ac:dyDescent="0.45">
      <c r="E2678" s="32" t="str">
        <f t="shared" si="126"/>
        <v>.0</v>
      </c>
      <c r="F2678" s="32" t="str">
        <f t="shared" si="127"/>
        <v>.0</v>
      </c>
      <c r="G2678" s="37" t="str">
        <f t="shared" si="128"/>
        <v/>
      </c>
    </row>
    <row r="2679" spans="5:7" x14ac:dyDescent="0.45">
      <c r="E2679" s="32" t="str">
        <f t="shared" si="126"/>
        <v>.0</v>
      </c>
      <c r="F2679" s="32" t="str">
        <f t="shared" si="127"/>
        <v>.0</v>
      </c>
      <c r="G2679" s="37" t="str">
        <f t="shared" si="128"/>
        <v/>
      </c>
    </row>
    <row r="2680" spans="5:7" x14ac:dyDescent="0.45">
      <c r="E2680" s="32" t="str">
        <f t="shared" si="126"/>
        <v>.0</v>
      </c>
      <c r="F2680" s="32" t="str">
        <f t="shared" si="127"/>
        <v>.0</v>
      </c>
      <c r="G2680" s="37" t="str">
        <f t="shared" si="128"/>
        <v/>
      </c>
    </row>
    <row r="2681" spans="5:7" x14ac:dyDescent="0.45">
      <c r="E2681" s="32" t="str">
        <f t="shared" si="126"/>
        <v>.0</v>
      </c>
      <c r="F2681" s="32" t="str">
        <f t="shared" si="127"/>
        <v>.0</v>
      </c>
      <c r="G2681" s="37" t="str">
        <f t="shared" si="128"/>
        <v/>
      </c>
    </row>
    <row r="2682" spans="5:7" x14ac:dyDescent="0.45">
      <c r="E2682" s="32" t="str">
        <f t="shared" si="126"/>
        <v>.0</v>
      </c>
      <c r="F2682" s="32" t="str">
        <f t="shared" si="127"/>
        <v>.0</v>
      </c>
      <c r="G2682" s="37" t="str">
        <f t="shared" si="128"/>
        <v/>
      </c>
    </row>
    <row r="2683" spans="5:7" x14ac:dyDescent="0.45">
      <c r="E2683" s="32" t="str">
        <f t="shared" si="126"/>
        <v>.0</v>
      </c>
      <c r="F2683" s="32" t="str">
        <f t="shared" si="127"/>
        <v>.0</v>
      </c>
      <c r="G2683" s="37" t="str">
        <f t="shared" si="128"/>
        <v/>
      </c>
    </row>
    <row r="2684" spans="5:7" x14ac:dyDescent="0.45">
      <c r="E2684" s="32" t="str">
        <f t="shared" si="126"/>
        <v>.0</v>
      </c>
      <c r="F2684" s="32" t="str">
        <f t="shared" si="127"/>
        <v>.0</v>
      </c>
      <c r="G2684" s="37" t="str">
        <f t="shared" si="128"/>
        <v/>
      </c>
    </row>
    <row r="2685" spans="5:7" x14ac:dyDescent="0.45">
      <c r="E2685" s="32" t="str">
        <f t="shared" si="126"/>
        <v>.0</v>
      </c>
      <c r="F2685" s="32" t="str">
        <f t="shared" si="127"/>
        <v>.0</v>
      </c>
      <c r="G2685" s="37" t="str">
        <f t="shared" si="128"/>
        <v/>
      </c>
    </row>
    <row r="2686" spans="5:7" x14ac:dyDescent="0.45">
      <c r="E2686" s="32" t="str">
        <f t="shared" si="126"/>
        <v>.0</v>
      </c>
      <c r="F2686" s="32" t="str">
        <f t="shared" si="127"/>
        <v>.0</v>
      </c>
      <c r="G2686" s="37" t="str">
        <f t="shared" si="128"/>
        <v/>
      </c>
    </row>
    <row r="2687" spans="5:7" x14ac:dyDescent="0.45">
      <c r="E2687" s="32" t="str">
        <f t="shared" si="126"/>
        <v>.0</v>
      </c>
      <c r="F2687" s="32" t="str">
        <f t="shared" si="127"/>
        <v>.0</v>
      </c>
      <c r="G2687" s="37" t="str">
        <f t="shared" si="128"/>
        <v/>
      </c>
    </row>
    <row r="2688" spans="5:7" x14ac:dyDescent="0.45">
      <c r="E2688" s="32" t="str">
        <f t="shared" si="126"/>
        <v>.0</v>
      </c>
      <c r="F2688" s="32" t="str">
        <f t="shared" si="127"/>
        <v>.0</v>
      </c>
      <c r="G2688" s="37" t="str">
        <f t="shared" si="128"/>
        <v/>
      </c>
    </row>
    <row r="2689" spans="5:7" x14ac:dyDescent="0.45">
      <c r="E2689" s="32" t="str">
        <f t="shared" si="126"/>
        <v>.0</v>
      </c>
      <c r="F2689" s="32" t="str">
        <f t="shared" si="127"/>
        <v>.0</v>
      </c>
      <c r="G2689" s="37" t="str">
        <f t="shared" si="128"/>
        <v/>
      </c>
    </row>
    <row r="2690" spans="5:7" x14ac:dyDescent="0.45">
      <c r="E2690" s="32" t="str">
        <f t="shared" si="126"/>
        <v>.0</v>
      </c>
      <c r="F2690" s="32" t="str">
        <f t="shared" si="127"/>
        <v>.0</v>
      </c>
      <c r="G2690" s="37" t="str">
        <f t="shared" si="128"/>
        <v/>
      </c>
    </row>
    <row r="2691" spans="5:7" x14ac:dyDescent="0.45">
      <c r="E2691" s="32" t="str">
        <f t="shared" si="126"/>
        <v>.0</v>
      </c>
      <c r="F2691" s="32" t="str">
        <f t="shared" si="127"/>
        <v>.0</v>
      </c>
      <c r="G2691" s="37" t="str">
        <f t="shared" si="128"/>
        <v/>
      </c>
    </row>
    <row r="2692" spans="5:7" x14ac:dyDescent="0.45">
      <c r="E2692" s="32" t="str">
        <f t="shared" si="126"/>
        <v>.0</v>
      </c>
      <c r="F2692" s="32" t="str">
        <f t="shared" si="127"/>
        <v>.0</v>
      </c>
      <c r="G2692" s="37" t="str">
        <f t="shared" si="128"/>
        <v/>
      </c>
    </row>
    <row r="2693" spans="5:7" x14ac:dyDescent="0.45">
      <c r="E2693" s="32" t="str">
        <f t="shared" si="126"/>
        <v>.0</v>
      </c>
      <c r="F2693" s="32" t="str">
        <f t="shared" si="127"/>
        <v>.0</v>
      </c>
      <c r="G2693" s="37" t="str">
        <f t="shared" si="128"/>
        <v/>
      </c>
    </row>
    <row r="2694" spans="5:7" x14ac:dyDescent="0.45">
      <c r="E2694" s="32" t="str">
        <f t="shared" si="126"/>
        <v>.0</v>
      </c>
      <c r="F2694" s="32" t="str">
        <f t="shared" si="127"/>
        <v>.0</v>
      </c>
      <c r="G2694" s="37" t="str">
        <f t="shared" si="128"/>
        <v/>
      </c>
    </row>
    <row r="2695" spans="5:7" x14ac:dyDescent="0.45">
      <c r="E2695" s="32" t="str">
        <f t="shared" si="126"/>
        <v>.0</v>
      </c>
      <c r="F2695" s="32" t="str">
        <f t="shared" si="127"/>
        <v>.0</v>
      </c>
      <c r="G2695" s="37" t="str">
        <f t="shared" si="128"/>
        <v/>
      </c>
    </row>
    <row r="2696" spans="5:7" x14ac:dyDescent="0.45">
      <c r="E2696" s="32" t="str">
        <f t="shared" si="126"/>
        <v>.0</v>
      </c>
      <c r="F2696" s="32" t="str">
        <f t="shared" si="127"/>
        <v>.0</v>
      </c>
      <c r="G2696" s="37" t="str">
        <f t="shared" si="128"/>
        <v/>
      </c>
    </row>
    <row r="2697" spans="5:7" x14ac:dyDescent="0.45">
      <c r="E2697" s="32" t="str">
        <f t="shared" si="126"/>
        <v>.0</v>
      </c>
      <c r="F2697" s="32" t="str">
        <f t="shared" si="127"/>
        <v>.0</v>
      </c>
      <c r="G2697" s="37" t="str">
        <f t="shared" si="128"/>
        <v/>
      </c>
    </row>
    <row r="2698" spans="5:7" x14ac:dyDescent="0.45">
      <c r="E2698" s="32" t="str">
        <f t="shared" si="126"/>
        <v>.0</v>
      </c>
      <c r="F2698" s="32" t="str">
        <f t="shared" si="127"/>
        <v>.0</v>
      </c>
      <c r="G2698" s="37" t="str">
        <f t="shared" si="128"/>
        <v/>
      </c>
    </row>
    <row r="2699" spans="5:7" x14ac:dyDescent="0.45">
      <c r="E2699" s="32" t="str">
        <f t="shared" si="126"/>
        <v>.0</v>
      </c>
      <c r="F2699" s="32" t="str">
        <f t="shared" si="127"/>
        <v>.0</v>
      </c>
      <c r="G2699" s="37" t="str">
        <f t="shared" si="128"/>
        <v/>
      </c>
    </row>
    <row r="2700" spans="5:7" x14ac:dyDescent="0.45">
      <c r="E2700" s="32" t="str">
        <f t="shared" si="126"/>
        <v>.0</v>
      </c>
      <c r="F2700" s="32" t="str">
        <f t="shared" si="127"/>
        <v>.0</v>
      </c>
      <c r="G2700" s="37" t="str">
        <f t="shared" si="128"/>
        <v/>
      </c>
    </row>
    <row r="2701" spans="5:7" x14ac:dyDescent="0.45">
      <c r="E2701" s="32" t="str">
        <f t="shared" si="126"/>
        <v>.0</v>
      </c>
      <c r="F2701" s="32" t="str">
        <f t="shared" si="127"/>
        <v>.0</v>
      </c>
      <c r="G2701" s="37" t="str">
        <f t="shared" si="128"/>
        <v/>
      </c>
    </row>
    <row r="2702" spans="5:7" x14ac:dyDescent="0.45">
      <c r="E2702" s="32" t="str">
        <f t="shared" si="126"/>
        <v>.0</v>
      </c>
      <c r="F2702" s="32" t="str">
        <f t="shared" si="127"/>
        <v>.0</v>
      </c>
      <c r="G2702" s="37" t="str">
        <f t="shared" si="128"/>
        <v/>
      </c>
    </row>
    <row r="2703" spans="5:7" x14ac:dyDescent="0.45">
      <c r="E2703" s="32" t="str">
        <f t="shared" si="126"/>
        <v>.0</v>
      </c>
      <c r="F2703" s="32" t="str">
        <f t="shared" si="127"/>
        <v>.0</v>
      </c>
      <c r="G2703" s="37" t="str">
        <f t="shared" si="128"/>
        <v/>
      </c>
    </row>
    <row r="2704" spans="5:7" x14ac:dyDescent="0.45">
      <c r="E2704" s="32" t="str">
        <f t="shared" si="126"/>
        <v>.0</v>
      </c>
      <c r="F2704" s="32" t="str">
        <f t="shared" si="127"/>
        <v>.0</v>
      </c>
      <c r="G2704" s="37" t="str">
        <f t="shared" si="128"/>
        <v/>
      </c>
    </row>
    <row r="2705" spans="5:7" x14ac:dyDescent="0.45">
      <c r="E2705" s="32" t="str">
        <f t="shared" si="126"/>
        <v>.0</v>
      </c>
      <c r="F2705" s="32" t="str">
        <f t="shared" si="127"/>
        <v>.0</v>
      </c>
      <c r="G2705" s="37" t="str">
        <f t="shared" si="128"/>
        <v/>
      </c>
    </row>
    <row r="2706" spans="5:7" x14ac:dyDescent="0.45">
      <c r="E2706" s="32" t="str">
        <f t="shared" si="126"/>
        <v>.0</v>
      </c>
      <c r="F2706" s="32" t="str">
        <f t="shared" si="127"/>
        <v>.0</v>
      </c>
      <c r="G2706" s="37" t="str">
        <f t="shared" si="128"/>
        <v/>
      </c>
    </row>
    <row r="2707" spans="5:7" x14ac:dyDescent="0.45">
      <c r="E2707" s="32" t="str">
        <f t="shared" si="126"/>
        <v>.0</v>
      </c>
      <c r="F2707" s="32" t="str">
        <f t="shared" si="127"/>
        <v>.0</v>
      </c>
      <c r="G2707" s="37" t="str">
        <f t="shared" si="128"/>
        <v/>
      </c>
    </row>
    <row r="2708" spans="5:7" x14ac:dyDescent="0.45">
      <c r="E2708" s="32" t="str">
        <f t="shared" si="126"/>
        <v>.0</v>
      </c>
      <c r="F2708" s="32" t="str">
        <f t="shared" si="127"/>
        <v>.0</v>
      </c>
      <c r="G2708" s="37" t="str">
        <f t="shared" si="128"/>
        <v/>
      </c>
    </row>
    <row r="2709" spans="5:7" x14ac:dyDescent="0.45">
      <c r="E2709" s="32" t="str">
        <f t="shared" si="126"/>
        <v>.0</v>
      </c>
      <c r="F2709" s="32" t="str">
        <f t="shared" si="127"/>
        <v>.0</v>
      </c>
      <c r="G2709" s="37" t="str">
        <f t="shared" si="128"/>
        <v/>
      </c>
    </row>
    <row r="2710" spans="5:7" x14ac:dyDescent="0.45">
      <c r="E2710" s="32" t="str">
        <f t="shared" si="126"/>
        <v>.0</v>
      </c>
      <c r="F2710" s="32" t="str">
        <f t="shared" si="127"/>
        <v>.0</v>
      </c>
      <c r="G2710" s="37" t="str">
        <f t="shared" si="128"/>
        <v/>
      </c>
    </row>
    <row r="2711" spans="5:7" x14ac:dyDescent="0.45">
      <c r="E2711" s="32" t="str">
        <f t="shared" si="126"/>
        <v>.0</v>
      </c>
      <c r="F2711" s="32" t="str">
        <f t="shared" si="127"/>
        <v>.0</v>
      </c>
      <c r="G2711" s="37" t="str">
        <f t="shared" si="128"/>
        <v/>
      </c>
    </row>
    <row r="2712" spans="5:7" x14ac:dyDescent="0.45">
      <c r="E2712" s="32" t="str">
        <f t="shared" si="126"/>
        <v>.0</v>
      </c>
      <c r="F2712" s="32" t="str">
        <f t="shared" si="127"/>
        <v>.0</v>
      </c>
      <c r="G2712" s="37" t="str">
        <f t="shared" si="128"/>
        <v/>
      </c>
    </row>
    <row r="2713" spans="5:7" x14ac:dyDescent="0.45">
      <c r="E2713" s="32" t="str">
        <f t="shared" si="126"/>
        <v>.0</v>
      </c>
      <c r="F2713" s="32" t="str">
        <f t="shared" si="127"/>
        <v>.0</v>
      </c>
      <c r="G2713" s="37" t="str">
        <f t="shared" si="128"/>
        <v/>
      </c>
    </row>
    <row r="2714" spans="5:7" x14ac:dyDescent="0.45">
      <c r="E2714" s="32" t="str">
        <f t="shared" si="126"/>
        <v>.0</v>
      </c>
      <c r="F2714" s="32" t="str">
        <f t="shared" si="127"/>
        <v>.0</v>
      </c>
      <c r="G2714" s="37" t="str">
        <f t="shared" si="128"/>
        <v/>
      </c>
    </row>
    <row r="2715" spans="5:7" x14ac:dyDescent="0.45">
      <c r="E2715" s="32" t="str">
        <f t="shared" si="126"/>
        <v>.0</v>
      </c>
      <c r="F2715" s="32" t="str">
        <f t="shared" si="127"/>
        <v>.0</v>
      </c>
      <c r="G2715" s="37" t="str">
        <f t="shared" si="128"/>
        <v/>
      </c>
    </row>
    <row r="2716" spans="5:7" x14ac:dyDescent="0.45">
      <c r="E2716" s="32" t="str">
        <f t="shared" si="126"/>
        <v>.0</v>
      </c>
      <c r="F2716" s="32" t="str">
        <f t="shared" si="127"/>
        <v>.0</v>
      </c>
      <c r="G2716" s="37" t="str">
        <f t="shared" si="128"/>
        <v/>
      </c>
    </row>
    <row r="2717" spans="5:7" x14ac:dyDescent="0.45">
      <c r="E2717" s="32" t="str">
        <f t="shared" si="126"/>
        <v>.0</v>
      </c>
      <c r="F2717" s="32" t="str">
        <f t="shared" si="127"/>
        <v>.0</v>
      </c>
      <c r="G2717" s="37" t="str">
        <f t="shared" si="128"/>
        <v/>
      </c>
    </row>
    <row r="2718" spans="5:7" x14ac:dyDescent="0.45">
      <c r="E2718" s="32" t="str">
        <f t="shared" ref="E2718:E2781" si="129">MID(B2718,3,2)&amp;"."&amp;IF(C2718&lt;10,"0"&amp;C2718,C2718)</f>
        <v>.0</v>
      </c>
      <c r="F2718" s="32" t="str">
        <f t="shared" ref="F2718:F2781" si="130">MID(B2718,3,2)&amp;"."&amp;IF(C2718&lt;10,"0"&amp;C2718,C2718)</f>
        <v>.0</v>
      </c>
      <c r="G2718" s="37" t="str">
        <f t="shared" ref="G2718:G2781" si="131">TEXT(D2718,"#,###,")</f>
        <v/>
      </c>
    </row>
    <row r="2719" spans="5:7" x14ac:dyDescent="0.45">
      <c r="E2719" s="32" t="str">
        <f t="shared" si="129"/>
        <v>.0</v>
      </c>
      <c r="F2719" s="32" t="str">
        <f t="shared" si="130"/>
        <v>.0</v>
      </c>
      <c r="G2719" s="37" t="str">
        <f t="shared" si="131"/>
        <v/>
      </c>
    </row>
    <row r="2720" spans="5:7" x14ac:dyDescent="0.45">
      <c r="E2720" s="32" t="str">
        <f t="shared" si="129"/>
        <v>.0</v>
      </c>
      <c r="F2720" s="32" t="str">
        <f t="shared" si="130"/>
        <v>.0</v>
      </c>
      <c r="G2720" s="37" t="str">
        <f t="shared" si="131"/>
        <v/>
      </c>
    </row>
    <row r="2721" spans="5:7" x14ac:dyDescent="0.45">
      <c r="E2721" s="32" t="str">
        <f t="shared" si="129"/>
        <v>.0</v>
      </c>
      <c r="F2721" s="32" t="str">
        <f t="shared" si="130"/>
        <v>.0</v>
      </c>
      <c r="G2721" s="37" t="str">
        <f t="shared" si="131"/>
        <v/>
      </c>
    </row>
    <row r="2722" spans="5:7" x14ac:dyDescent="0.45">
      <c r="E2722" s="32" t="str">
        <f t="shared" si="129"/>
        <v>.0</v>
      </c>
      <c r="F2722" s="32" t="str">
        <f t="shared" si="130"/>
        <v>.0</v>
      </c>
      <c r="G2722" s="37" t="str">
        <f t="shared" si="131"/>
        <v/>
      </c>
    </row>
    <row r="2723" spans="5:7" x14ac:dyDescent="0.45">
      <c r="E2723" s="32" t="str">
        <f t="shared" si="129"/>
        <v>.0</v>
      </c>
      <c r="F2723" s="32" t="str">
        <f t="shared" si="130"/>
        <v>.0</v>
      </c>
      <c r="G2723" s="37" t="str">
        <f t="shared" si="131"/>
        <v/>
      </c>
    </row>
    <row r="2724" spans="5:7" x14ac:dyDescent="0.45">
      <c r="E2724" s="32" t="str">
        <f t="shared" si="129"/>
        <v>.0</v>
      </c>
      <c r="F2724" s="32" t="str">
        <f t="shared" si="130"/>
        <v>.0</v>
      </c>
      <c r="G2724" s="37" t="str">
        <f t="shared" si="131"/>
        <v/>
      </c>
    </row>
    <row r="2725" spans="5:7" x14ac:dyDescent="0.45">
      <c r="E2725" s="32" t="str">
        <f t="shared" si="129"/>
        <v>.0</v>
      </c>
      <c r="F2725" s="32" t="str">
        <f t="shared" si="130"/>
        <v>.0</v>
      </c>
      <c r="G2725" s="37" t="str">
        <f t="shared" si="131"/>
        <v/>
      </c>
    </row>
    <row r="2726" spans="5:7" x14ac:dyDescent="0.45">
      <c r="E2726" s="32" t="str">
        <f t="shared" si="129"/>
        <v>.0</v>
      </c>
      <c r="F2726" s="32" t="str">
        <f t="shared" si="130"/>
        <v>.0</v>
      </c>
      <c r="G2726" s="37" t="str">
        <f t="shared" si="131"/>
        <v/>
      </c>
    </row>
    <row r="2727" spans="5:7" x14ac:dyDescent="0.45">
      <c r="E2727" s="32" t="str">
        <f t="shared" si="129"/>
        <v>.0</v>
      </c>
      <c r="F2727" s="32" t="str">
        <f t="shared" si="130"/>
        <v>.0</v>
      </c>
      <c r="G2727" s="37" t="str">
        <f t="shared" si="131"/>
        <v/>
      </c>
    </row>
    <row r="2728" spans="5:7" x14ac:dyDescent="0.45">
      <c r="E2728" s="32" t="str">
        <f t="shared" si="129"/>
        <v>.0</v>
      </c>
      <c r="F2728" s="32" t="str">
        <f t="shared" si="130"/>
        <v>.0</v>
      </c>
      <c r="G2728" s="37" t="str">
        <f t="shared" si="131"/>
        <v/>
      </c>
    </row>
    <row r="2729" spans="5:7" x14ac:dyDescent="0.45">
      <c r="E2729" s="32" t="str">
        <f t="shared" si="129"/>
        <v>.0</v>
      </c>
      <c r="F2729" s="32" t="str">
        <f t="shared" si="130"/>
        <v>.0</v>
      </c>
      <c r="G2729" s="37" t="str">
        <f t="shared" si="131"/>
        <v/>
      </c>
    </row>
    <row r="2730" spans="5:7" x14ac:dyDescent="0.45">
      <c r="E2730" s="32" t="str">
        <f t="shared" si="129"/>
        <v>.0</v>
      </c>
      <c r="F2730" s="32" t="str">
        <f t="shared" si="130"/>
        <v>.0</v>
      </c>
      <c r="G2730" s="37" t="str">
        <f t="shared" si="131"/>
        <v/>
      </c>
    </row>
    <row r="2731" spans="5:7" x14ac:dyDescent="0.45">
      <c r="E2731" s="32" t="str">
        <f t="shared" si="129"/>
        <v>.0</v>
      </c>
      <c r="F2731" s="32" t="str">
        <f t="shared" si="130"/>
        <v>.0</v>
      </c>
      <c r="G2731" s="37" t="str">
        <f t="shared" si="131"/>
        <v/>
      </c>
    </row>
    <row r="2732" spans="5:7" x14ac:dyDescent="0.45">
      <c r="E2732" s="32" t="str">
        <f t="shared" si="129"/>
        <v>.0</v>
      </c>
      <c r="F2732" s="32" t="str">
        <f t="shared" si="130"/>
        <v>.0</v>
      </c>
      <c r="G2732" s="37" t="str">
        <f t="shared" si="131"/>
        <v/>
      </c>
    </row>
    <row r="2733" spans="5:7" x14ac:dyDescent="0.45">
      <c r="E2733" s="32" t="str">
        <f t="shared" si="129"/>
        <v>.0</v>
      </c>
      <c r="F2733" s="32" t="str">
        <f t="shared" si="130"/>
        <v>.0</v>
      </c>
      <c r="G2733" s="37" t="str">
        <f t="shared" si="131"/>
        <v/>
      </c>
    </row>
    <row r="2734" spans="5:7" x14ac:dyDescent="0.45">
      <c r="E2734" s="32" t="str">
        <f t="shared" si="129"/>
        <v>.0</v>
      </c>
      <c r="F2734" s="32" t="str">
        <f t="shared" si="130"/>
        <v>.0</v>
      </c>
      <c r="G2734" s="37" t="str">
        <f t="shared" si="131"/>
        <v/>
      </c>
    </row>
    <row r="2735" spans="5:7" x14ac:dyDescent="0.45">
      <c r="E2735" s="32" t="str">
        <f t="shared" si="129"/>
        <v>.0</v>
      </c>
      <c r="F2735" s="32" t="str">
        <f t="shared" si="130"/>
        <v>.0</v>
      </c>
      <c r="G2735" s="37" t="str">
        <f t="shared" si="131"/>
        <v/>
      </c>
    </row>
    <row r="2736" spans="5:7" x14ac:dyDescent="0.45">
      <c r="E2736" s="32" t="str">
        <f t="shared" si="129"/>
        <v>.0</v>
      </c>
      <c r="F2736" s="32" t="str">
        <f t="shared" si="130"/>
        <v>.0</v>
      </c>
      <c r="G2736" s="37" t="str">
        <f t="shared" si="131"/>
        <v/>
      </c>
    </row>
    <row r="2737" spans="5:7" x14ac:dyDescent="0.45">
      <c r="E2737" s="32" t="str">
        <f t="shared" si="129"/>
        <v>.0</v>
      </c>
      <c r="F2737" s="32" t="str">
        <f t="shared" si="130"/>
        <v>.0</v>
      </c>
      <c r="G2737" s="37" t="str">
        <f t="shared" si="131"/>
        <v/>
      </c>
    </row>
    <row r="2738" spans="5:7" x14ac:dyDescent="0.45">
      <c r="E2738" s="32" t="str">
        <f t="shared" si="129"/>
        <v>.0</v>
      </c>
      <c r="F2738" s="32" t="str">
        <f t="shared" si="130"/>
        <v>.0</v>
      </c>
      <c r="G2738" s="37" t="str">
        <f t="shared" si="131"/>
        <v/>
      </c>
    </row>
    <row r="2739" spans="5:7" x14ac:dyDescent="0.45">
      <c r="E2739" s="32" t="str">
        <f t="shared" si="129"/>
        <v>.0</v>
      </c>
      <c r="F2739" s="32" t="str">
        <f t="shared" si="130"/>
        <v>.0</v>
      </c>
      <c r="G2739" s="37" t="str">
        <f t="shared" si="131"/>
        <v/>
      </c>
    </row>
    <row r="2740" spans="5:7" x14ac:dyDescent="0.45">
      <c r="E2740" s="32" t="str">
        <f t="shared" si="129"/>
        <v>.0</v>
      </c>
      <c r="F2740" s="32" t="str">
        <f t="shared" si="130"/>
        <v>.0</v>
      </c>
      <c r="G2740" s="37" t="str">
        <f t="shared" si="131"/>
        <v/>
      </c>
    </row>
    <row r="2741" spans="5:7" x14ac:dyDescent="0.45">
      <c r="E2741" s="32" t="str">
        <f t="shared" si="129"/>
        <v>.0</v>
      </c>
      <c r="F2741" s="32" t="str">
        <f t="shared" si="130"/>
        <v>.0</v>
      </c>
      <c r="G2741" s="37" t="str">
        <f t="shared" si="131"/>
        <v/>
      </c>
    </row>
    <row r="2742" spans="5:7" x14ac:dyDescent="0.45">
      <c r="E2742" s="32" t="str">
        <f t="shared" si="129"/>
        <v>.0</v>
      </c>
      <c r="F2742" s="32" t="str">
        <f t="shared" si="130"/>
        <v>.0</v>
      </c>
      <c r="G2742" s="37" t="str">
        <f t="shared" si="131"/>
        <v/>
      </c>
    </row>
    <row r="2743" spans="5:7" x14ac:dyDescent="0.45">
      <c r="E2743" s="32" t="str">
        <f t="shared" si="129"/>
        <v>.0</v>
      </c>
      <c r="F2743" s="32" t="str">
        <f t="shared" si="130"/>
        <v>.0</v>
      </c>
      <c r="G2743" s="37" t="str">
        <f t="shared" si="131"/>
        <v/>
      </c>
    </row>
    <row r="2744" spans="5:7" x14ac:dyDescent="0.45">
      <c r="E2744" s="32" t="str">
        <f t="shared" si="129"/>
        <v>.0</v>
      </c>
      <c r="F2744" s="32" t="str">
        <f t="shared" si="130"/>
        <v>.0</v>
      </c>
      <c r="G2744" s="37" t="str">
        <f t="shared" si="131"/>
        <v/>
      </c>
    </row>
    <row r="2745" spans="5:7" x14ac:dyDescent="0.45">
      <c r="E2745" s="32" t="str">
        <f t="shared" si="129"/>
        <v>.0</v>
      </c>
      <c r="F2745" s="32" t="str">
        <f t="shared" si="130"/>
        <v>.0</v>
      </c>
      <c r="G2745" s="37" t="str">
        <f t="shared" si="131"/>
        <v/>
      </c>
    </row>
    <row r="2746" spans="5:7" x14ac:dyDescent="0.45">
      <c r="E2746" s="32" t="str">
        <f t="shared" si="129"/>
        <v>.0</v>
      </c>
      <c r="F2746" s="32" t="str">
        <f t="shared" si="130"/>
        <v>.0</v>
      </c>
      <c r="G2746" s="37" t="str">
        <f t="shared" si="131"/>
        <v/>
      </c>
    </row>
    <row r="2747" spans="5:7" x14ac:dyDescent="0.45">
      <c r="E2747" s="32" t="str">
        <f t="shared" si="129"/>
        <v>.0</v>
      </c>
      <c r="F2747" s="32" t="str">
        <f t="shared" si="130"/>
        <v>.0</v>
      </c>
      <c r="G2747" s="37" t="str">
        <f t="shared" si="131"/>
        <v/>
      </c>
    </row>
    <row r="2748" spans="5:7" x14ac:dyDescent="0.45">
      <c r="E2748" s="32" t="str">
        <f t="shared" si="129"/>
        <v>.0</v>
      </c>
      <c r="F2748" s="32" t="str">
        <f t="shared" si="130"/>
        <v>.0</v>
      </c>
      <c r="G2748" s="37" t="str">
        <f t="shared" si="131"/>
        <v/>
      </c>
    </row>
    <row r="2749" spans="5:7" x14ac:dyDescent="0.45">
      <c r="E2749" s="32" t="str">
        <f t="shared" si="129"/>
        <v>.0</v>
      </c>
      <c r="F2749" s="32" t="str">
        <f t="shared" si="130"/>
        <v>.0</v>
      </c>
      <c r="G2749" s="37" t="str">
        <f t="shared" si="131"/>
        <v/>
      </c>
    </row>
    <row r="2750" spans="5:7" x14ac:dyDescent="0.45">
      <c r="E2750" s="32" t="str">
        <f t="shared" si="129"/>
        <v>.0</v>
      </c>
      <c r="F2750" s="32" t="str">
        <f t="shared" si="130"/>
        <v>.0</v>
      </c>
      <c r="G2750" s="37" t="str">
        <f t="shared" si="131"/>
        <v/>
      </c>
    </row>
    <row r="2751" spans="5:7" x14ac:dyDescent="0.45">
      <c r="E2751" s="32" t="str">
        <f t="shared" si="129"/>
        <v>.0</v>
      </c>
      <c r="F2751" s="32" t="str">
        <f t="shared" si="130"/>
        <v>.0</v>
      </c>
      <c r="G2751" s="37" t="str">
        <f t="shared" si="131"/>
        <v/>
      </c>
    </row>
    <row r="2752" spans="5:7" x14ac:dyDescent="0.45">
      <c r="E2752" s="32" t="str">
        <f t="shared" si="129"/>
        <v>.0</v>
      </c>
      <c r="F2752" s="32" t="str">
        <f t="shared" si="130"/>
        <v>.0</v>
      </c>
      <c r="G2752" s="37" t="str">
        <f t="shared" si="131"/>
        <v/>
      </c>
    </row>
    <row r="2753" spans="5:7" x14ac:dyDescent="0.45">
      <c r="E2753" s="32" t="str">
        <f t="shared" si="129"/>
        <v>.0</v>
      </c>
      <c r="F2753" s="32" t="str">
        <f t="shared" si="130"/>
        <v>.0</v>
      </c>
      <c r="G2753" s="37" t="str">
        <f t="shared" si="131"/>
        <v/>
      </c>
    </row>
    <row r="2754" spans="5:7" x14ac:dyDescent="0.45">
      <c r="E2754" s="32" t="str">
        <f t="shared" si="129"/>
        <v>.0</v>
      </c>
      <c r="F2754" s="32" t="str">
        <f t="shared" si="130"/>
        <v>.0</v>
      </c>
      <c r="G2754" s="37" t="str">
        <f t="shared" si="131"/>
        <v/>
      </c>
    </row>
    <row r="2755" spans="5:7" x14ac:dyDescent="0.45">
      <c r="E2755" s="32" t="str">
        <f t="shared" si="129"/>
        <v>.0</v>
      </c>
      <c r="F2755" s="32" t="str">
        <f t="shared" si="130"/>
        <v>.0</v>
      </c>
      <c r="G2755" s="37" t="str">
        <f t="shared" si="131"/>
        <v/>
      </c>
    </row>
    <row r="2756" spans="5:7" x14ac:dyDescent="0.45">
      <c r="E2756" s="32" t="str">
        <f t="shared" si="129"/>
        <v>.0</v>
      </c>
      <c r="F2756" s="32" t="str">
        <f t="shared" si="130"/>
        <v>.0</v>
      </c>
      <c r="G2756" s="37" t="str">
        <f t="shared" si="131"/>
        <v/>
      </c>
    </row>
    <row r="2757" spans="5:7" x14ac:dyDescent="0.45">
      <c r="E2757" s="32" t="str">
        <f t="shared" si="129"/>
        <v>.0</v>
      </c>
      <c r="F2757" s="32" t="str">
        <f t="shared" si="130"/>
        <v>.0</v>
      </c>
      <c r="G2757" s="37" t="str">
        <f t="shared" si="131"/>
        <v/>
      </c>
    </row>
    <row r="2758" spans="5:7" x14ac:dyDescent="0.45">
      <c r="E2758" s="32" t="str">
        <f t="shared" si="129"/>
        <v>.0</v>
      </c>
      <c r="F2758" s="32" t="str">
        <f t="shared" si="130"/>
        <v>.0</v>
      </c>
      <c r="G2758" s="37" t="str">
        <f t="shared" si="131"/>
        <v/>
      </c>
    </row>
    <row r="2759" spans="5:7" x14ac:dyDescent="0.45">
      <c r="E2759" s="32" t="str">
        <f t="shared" si="129"/>
        <v>.0</v>
      </c>
      <c r="F2759" s="32" t="str">
        <f t="shared" si="130"/>
        <v>.0</v>
      </c>
      <c r="G2759" s="37" t="str">
        <f t="shared" si="131"/>
        <v/>
      </c>
    </row>
    <row r="2760" spans="5:7" x14ac:dyDescent="0.45">
      <c r="E2760" s="32" t="str">
        <f t="shared" si="129"/>
        <v>.0</v>
      </c>
      <c r="F2760" s="32" t="str">
        <f t="shared" si="130"/>
        <v>.0</v>
      </c>
      <c r="G2760" s="37" t="str">
        <f t="shared" si="131"/>
        <v/>
      </c>
    </row>
    <row r="2761" spans="5:7" x14ac:dyDescent="0.45">
      <c r="E2761" s="32" t="str">
        <f t="shared" si="129"/>
        <v>.0</v>
      </c>
      <c r="F2761" s="32" t="str">
        <f t="shared" si="130"/>
        <v>.0</v>
      </c>
      <c r="G2761" s="37" t="str">
        <f t="shared" si="131"/>
        <v/>
      </c>
    </row>
    <row r="2762" spans="5:7" x14ac:dyDescent="0.45">
      <c r="E2762" s="32" t="str">
        <f t="shared" si="129"/>
        <v>.0</v>
      </c>
      <c r="F2762" s="32" t="str">
        <f t="shared" si="130"/>
        <v>.0</v>
      </c>
      <c r="G2762" s="37" t="str">
        <f t="shared" si="131"/>
        <v/>
      </c>
    </row>
    <row r="2763" spans="5:7" x14ac:dyDescent="0.45">
      <c r="E2763" s="32" t="str">
        <f t="shared" si="129"/>
        <v>.0</v>
      </c>
      <c r="F2763" s="32" t="str">
        <f t="shared" si="130"/>
        <v>.0</v>
      </c>
      <c r="G2763" s="37" t="str">
        <f t="shared" si="131"/>
        <v/>
      </c>
    </row>
    <row r="2764" spans="5:7" x14ac:dyDescent="0.45">
      <c r="E2764" s="32" t="str">
        <f t="shared" si="129"/>
        <v>.0</v>
      </c>
      <c r="F2764" s="32" t="str">
        <f t="shared" si="130"/>
        <v>.0</v>
      </c>
      <c r="G2764" s="37" t="str">
        <f t="shared" si="131"/>
        <v/>
      </c>
    </row>
    <row r="2765" spans="5:7" x14ac:dyDescent="0.45">
      <c r="E2765" s="32" t="str">
        <f t="shared" si="129"/>
        <v>.0</v>
      </c>
      <c r="F2765" s="32" t="str">
        <f t="shared" si="130"/>
        <v>.0</v>
      </c>
      <c r="G2765" s="37" t="str">
        <f t="shared" si="131"/>
        <v/>
      </c>
    </row>
    <row r="2766" spans="5:7" x14ac:dyDescent="0.45">
      <c r="E2766" s="32" t="str">
        <f t="shared" si="129"/>
        <v>.0</v>
      </c>
      <c r="F2766" s="32" t="str">
        <f t="shared" si="130"/>
        <v>.0</v>
      </c>
      <c r="G2766" s="37" t="str">
        <f t="shared" si="131"/>
        <v/>
      </c>
    </row>
    <row r="2767" spans="5:7" x14ac:dyDescent="0.45">
      <c r="E2767" s="32" t="str">
        <f t="shared" si="129"/>
        <v>.0</v>
      </c>
      <c r="F2767" s="32" t="str">
        <f t="shared" si="130"/>
        <v>.0</v>
      </c>
      <c r="G2767" s="37" t="str">
        <f t="shared" si="131"/>
        <v/>
      </c>
    </row>
    <row r="2768" spans="5:7" x14ac:dyDescent="0.45">
      <c r="E2768" s="32" t="str">
        <f t="shared" si="129"/>
        <v>.0</v>
      </c>
      <c r="F2768" s="32" t="str">
        <f t="shared" si="130"/>
        <v>.0</v>
      </c>
      <c r="G2768" s="37" t="str">
        <f t="shared" si="131"/>
        <v/>
      </c>
    </row>
    <row r="2769" spans="5:7" x14ac:dyDescent="0.45">
      <c r="E2769" s="32" t="str">
        <f t="shared" si="129"/>
        <v>.0</v>
      </c>
      <c r="F2769" s="32" t="str">
        <f t="shared" si="130"/>
        <v>.0</v>
      </c>
      <c r="G2769" s="37" t="str">
        <f t="shared" si="131"/>
        <v/>
      </c>
    </row>
    <row r="2770" spans="5:7" x14ac:dyDescent="0.45">
      <c r="E2770" s="32" t="str">
        <f t="shared" si="129"/>
        <v>.0</v>
      </c>
      <c r="F2770" s="32" t="str">
        <f t="shared" si="130"/>
        <v>.0</v>
      </c>
      <c r="G2770" s="37" t="str">
        <f t="shared" si="131"/>
        <v/>
      </c>
    </row>
    <row r="2771" spans="5:7" x14ac:dyDescent="0.45">
      <c r="E2771" s="32" t="str">
        <f t="shared" si="129"/>
        <v>.0</v>
      </c>
      <c r="F2771" s="32" t="str">
        <f t="shared" si="130"/>
        <v>.0</v>
      </c>
      <c r="G2771" s="37" t="str">
        <f t="shared" si="131"/>
        <v/>
      </c>
    </row>
    <row r="2772" spans="5:7" x14ac:dyDescent="0.45">
      <c r="E2772" s="32" t="str">
        <f t="shared" si="129"/>
        <v>.0</v>
      </c>
      <c r="F2772" s="32" t="str">
        <f t="shared" si="130"/>
        <v>.0</v>
      </c>
      <c r="G2772" s="37" t="str">
        <f t="shared" si="131"/>
        <v/>
      </c>
    </row>
    <row r="2773" spans="5:7" x14ac:dyDescent="0.45">
      <c r="E2773" s="32" t="str">
        <f t="shared" si="129"/>
        <v>.0</v>
      </c>
      <c r="F2773" s="32" t="str">
        <f t="shared" si="130"/>
        <v>.0</v>
      </c>
      <c r="G2773" s="37" t="str">
        <f t="shared" si="131"/>
        <v/>
      </c>
    </row>
    <row r="2774" spans="5:7" x14ac:dyDescent="0.45">
      <c r="E2774" s="32" t="str">
        <f t="shared" si="129"/>
        <v>.0</v>
      </c>
      <c r="F2774" s="32" t="str">
        <f t="shared" si="130"/>
        <v>.0</v>
      </c>
      <c r="G2774" s="37" t="str">
        <f t="shared" si="131"/>
        <v/>
      </c>
    </row>
    <row r="2775" spans="5:7" x14ac:dyDescent="0.45">
      <c r="E2775" s="32" t="str">
        <f t="shared" si="129"/>
        <v>.0</v>
      </c>
      <c r="F2775" s="32" t="str">
        <f t="shared" si="130"/>
        <v>.0</v>
      </c>
      <c r="G2775" s="37" t="str">
        <f t="shared" si="131"/>
        <v/>
      </c>
    </row>
    <row r="2776" spans="5:7" x14ac:dyDescent="0.45">
      <c r="E2776" s="32" t="str">
        <f t="shared" si="129"/>
        <v>.0</v>
      </c>
      <c r="F2776" s="32" t="str">
        <f t="shared" si="130"/>
        <v>.0</v>
      </c>
      <c r="G2776" s="37" t="str">
        <f t="shared" si="131"/>
        <v/>
      </c>
    </row>
    <row r="2777" spans="5:7" x14ac:dyDescent="0.45">
      <c r="E2777" s="32" t="str">
        <f t="shared" si="129"/>
        <v>.0</v>
      </c>
      <c r="F2777" s="32" t="str">
        <f t="shared" si="130"/>
        <v>.0</v>
      </c>
      <c r="G2777" s="37" t="str">
        <f t="shared" si="131"/>
        <v/>
      </c>
    </row>
    <row r="2778" spans="5:7" x14ac:dyDescent="0.45">
      <c r="E2778" s="32" t="str">
        <f t="shared" si="129"/>
        <v>.0</v>
      </c>
      <c r="F2778" s="32" t="str">
        <f t="shared" si="130"/>
        <v>.0</v>
      </c>
      <c r="G2778" s="37" t="str">
        <f t="shared" si="131"/>
        <v/>
      </c>
    </row>
    <row r="2779" spans="5:7" x14ac:dyDescent="0.45">
      <c r="E2779" s="32" t="str">
        <f t="shared" si="129"/>
        <v>.0</v>
      </c>
      <c r="F2779" s="32" t="str">
        <f t="shared" si="130"/>
        <v>.0</v>
      </c>
      <c r="G2779" s="37" t="str">
        <f t="shared" si="131"/>
        <v/>
      </c>
    </row>
    <row r="2780" spans="5:7" x14ac:dyDescent="0.45">
      <c r="E2780" s="32" t="str">
        <f t="shared" si="129"/>
        <v>.0</v>
      </c>
      <c r="F2780" s="32" t="str">
        <f t="shared" si="130"/>
        <v>.0</v>
      </c>
      <c r="G2780" s="37" t="str">
        <f t="shared" si="131"/>
        <v/>
      </c>
    </row>
    <row r="2781" spans="5:7" x14ac:dyDescent="0.45">
      <c r="E2781" s="32" t="str">
        <f t="shared" si="129"/>
        <v>.0</v>
      </c>
      <c r="F2781" s="32" t="str">
        <f t="shared" si="130"/>
        <v>.0</v>
      </c>
      <c r="G2781" s="37" t="str">
        <f t="shared" si="131"/>
        <v/>
      </c>
    </row>
    <row r="2782" spans="5:7" x14ac:dyDescent="0.45">
      <c r="E2782" s="32" t="str">
        <f t="shared" ref="E2782:E2845" si="132">MID(B2782,3,2)&amp;"."&amp;IF(C2782&lt;10,"0"&amp;C2782,C2782)</f>
        <v>.0</v>
      </c>
      <c r="F2782" s="32" t="str">
        <f t="shared" ref="F2782:F2845" si="133">MID(B2782,3,2)&amp;"."&amp;IF(C2782&lt;10,"0"&amp;C2782,C2782)</f>
        <v>.0</v>
      </c>
      <c r="G2782" s="37" t="str">
        <f t="shared" ref="G2782:G2845" si="134">TEXT(D2782,"#,###,")</f>
        <v/>
      </c>
    </row>
    <row r="2783" spans="5:7" x14ac:dyDescent="0.45">
      <c r="E2783" s="32" t="str">
        <f t="shared" si="132"/>
        <v>.0</v>
      </c>
      <c r="F2783" s="32" t="str">
        <f t="shared" si="133"/>
        <v>.0</v>
      </c>
      <c r="G2783" s="37" t="str">
        <f t="shared" si="134"/>
        <v/>
      </c>
    </row>
    <row r="2784" spans="5:7" x14ac:dyDescent="0.45">
      <c r="E2784" s="32" t="str">
        <f t="shared" si="132"/>
        <v>.0</v>
      </c>
      <c r="F2784" s="32" t="str">
        <f t="shared" si="133"/>
        <v>.0</v>
      </c>
      <c r="G2784" s="37" t="str">
        <f t="shared" si="134"/>
        <v/>
      </c>
    </row>
    <row r="2785" spans="5:7" x14ac:dyDescent="0.45">
      <c r="E2785" s="32" t="str">
        <f t="shared" si="132"/>
        <v>.0</v>
      </c>
      <c r="F2785" s="32" t="str">
        <f t="shared" si="133"/>
        <v>.0</v>
      </c>
      <c r="G2785" s="37" t="str">
        <f t="shared" si="134"/>
        <v/>
      </c>
    </row>
    <row r="2786" spans="5:7" x14ac:dyDescent="0.45">
      <c r="E2786" s="32" t="str">
        <f t="shared" si="132"/>
        <v>.0</v>
      </c>
      <c r="F2786" s="32" t="str">
        <f t="shared" si="133"/>
        <v>.0</v>
      </c>
      <c r="G2786" s="37" t="str">
        <f t="shared" si="134"/>
        <v/>
      </c>
    </row>
    <row r="2787" spans="5:7" x14ac:dyDescent="0.45">
      <c r="E2787" s="32" t="str">
        <f t="shared" si="132"/>
        <v>.0</v>
      </c>
      <c r="F2787" s="32" t="str">
        <f t="shared" si="133"/>
        <v>.0</v>
      </c>
      <c r="G2787" s="37" t="str">
        <f t="shared" si="134"/>
        <v/>
      </c>
    </row>
    <row r="2788" spans="5:7" x14ac:dyDescent="0.45">
      <c r="E2788" s="32" t="str">
        <f t="shared" si="132"/>
        <v>.0</v>
      </c>
      <c r="F2788" s="32" t="str">
        <f t="shared" si="133"/>
        <v>.0</v>
      </c>
      <c r="G2788" s="37" t="str">
        <f t="shared" si="134"/>
        <v/>
      </c>
    </row>
    <row r="2789" spans="5:7" x14ac:dyDescent="0.45">
      <c r="E2789" s="32" t="str">
        <f t="shared" si="132"/>
        <v>.0</v>
      </c>
      <c r="F2789" s="32" t="str">
        <f t="shared" si="133"/>
        <v>.0</v>
      </c>
      <c r="G2789" s="37" t="str">
        <f t="shared" si="134"/>
        <v/>
      </c>
    </row>
    <row r="2790" spans="5:7" x14ac:dyDescent="0.45">
      <c r="E2790" s="32" t="str">
        <f t="shared" si="132"/>
        <v>.0</v>
      </c>
      <c r="F2790" s="32" t="str">
        <f t="shared" si="133"/>
        <v>.0</v>
      </c>
      <c r="G2790" s="37" t="str">
        <f t="shared" si="134"/>
        <v/>
      </c>
    </row>
    <row r="2791" spans="5:7" x14ac:dyDescent="0.45">
      <c r="E2791" s="32" t="str">
        <f t="shared" si="132"/>
        <v>.0</v>
      </c>
      <c r="F2791" s="32" t="str">
        <f t="shared" si="133"/>
        <v>.0</v>
      </c>
      <c r="G2791" s="37" t="str">
        <f t="shared" si="134"/>
        <v/>
      </c>
    </row>
    <row r="2792" spans="5:7" x14ac:dyDescent="0.45">
      <c r="E2792" s="32" t="str">
        <f t="shared" si="132"/>
        <v>.0</v>
      </c>
      <c r="F2792" s="32" t="str">
        <f t="shared" si="133"/>
        <v>.0</v>
      </c>
      <c r="G2792" s="37" t="str">
        <f t="shared" si="134"/>
        <v/>
      </c>
    </row>
    <row r="2793" spans="5:7" x14ac:dyDescent="0.45">
      <c r="E2793" s="32" t="str">
        <f t="shared" si="132"/>
        <v>.0</v>
      </c>
      <c r="F2793" s="32" t="str">
        <f t="shared" si="133"/>
        <v>.0</v>
      </c>
      <c r="G2793" s="37" t="str">
        <f t="shared" si="134"/>
        <v/>
      </c>
    </row>
    <row r="2794" spans="5:7" x14ac:dyDescent="0.45">
      <c r="E2794" s="32" t="str">
        <f t="shared" si="132"/>
        <v>.0</v>
      </c>
      <c r="F2794" s="32" t="str">
        <f t="shared" si="133"/>
        <v>.0</v>
      </c>
      <c r="G2794" s="37" t="str">
        <f t="shared" si="134"/>
        <v/>
      </c>
    </row>
    <row r="2795" spans="5:7" x14ac:dyDescent="0.45">
      <c r="E2795" s="32" t="str">
        <f t="shared" si="132"/>
        <v>.0</v>
      </c>
      <c r="F2795" s="32" t="str">
        <f t="shared" si="133"/>
        <v>.0</v>
      </c>
      <c r="G2795" s="37" t="str">
        <f t="shared" si="134"/>
        <v/>
      </c>
    </row>
    <row r="2796" spans="5:7" x14ac:dyDescent="0.45">
      <c r="E2796" s="32" t="str">
        <f t="shared" si="132"/>
        <v>.0</v>
      </c>
      <c r="F2796" s="32" t="str">
        <f t="shared" si="133"/>
        <v>.0</v>
      </c>
      <c r="G2796" s="37" t="str">
        <f t="shared" si="134"/>
        <v/>
      </c>
    </row>
    <row r="2797" spans="5:7" x14ac:dyDescent="0.45">
      <c r="E2797" s="32" t="str">
        <f t="shared" si="132"/>
        <v>.0</v>
      </c>
      <c r="F2797" s="32" t="str">
        <f t="shared" si="133"/>
        <v>.0</v>
      </c>
      <c r="G2797" s="37" t="str">
        <f t="shared" si="134"/>
        <v/>
      </c>
    </row>
    <row r="2798" spans="5:7" x14ac:dyDescent="0.45">
      <c r="E2798" s="32" t="str">
        <f t="shared" si="132"/>
        <v>.0</v>
      </c>
      <c r="F2798" s="32" t="str">
        <f t="shared" si="133"/>
        <v>.0</v>
      </c>
      <c r="G2798" s="37" t="str">
        <f t="shared" si="134"/>
        <v/>
      </c>
    </row>
    <row r="2799" spans="5:7" x14ac:dyDescent="0.45">
      <c r="E2799" s="32" t="str">
        <f t="shared" si="132"/>
        <v>.0</v>
      </c>
      <c r="F2799" s="32" t="str">
        <f t="shared" si="133"/>
        <v>.0</v>
      </c>
      <c r="G2799" s="37" t="str">
        <f t="shared" si="134"/>
        <v/>
      </c>
    </row>
    <row r="2800" spans="5:7" x14ac:dyDescent="0.45">
      <c r="E2800" s="32" t="str">
        <f t="shared" si="132"/>
        <v>.0</v>
      </c>
      <c r="F2800" s="32" t="str">
        <f t="shared" si="133"/>
        <v>.0</v>
      </c>
      <c r="G2800" s="37" t="str">
        <f t="shared" si="134"/>
        <v/>
      </c>
    </row>
    <row r="2801" spans="5:7" x14ac:dyDescent="0.45">
      <c r="E2801" s="32" t="str">
        <f t="shared" si="132"/>
        <v>.0</v>
      </c>
      <c r="F2801" s="32" t="str">
        <f t="shared" si="133"/>
        <v>.0</v>
      </c>
      <c r="G2801" s="37" t="str">
        <f t="shared" si="134"/>
        <v/>
      </c>
    </row>
    <row r="2802" spans="5:7" x14ac:dyDescent="0.45">
      <c r="E2802" s="32" t="str">
        <f t="shared" si="132"/>
        <v>.0</v>
      </c>
      <c r="F2802" s="32" t="str">
        <f t="shared" si="133"/>
        <v>.0</v>
      </c>
      <c r="G2802" s="37" t="str">
        <f t="shared" si="134"/>
        <v/>
      </c>
    </row>
    <row r="2803" spans="5:7" x14ac:dyDescent="0.45">
      <c r="E2803" s="32" t="str">
        <f t="shared" si="132"/>
        <v>.0</v>
      </c>
      <c r="F2803" s="32" t="str">
        <f t="shared" si="133"/>
        <v>.0</v>
      </c>
      <c r="G2803" s="37" t="str">
        <f t="shared" si="134"/>
        <v/>
      </c>
    </row>
    <row r="2804" spans="5:7" x14ac:dyDescent="0.45">
      <c r="E2804" s="32" t="str">
        <f t="shared" si="132"/>
        <v>.0</v>
      </c>
      <c r="F2804" s="32" t="str">
        <f t="shared" si="133"/>
        <v>.0</v>
      </c>
      <c r="G2804" s="37" t="str">
        <f t="shared" si="134"/>
        <v/>
      </c>
    </row>
    <row r="2805" spans="5:7" x14ac:dyDescent="0.45">
      <c r="E2805" s="32" t="str">
        <f t="shared" si="132"/>
        <v>.0</v>
      </c>
      <c r="F2805" s="32" t="str">
        <f t="shared" si="133"/>
        <v>.0</v>
      </c>
      <c r="G2805" s="37" t="str">
        <f t="shared" si="134"/>
        <v/>
      </c>
    </row>
    <row r="2806" spans="5:7" x14ac:dyDescent="0.45">
      <c r="E2806" s="32" t="str">
        <f t="shared" si="132"/>
        <v>.0</v>
      </c>
      <c r="F2806" s="32" t="str">
        <f t="shared" si="133"/>
        <v>.0</v>
      </c>
      <c r="G2806" s="37" t="str">
        <f t="shared" si="134"/>
        <v/>
      </c>
    </row>
    <row r="2807" spans="5:7" x14ac:dyDescent="0.45">
      <c r="E2807" s="32" t="str">
        <f t="shared" si="132"/>
        <v>.0</v>
      </c>
      <c r="F2807" s="32" t="str">
        <f t="shared" si="133"/>
        <v>.0</v>
      </c>
      <c r="G2807" s="37" t="str">
        <f t="shared" si="134"/>
        <v/>
      </c>
    </row>
    <row r="2808" spans="5:7" x14ac:dyDescent="0.45">
      <c r="E2808" s="32" t="str">
        <f t="shared" si="132"/>
        <v>.0</v>
      </c>
      <c r="F2808" s="32" t="str">
        <f t="shared" si="133"/>
        <v>.0</v>
      </c>
      <c r="G2808" s="37" t="str">
        <f t="shared" si="134"/>
        <v/>
      </c>
    </row>
    <row r="2809" spans="5:7" x14ac:dyDescent="0.45">
      <c r="E2809" s="32" t="str">
        <f t="shared" si="132"/>
        <v>.0</v>
      </c>
      <c r="F2809" s="32" t="str">
        <f t="shared" si="133"/>
        <v>.0</v>
      </c>
      <c r="G2809" s="37" t="str">
        <f t="shared" si="134"/>
        <v/>
      </c>
    </row>
    <row r="2810" spans="5:7" x14ac:dyDescent="0.45">
      <c r="E2810" s="32" t="str">
        <f t="shared" si="132"/>
        <v>.0</v>
      </c>
      <c r="F2810" s="32" t="str">
        <f t="shared" si="133"/>
        <v>.0</v>
      </c>
      <c r="G2810" s="37" t="str">
        <f t="shared" si="134"/>
        <v/>
      </c>
    </row>
    <row r="2811" spans="5:7" x14ac:dyDescent="0.45">
      <c r="E2811" s="32" t="str">
        <f t="shared" si="132"/>
        <v>.0</v>
      </c>
      <c r="F2811" s="32" t="str">
        <f t="shared" si="133"/>
        <v>.0</v>
      </c>
      <c r="G2811" s="37" t="str">
        <f t="shared" si="134"/>
        <v/>
      </c>
    </row>
    <row r="2812" spans="5:7" x14ac:dyDescent="0.45">
      <c r="E2812" s="32" t="str">
        <f t="shared" si="132"/>
        <v>.0</v>
      </c>
      <c r="F2812" s="32" t="str">
        <f t="shared" si="133"/>
        <v>.0</v>
      </c>
      <c r="G2812" s="37" t="str">
        <f t="shared" si="134"/>
        <v/>
      </c>
    </row>
    <row r="2813" spans="5:7" x14ac:dyDescent="0.45">
      <c r="E2813" s="32" t="str">
        <f t="shared" si="132"/>
        <v>.0</v>
      </c>
      <c r="F2813" s="32" t="str">
        <f t="shared" si="133"/>
        <v>.0</v>
      </c>
      <c r="G2813" s="37" t="str">
        <f t="shared" si="134"/>
        <v/>
      </c>
    </row>
    <row r="2814" spans="5:7" x14ac:dyDescent="0.45">
      <c r="E2814" s="32" t="str">
        <f t="shared" si="132"/>
        <v>.0</v>
      </c>
      <c r="F2814" s="32" t="str">
        <f t="shared" si="133"/>
        <v>.0</v>
      </c>
      <c r="G2814" s="37" t="str">
        <f t="shared" si="134"/>
        <v/>
      </c>
    </row>
    <row r="2815" spans="5:7" x14ac:dyDescent="0.45">
      <c r="E2815" s="32" t="str">
        <f t="shared" si="132"/>
        <v>.0</v>
      </c>
      <c r="F2815" s="32" t="str">
        <f t="shared" si="133"/>
        <v>.0</v>
      </c>
      <c r="G2815" s="37" t="str">
        <f t="shared" si="134"/>
        <v/>
      </c>
    </row>
    <row r="2816" spans="5:7" x14ac:dyDescent="0.45">
      <c r="E2816" s="32" t="str">
        <f t="shared" si="132"/>
        <v>.0</v>
      </c>
      <c r="F2816" s="32" t="str">
        <f t="shared" si="133"/>
        <v>.0</v>
      </c>
      <c r="G2816" s="37" t="str">
        <f t="shared" si="134"/>
        <v/>
      </c>
    </row>
    <row r="2817" spans="5:7" x14ac:dyDescent="0.45">
      <c r="E2817" s="32" t="str">
        <f t="shared" si="132"/>
        <v>.0</v>
      </c>
      <c r="F2817" s="32" t="str">
        <f t="shared" si="133"/>
        <v>.0</v>
      </c>
      <c r="G2817" s="37" t="str">
        <f t="shared" si="134"/>
        <v/>
      </c>
    </row>
    <row r="2818" spans="5:7" x14ac:dyDescent="0.45">
      <c r="E2818" s="32" t="str">
        <f t="shared" si="132"/>
        <v>.0</v>
      </c>
      <c r="F2818" s="32" t="str">
        <f t="shared" si="133"/>
        <v>.0</v>
      </c>
      <c r="G2818" s="37" t="str">
        <f t="shared" si="134"/>
        <v/>
      </c>
    </row>
    <row r="2819" spans="5:7" x14ac:dyDescent="0.45">
      <c r="E2819" s="32" t="str">
        <f t="shared" si="132"/>
        <v>.0</v>
      </c>
      <c r="F2819" s="32" t="str">
        <f t="shared" si="133"/>
        <v>.0</v>
      </c>
      <c r="G2819" s="37" t="str">
        <f t="shared" si="134"/>
        <v/>
      </c>
    </row>
    <row r="2820" spans="5:7" x14ac:dyDescent="0.45">
      <c r="E2820" s="32" t="str">
        <f t="shared" si="132"/>
        <v>.0</v>
      </c>
      <c r="F2820" s="32" t="str">
        <f t="shared" si="133"/>
        <v>.0</v>
      </c>
      <c r="G2820" s="37" t="str">
        <f t="shared" si="134"/>
        <v/>
      </c>
    </row>
    <row r="2821" spans="5:7" x14ac:dyDescent="0.45">
      <c r="E2821" s="32" t="str">
        <f t="shared" si="132"/>
        <v>.0</v>
      </c>
      <c r="F2821" s="32" t="str">
        <f t="shared" si="133"/>
        <v>.0</v>
      </c>
      <c r="G2821" s="37" t="str">
        <f t="shared" si="134"/>
        <v/>
      </c>
    </row>
    <row r="2822" spans="5:7" x14ac:dyDescent="0.45">
      <c r="E2822" s="32" t="str">
        <f t="shared" si="132"/>
        <v>.0</v>
      </c>
      <c r="F2822" s="32" t="str">
        <f t="shared" si="133"/>
        <v>.0</v>
      </c>
      <c r="G2822" s="37" t="str">
        <f t="shared" si="134"/>
        <v/>
      </c>
    </row>
    <row r="2823" spans="5:7" x14ac:dyDescent="0.45">
      <c r="E2823" s="32" t="str">
        <f t="shared" si="132"/>
        <v>.0</v>
      </c>
      <c r="F2823" s="32" t="str">
        <f t="shared" si="133"/>
        <v>.0</v>
      </c>
      <c r="G2823" s="37" t="str">
        <f t="shared" si="134"/>
        <v/>
      </c>
    </row>
    <row r="2824" spans="5:7" x14ac:dyDescent="0.45">
      <c r="E2824" s="32" t="str">
        <f t="shared" si="132"/>
        <v>.0</v>
      </c>
      <c r="F2824" s="32" t="str">
        <f t="shared" si="133"/>
        <v>.0</v>
      </c>
      <c r="G2824" s="37" t="str">
        <f t="shared" si="134"/>
        <v/>
      </c>
    </row>
    <row r="2825" spans="5:7" x14ac:dyDescent="0.45">
      <c r="E2825" s="32" t="str">
        <f t="shared" si="132"/>
        <v>.0</v>
      </c>
      <c r="F2825" s="32" t="str">
        <f t="shared" si="133"/>
        <v>.0</v>
      </c>
      <c r="G2825" s="37" t="str">
        <f t="shared" si="134"/>
        <v/>
      </c>
    </row>
    <row r="2826" spans="5:7" x14ac:dyDescent="0.45">
      <c r="E2826" s="32" t="str">
        <f t="shared" si="132"/>
        <v>.0</v>
      </c>
      <c r="F2826" s="32" t="str">
        <f t="shared" si="133"/>
        <v>.0</v>
      </c>
      <c r="G2826" s="37" t="str">
        <f t="shared" si="134"/>
        <v/>
      </c>
    </row>
    <row r="2827" spans="5:7" x14ac:dyDescent="0.45">
      <c r="E2827" s="32" t="str">
        <f t="shared" si="132"/>
        <v>.0</v>
      </c>
      <c r="F2827" s="32" t="str">
        <f t="shared" si="133"/>
        <v>.0</v>
      </c>
      <c r="G2827" s="37" t="str">
        <f t="shared" si="134"/>
        <v/>
      </c>
    </row>
    <row r="2828" spans="5:7" x14ac:dyDescent="0.45">
      <c r="E2828" s="32" t="str">
        <f t="shared" si="132"/>
        <v>.0</v>
      </c>
      <c r="F2828" s="32" t="str">
        <f t="shared" si="133"/>
        <v>.0</v>
      </c>
      <c r="G2828" s="37" t="str">
        <f t="shared" si="134"/>
        <v/>
      </c>
    </row>
    <row r="2829" spans="5:7" x14ac:dyDescent="0.45">
      <c r="E2829" s="32" t="str">
        <f t="shared" si="132"/>
        <v>.0</v>
      </c>
      <c r="F2829" s="32" t="str">
        <f t="shared" si="133"/>
        <v>.0</v>
      </c>
      <c r="G2829" s="37" t="str">
        <f t="shared" si="134"/>
        <v/>
      </c>
    </row>
    <row r="2830" spans="5:7" x14ac:dyDescent="0.45">
      <c r="E2830" s="32" t="str">
        <f t="shared" si="132"/>
        <v>.0</v>
      </c>
      <c r="F2830" s="32" t="str">
        <f t="shared" si="133"/>
        <v>.0</v>
      </c>
      <c r="G2830" s="37" t="str">
        <f t="shared" si="134"/>
        <v/>
      </c>
    </row>
    <row r="2831" spans="5:7" x14ac:dyDescent="0.45">
      <c r="E2831" s="32" t="str">
        <f t="shared" si="132"/>
        <v>.0</v>
      </c>
      <c r="F2831" s="32" t="str">
        <f t="shared" si="133"/>
        <v>.0</v>
      </c>
      <c r="G2831" s="37" t="str">
        <f t="shared" si="134"/>
        <v/>
      </c>
    </row>
    <row r="2832" spans="5:7" x14ac:dyDescent="0.45">
      <c r="E2832" s="32" t="str">
        <f t="shared" si="132"/>
        <v>.0</v>
      </c>
      <c r="F2832" s="32" t="str">
        <f t="shared" si="133"/>
        <v>.0</v>
      </c>
      <c r="G2832" s="37" t="str">
        <f t="shared" si="134"/>
        <v/>
      </c>
    </row>
    <row r="2833" spans="5:7" x14ac:dyDescent="0.45">
      <c r="E2833" s="32" t="str">
        <f t="shared" si="132"/>
        <v>.0</v>
      </c>
      <c r="F2833" s="32" t="str">
        <f t="shared" si="133"/>
        <v>.0</v>
      </c>
      <c r="G2833" s="37" t="str">
        <f t="shared" si="134"/>
        <v/>
      </c>
    </row>
    <row r="2834" spans="5:7" x14ac:dyDescent="0.45">
      <c r="E2834" s="32" t="str">
        <f t="shared" si="132"/>
        <v>.0</v>
      </c>
      <c r="F2834" s="32" t="str">
        <f t="shared" si="133"/>
        <v>.0</v>
      </c>
      <c r="G2834" s="37" t="str">
        <f t="shared" si="134"/>
        <v/>
      </c>
    </row>
    <row r="2835" spans="5:7" x14ac:dyDescent="0.45">
      <c r="E2835" s="32" t="str">
        <f t="shared" si="132"/>
        <v>.0</v>
      </c>
      <c r="F2835" s="32" t="str">
        <f t="shared" si="133"/>
        <v>.0</v>
      </c>
      <c r="G2835" s="37" t="str">
        <f t="shared" si="134"/>
        <v/>
      </c>
    </row>
    <row r="2836" spans="5:7" x14ac:dyDescent="0.45">
      <c r="E2836" s="32" t="str">
        <f t="shared" si="132"/>
        <v>.0</v>
      </c>
      <c r="F2836" s="32" t="str">
        <f t="shared" si="133"/>
        <v>.0</v>
      </c>
      <c r="G2836" s="37" t="str">
        <f t="shared" si="134"/>
        <v/>
      </c>
    </row>
    <row r="2837" spans="5:7" x14ac:dyDescent="0.45">
      <c r="E2837" s="32" t="str">
        <f t="shared" si="132"/>
        <v>.0</v>
      </c>
      <c r="F2837" s="32" t="str">
        <f t="shared" si="133"/>
        <v>.0</v>
      </c>
      <c r="G2837" s="37" t="str">
        <f t="shared" si="134"/>
        <v/>
      </c>
    </row>
    <row r="2838" spans="5:7" x14ac:dyDescent="0.45">
      <c r="E2838" s="32" t="str">
        <f t="shared" si="132"/>
        <v>.0</v>
      </c>
      <c r="F2838" s="32" t="str">
        <f t="shared" si="133"/>
        <v>.0</v>
      </c>
      <c r="G2838" s="37" t="str">
        <f t="shared" si="134"/>
        <v/>
      </c>
    </row>
    <row r="2839" spans="5:7" x14ac:dyDescent="0.45">
      <c r="E2839" s="32" t="str">
        <f t="shared" si="132"/>
        <v>.0</v>
      </c>
      <c r="F2839" s="32" t="str">
        <f t="shared" si="133"/>
        <v>.0</v>
      </c>
      <c r="G2839" s="37" t="str">
        <f t="shared" si="134"/>
        <v/>
      </c>
    </row>
    <row r="2840" spans="5:7" x14ac:dyDescent="0.45">
      <c r="E2840" s="32" t="str">
        <f t="shared" si="132"/>
        <v>.0</v>
      </c>
      <c r="F2840" s="32" t="str">
        <f t="shared" si="133"/>
        <v>.0</v>
      </c>
      <c r="G2840" s="37" t="str">
        <f t="shared" si="134"/>
        <v/>
      </c>
    </row>
    <row r="2841" spans="5:7" x14ac:dyDescent="0.45">
      <c r="E2841" s="32" t="str">
        <f t="shared" si="132"/>
        <v>.0</v>
      </c>
      <c r="F2841" s="32" t="str">
        <f t="shared" si="133"/>
        <v>.0</v>
      </c>
      <c r="G2841" s="37" t="str">
        <f t="shared" si="134"/>
        <v/>
      </c>
    </row>
    <row r="2842" spans="5:7" x14ac:dyDescent="0.45">
      <c r="E2842" s="32" t="str">
        <f t="shared" si="132"/>
        <v>.0</v>
      </c>
      <c r="F2842" s="32" t="str">
        <f t="shared" si="133"/>
        <v>.0</v>
      </c>
      <c r="G2842" s="37" t="str">
        <f t="shared" si="134"/>
        <v/>
      </c>
    </row>
    <row r="2843" spans="5:7" x14ac:dyDescent="0.45">
      <c r="E2843" s="32" t="str">
        <f t="shared" si="132"/>
        <v>.0</v>
      </c>
      <c r="F2843" s="32" t="str">
        <f t="shared" si="133"/>
        <v>.0</v>
      </c>
      <c r="G2843" s="37" t="str">
        <f t="shared" si="134"/>
        <v/>
      </c>
    </row>
    <row r="2844" spans="5:7" x14ac:dyDescent="0.45">
      <c r="E2844" s="32" t="str">
        <f t="shared" si="132"/>
        <v>.0</v>
      </c>
      <c r="F2844" s="32" t="str">
        <f t="shared" si="133"/>
        <v>.0</v>
      </c>
      <c r="G2844" s="37" t="str">
        <f t="shared" si="134"/>
        <v/>
      </c>
    </row>
    <row r="2845" spans="5:7" x14ac:dyDescent="0.45">
      <c r="E2845" s="32" t="str">
        <f t="shared" si="132"/>
        <v>.0</v>
      </c>
      <c r="F2845" s="32" t="str">
        <f t="shared" si="133"/>
        <v>.0</v>
      </c>
      <c r="G2845" s="37" t="str">
        <f t="shared" si="134"/>
        <v/>
      </c>
    </row>
    <row r="2846" spans="5:7" x14ac:dyDescent="0.45">
      <c r="E2846" s="32" t="str">
        <f t="shared" ref="E2846:E2909" si="135">MID(B2846,3,2)&amp;"."&amp;IF(C2846&lt;10,"0"&amp;C2846,C2846)</f>
        <v>.0</v>
      </c>
      <c r="F2846" s="32" t="str">
        <f t="shared" ref="F2846:F2909" si="136">MID(B2846,3,2)&amp;"."&amp;IF(C2846&lt;10,"0"&amp;C2846,C2846)</f>
        <v>.0</v>
      </c>
      <c r="G2846" s="37" t="str">
        <f t="shared" ref="G2846:G2909" si="137">TEXT(D2846,"#,###,")</f>
        <v/>
      </c>
    </row>
    <row r="2847" spans="5:7" x14ac:dyDescent="0.45">
      <c r="E2847" s="32" t="str">
        <f t="shared" si="135"/>
        <v>.0</v>
      </c>
      <c r="F2847" s="32" t="str">
        <f t="shared" si="136"/>
        <v>.0</v>
      </c>
      <c r="G2847" s="37" t="str">
        <f t="shared" si="137"/>
        <v/>
      </c>
    </row>
    <row r="2848" spans="5:7" x14ac:dyDescent="0.45">
      <c r="E2848" s="32" t="str">
        <f t="shared" si="135"/>
        <v>.0</v>
      </c>
      <c r="F2848" s="32" t="str">
        <f t="shared" si="136"/>
        <v>.0</v>
      </c>
      <c r="G2848" s="37" t="str">
        <f t="shared" si="137"/>
        <v/>
      </c>
    </row>
    <row r="2849" spans="5:7" x14ac:dyDescent="0.45">
      <c r="E2849" s="32" t="str">
        <f t="shared" si="135"/>
        <v>.0</v>
      </c>
      <c r="F2849" s="32" t="str">
        <f t="shared" si="136"/>
        <v>.0</v>
      </c>
      <c r="G2849" s="37" t="str">
        <f t="shared" si="137"/>
        <v/>
      </c>
    </row>
    <row r="2850" spans="5:7" x14ac:dyDescent="0.45">
      <c r="E2850" s="32" t="str">
        <f t="shared" si="135"/>
        <v>.0</v>
      </c>
      <c r="F2850" s="32" t="str">
        <f t="shared" si="136"/>
        <v>.0</v>
      </c>
      <c r="G2850" s="37" t="str">
        <f t="shared" si="137"/>
        <v/>
      </c>
    </row>
    <row r="2851" spans="5:7" x14ac:dyDescent="0.45">
      <c r="E2851" s="32" t="str">
        <f t="shared" si="135"/>
        <v>.0</v>
      </c>
      <c r="F2851" s="32" t="str">
        <f t="shared" si="136"/>
        <v>.0</v>
      </c>
      <c r="G2851" s="37" t="str">
        <f t="shared" si="137"/>
        <v/>
      </c>
    </row>
    <row r="2852" spans="5:7" x14ac:dyDescent="0.45">
      <c r="E2852" s="32" t="str">
        <f t="shared" si="135"/>
        <v>.0</v>
      </c>
      <c r="F2852" s="32" t="str">
        <f t="shared" si="136"/>
        <v>.0</v>
      </c>
      <c r="G2852" s="37" t="str">
        <f t="shared" si="137"/>
        <v/>
      </c>
    </row>
    <row r="2853" spans="5:7" x14ac:dyDescent="0.45">
      <c r="E2853" s="32" t="str">
        <f t="shared" si="135"/>
        <v>.0</v>
      </c>
      <c r="F2853" s="32" t="str">
        <f t="shared" si="136"/>
        <v>.0</v>
      </c>
      <c r="G2853" s="37" t="str">
        <f t="shared" si="137"/>
        <v/>
      </c>
    </row>
    <row r="2854" spans="5:7" x14ac:dyDescent="0.45">
      <c r="E2854" s="32" t="str">
        <f t="shared" si="135"/>
        <v>.0</v>
      </c>
      <c r="F2854" s="32" t="str">
        <f t="shared" si="136"/>
        <v>.0</v>
      </c>
      <c r="G2854" s="37" t="str">
        <f t="shared" si="137"/>
        <v/>
      </c>
    </row>
    <row r="2855" spans="5:7" x14ac:dyDescent="0.45">
      <c r="E2855" s="32" t="str">
        <f t="shared" si="135"/>
        <v>.0</v>
      </c>
      <c r="F2855" s="32" t="str">
        <f t="shared" si="136"/>
        <v>.0</v>
      </c>
      <c r="G2855" s="37" t="str">
        <f t="shared" si="137"/>
        <v/>
      </c>
    </row>
    <row r="2856" spans="5:7" x14ac:dyDescent="0.45">
      <c r="E2856" s="32" t="str">
        <f t="shared" si="135"/>
        <v>.0</v>
      </c>
      <c r="F2856" s="32" t="str">
        <f t="shared" si="136"/>
        <v>.0</v>
      </c>
      <c r="G2856" s="37" t="str">
        <f t="shared" si="137"/>
        <v/>
      </c>
    </row>
    <row r="2857" spans="5:7" x14ac:dyDescent="0.45">
      <c r="E2857" s="32" t="str">
        <f t="shared" si="135"/>
        <v>.0</v>
      </c>
      <c r="F2857" s="32" t="str">
        <f t="shared" si="136"/>
        <v>.0</v>
      </c>
      <c r="G2857" s="37" t="str">
        <f t="shared" si="137"/>
        <v/>
      </c>
    </row>
    <row r="2858" spans="5:7" x14ac:dyDescent="0.45">
      <c r="E2858" s="32" t="str">
        <f t="shared" si="135"/>
        <v>.0</v>
      </c>
      <c r="F2858" s="32" t="str">
        <f t="shared" si="136"/>
        <v>.0</v>
      </c>
      <c r="G2858" s="37" t="str">
        <f t="shared" si="137"/>
        <v/>
      </c>
    </row>
    <row r="2859" spans="5:7" x14ac:dyDescent="0.45">
      <c r="E2859" s="32" t="str">
        <f t="shared" si="135"/>
        <v>.0</v>
      </c>
      <c r="F2859" s="32" t="str">
        <f t="shared" si="136"/>
        <v>.0</v>
      </c>
      <c r="G2859" s="37" t="str">
        <f t="shared" si="137"/>
        <v/>
      </c>
    </row>
    <row r="2860" spans="5:7" x14ac:dyDescent="0.45">
      <c r="E2860" s="32" t="str">
        <f t="shared" si="135"/>
        <v>.0</v>
      </c>
      <c r="F2860" s="32" t="str">
        <f t="shared" si="136"/>
        <v>.0</v>
      </c>
      <c r="G2860" s="37" t="str">
        <f t="shared" si="137"/>
        <v/>
      </c>
    </row>
    <row r="2861" spans="5:7" x14ac:dyDescent="0.45">
      <c r="E2861" s="32" t="str">
        <f t="shared" si="135"/>
        <v>.0</v>
      </c>
      <c r="F2861" s="32" t="str">
        <f t="shared" si="136"/>
        <v>.0</v>
      </c>
      <c r="G2861" s="37" t="str">
        <f t="shared" si="137"/>
        <v/>
      </c>
    </row>
    <row r="2862" spans="5:7" x14ac:dyDescent="0.45">
      <c r="E2862" s="32" t="str">
        <f t="shared" si="135"/>
        <v>.0</v>
      </c>
      <c r="F2862" s="32" t="str">
        <f t="shared" si="136"/>
        <v>.0</v>
      </c>
      <c r="G2862" s="37" t="str">
        <f t="shared" si="137"/>
        <v/>
      </c>
    </row>
    <row r="2863" spans="5:7" x14ac:dyDescent="0.45">
      <c r="E2863" s="32" t="str">
        <f t="shared" si="135"/>
        <v>.0</v>
      </c>
      <c r="F2863" s="32" t="str">
        <f t="shared" si="136"/>
        <v>.0</v>
      </c>
      <c r="G2863" s="37" t="str">
        <f t="shared" si="137"/>
        <v/>
      </c>
    </row>
    <row r="2864" spans="5:7" x14ac:dyDescent="0.45">
      <c r="E2864" s="32" t="str">
        <f t="shared" si="135"/>
        <v>.0</v>
      </c>
      <c r="F2864" s="32" t="str">
        <f t="shared" si="136"/>
        <v>.0</v>
      </c>
      <c r="G2864" s="37" t="str">
        <f t="shared" si="137"/>
        <v/>
      </c>
    </row>
    <row r="2865" spans="5:7" x14ac:dyDescent="0.45">
      <c r="E2865" s="32" t="str">
        <f t="shared" si="135"/>
        <v>.0</v>
      </c>
      <c r="F2865" s="32" t="str">
        <f t="shared" si="136"/>
        <v>.0</v>
      </c>
      <c r="G2865" s="37" t="str">
        <f t="shared" si="137"/>
        <v/>
      </c>
    </row>
    <row r="2866" spans="5:7" x14ac:dyDescent="0.45">
      <c r="E2866" s="32" t="str">
        <f t="shared" si="135"/>
        <v>.0</v>
      </c>
      <c r="F2866" s="32" t="str">
        <f t="shared" si="136"/>
        <v>.0</v>
      </c>
      <c r="G2866" s="37" t="str">
        <f t="shared" si="137"/>
        <v/>
      </c>
    </row>
    <row r="2867" spans="5:7" x14ac:dyDescent="0.45">
      <c r="E2867" s="32" t="str">
        <f t="shared" si="135"/>
        <v>.0</v>
      </c>
      <c r="F2867" s="32" t="str">
        <f t="shared" si="136"/>
        <v>.0</v>
      </c>
      <c r="G2867" s="37" t="str">
        <f t="shared" si="137"/>
        <v/>
      </c>
    </row>
    <row r="2868" spans="5:7" x14ac:dyDescent="0.45">
      <c r="E2868" s="32" t="str">
        <f t="shared" si="135"/>
        <v>.0</v>
      </c>
      <c r="F2868" s="32" t="str">
        <f t="shared" si="136"/>
        <v>.0</v>
      </c>
      <c r="G2868" s="37" t="str">
        <f t="shared" si="137"/>
        <v/>
      </c>
    </row>
    <row r="2869" spans="5:7" x14ac:dyDescent="0.45">
      <c r="E2869" s="32" t="str">
        <f t="shared" si="135"/>
        <v>.0</v>
      </c>
      <c r="F2869" s="32" t="str">
        <f t="shared" si="136"/>
        <v>.0</v>
      </c>
      <c r="G2869" s="37" t="str">
        <f t="shared" si="137"/>
        <v/>
      </c>
    </row>
    <row r="2870" spans="5:7" x14ac:dyDescent="0.45">
      <c r="E2870" s="32" t="str">
        <f t="shared" si="135"/>
        <v>.0</v>
      </c>
      <c r="F2870" s="32" t="str">
        <f t="shared" si="136"/>
        <v>.0</v>
      </c>
      <c r="G2870" s="37" t="str">
        <f t="shared" si="137"/>
        <v/>
      </c>
    </row>
    <row r="2871" spans="5:7" x14ac:dyDescent="0.45">
      <c r="E2871" s="32" t="str">
        <f t="shared" si="135"/>
        <v>.0</v>
      </c>
      <c r="F2871" s="32" t="str">
        <f t="shared" si="136"/>
        <v>.0</v>
      </c>
      <c r="G2871" s="37" t="str">
        <f t="shared" si="137"/>
        <v/>
      </c>
    </row>
    <row r="2872" spans="5:7" x14ac:dyDescent="0.45">
      <c r="E2872" s="32" t="str">
        <f t="shared" si="135"/>
        <v>.0</v>
      </c>
      <c r="F2872" s="32" t="str">
        <f t="shared" si="136"/>
        <v>.0</v>
      </c>
      <c r="G2872" s="37" t="str">
        <f t="shared" si="137"/>
        <v/>
      </c>
    </row>
    <row r="2873" spans="5:7" x14ac:dyDescent="0.45">
      <c r="E2873" s="32" t="str">
        <f t="shared" si="135"/>
        <v>.0</v>
      </c>
      <c r="F2873" s="32" t="str">
        <f t="shared" si="136"/>
        <v>.0</v>
      </c>
      <c r="G2873" s="37" t="str">
        <f t="shared" si="137"/>
        <v/>
      </c>
    </row>
    <row r="2874" spans="5:7" x14ac:dyDescent="0.45">
      <c r="E2874" s="32" t="str">
        <f t="shared" si="135"/>
        <v>.0</v>
      </c>
      <c r="F2874" s="32" t="str">
        <f t="shared" si="136"/>
        <v>.0</v>
      </c>
      <c r="G2874" s="37" t="str">
        <f t="shared" si="137"/>
        <v/>
      </c>
    </row>
    <row r="2875" spans="5:7" x14ac:dyDescent="0.45">
      <c r="E2875" s="32" t="str">
        <f t="shared" si="135"/>
        <v>.0</v>
      </c>
      <c r="F2875" s="32" t="str">
        <f t="shared" si="136"/>
        <v>.0</v>
      </c>
      <c r="G2875" s="37" t="str">
        <f t="shared" si="137"/>
        <v/>
      </c>
    </row>
    <row r="2876" spans="5:7" x14ac:dyDescent="0.45">
      <c r="E2876" s="32" t="str">
        <f t="shared" si="135"/>
        <v>.0</v>
      </c>
      <c r="F2876" s="32" t="str">
        <f t="shared" si="136"/>
        <v>.0</v>
      </c>
      <c r="G2876" s="37" t="str">
        <f t="shared" si="137"/>
        <v/>
      </c>
    </row>
    <row r="2877" spans="5:7" x14ac:dyDescent="0.45">
      <c r="E2877" s="32" t="str">
        <f t="shared" si="135"/>
        <v>.0</v>
      </c>
      <c r="F2877" s="32" t="str">
        <f t="shared" si="136"/>
        <v>.0</v>
      </c>
      <c r="G2877" s="37" t="str">
        <f t="shared" si="137"/>
        <v/>
      </c>
    </row>
    <row r="2878" spans="5:7" x14ac:dyDescent="0.45">
      <c r="E2878" s="32" t="str">
        <f t="shared" si="135"/>
        <v>.0</v>
      </c>
      <c r="F2878" s="32" t="str">
        <f t="shared" si="136"/>
        <v>.0</v>
      </c>
      <c r="G2878" s="37" t="str">
        <f t="shared" si="137"/>
        <v/>
      </c>
    </row>
    <row r="2879" spans="5:7" x14ac:dyDescent="0.45">
      <c r="E2879" s="32" t="str">
        <f t="shared" si="135"/>
        <v>.0</v>
      </c>
      <c r="F2879" s="32" t="str">
        <f t="shared" si="136"/>
        <v>.0</v>
      </c>
      <c r="G2879" s="37" t="str">
        <f t="shared" si="137"/>
        <v/>
      </c>
    </row>
    <row r="2880" spans="5:7" x14ac:dyDescent="0.45">
      <c r="E2880" s="32" t="str">
        <f t="shared" si="135"/>
        <v>.0</v>
      </c>
      <c r="F2880" s="32" t="str">
        <f t="shared" si="136"/>
        <v>.0</v>
      </c>
      <c r="G2880" s="37" t="str">
        <f t="shared" si="137"/>
        <v/>
      </c>
    </row>
    <row r="2881" spans="5:7" x14ac:dyDescent="0.45">
      <c r="E2881" s="32" t="str">
        <f t="shared" si="135"/>
        <v>.0</v>
      </c>
      <c r="F2881" s="32" t="str">
        <f t="shared" si="136"/>
        <v>.0</v>
      </c>
      <c r="G2881" s="37" t="str">
        <f t="shared" si="137"/>
        <v/>
      </c>
    </row>
    <row r="2882" spans="5:7" x14ac:dyDescent="0.45">
      <c r="E2882" s="32" t="str">
        <f t="shared" si="135"/>
        <v>.0</v>
      </c>
      <c r="F2882" s="32" t="str">
        <f t="shared" si="136"/>
        <v>.0</v>
      </c>
      <c r="G2882" s="37" t="str">
        <f t="shared" si="137"/>
        <v/>
      </c>
    </row>
    <row r="2883" spans="5:7" x14ac:dyDescent="0.45">
      <c r="E2883" s="32" t="str">
        <f t="shared" si="135"/>
        <v>.0</v>
      </c>
      <c r="F2883" s="32" t="str">
        <f t="shared" si="136"/>
        <v>.0</v>
      </c>
      <c r="G2883" s="37" t="str">
        <f t="shared" si="137"/>
        <v/>
      </c>
    </row>
    <row r="2884" spans="5:7" x14ac:dyDescent="0.45">
      <c r="E2884" s="32" t="str">
        <f t="shared" si="135"/>
        <v>.0</v>
      </c>
      <c r="F2884" s="32" t="str">
        <f t="shared" si="136"/>
        <v>.0</v>
      </c>
      <c r="G2884" s="37" t="str">
        <f t="shared" si="137"/>
        <v/>
      </c>
    </row>
    <row r="2885" spans="5:7" x14ac:dyDescent="0.45">
      <c r="E2885" s="32" t="str">
        <f t="shared" si="135"/>
        <v>.0</v>
      </c>
      <c r="F2885" s="32" t="str">
        <f t="shared" si="136"/>
        <v>.0</v>
      </c>
      <c r="G2885" s="37" t="str">
        <f t="shared" si="137"/>
        <v/>
      </c>
    </row>
    <row r="2886" spans="5:7" x14ac:dyDescent="0.45">
      <c r="E2886" s="32" t="str">
        <f t="shared" si="135"/>
        <v>.0</v>
      </c>
      <c r="F2886" s="32" t="str">
        <f t="shared" si="136"/>
        <v>.0</v>
      </c>
      <c r="G2886" s="37" t="str">
        <f t="shared" si="137"/>
        <v/>
      </c>
    </row>
    <row r="2887" spans="5:7" x14ac:dyDescent="0.45">
      <c r="E2887" s="32" t="str">
        <f t="shared" si="135"/>
        <v>.0</v>
      </c>
      <c r="F2887" s="32" t="str">
        <f t="shared" si="136"/>
        <v>.0</v>
      </c>
      <c r="G2887" s="37" t="str">
        <f t="shared" si="137"/>
        <v/>
      </c>
    </row>
    <row r="2888" spans="5:7" x14ac:dyDescent="0.45">
      <c r="E2888" s="32" t="str">
        <f t="shared" si="135"/>
        <v>.0</v>
      </c>
      <c r="F2888" s="32" t="str">
        <f t="shared" si="136"/>
        <v>.0</v>
      </c>
      <c r="G2888" s="37" t="str">
        <f t="shared" si="137"/>
        <v/>
      </c>
    </row>
    <row r="2889" spans="5:7" x14ac:dyDescent="0.45">
      <c r="E2889" s="32" t="str">
        <f t="shared" si="135"/>
        <v>.0</v>
      </c>
      <c r="F2889" s="32" t="str">
        <f t="shared" si="136"/>
        <v>.0</v>
      </c>
      <c r="G2889" s="37" t="str">
        <f t="shared" si="137"/>
        <v/>
      </c>
    </row>
    <row r="2890" spans="5:7" x14ac:dyDescent="0.45">
      <c r="E2890" s="32" t="str">
        <f t="shared" si="135"/>
        <v>.0</v>
      </c>
      <c r="F2890" s="32" t="str">
        <f t="shared" si="136"/>
        <v>.0</v>
      </c>
      <c r="G2890" s="37" t="str">
        <f t="shared" si="137"/>
        <v/>
      </c>
    </row>
    <row r="2891" spans="5:7" x14ac:dyDescent="0.45">
      <c r="E2891" s="32" t="str">
        <f t="shared" si="135"/>
        <v>.0</v>
      </c>
      <c r="F2891" s="32" t="str">
        <f t="shared" si="136"/>
        <v>.0</v>
      </c>
      <c r="G2891" s="37" t="str">
        <f t="shared" si="137"/>
        <v/>
      </c>
    </row>
    <row r="2892" spans="5:7" x14ac:dyDescent="0.45">
      <c r="E2892" s="32" t="str">
        <f t="shared" si="135"/>
        <v>.0</v>
      </c>
      <c r="F2892" s="32" t="str">
        <f t="shared" si="136"/>
        <v>.0</v>
      </c>
      <c r="G2892" s="37" t="str">
        <f t="shared" si="137"/>
        <v/>
      </c>
    </row>
    <row r="2893" spans="5:7" x14ac:dyDescent="0.45">
      <c r="E2893" s="32" t="str">
        <f t="shared" si="135"/>
        <v>.0</v>
      </c>
      <c r="F2893" s="32" t="str">
        <f t="shared" si="136"/>
        <v>.0</v>
      </c>
      <c r="G2893" s="37" t="str">
        <f t="shared" si="137"/>
        <v/>
      </c>
    </row>
    <row r="2894" spans="5:7" x14ac:dyDescent="0.45">
      <c r="E2894" s="32" t="str">
        <f t="shared" si="135"/>
        <v>.0</v>
      </c>
      <c r="F2894" s="32" t="str">
        <f t="shared" si="136"/>
        <v>.0</v>
      </c>
      <c r="G2894" s="37" t="str">
        <f t="shared" si="137"/>
        <v/>
      </c>
    </row>
    <row r="2895" spans="5:7" x14ac:dyDescent="0.45">
      <c r="E2895" s="32" t="str">
        <f t="shared" si="135"/>
        <v>.0</v>
      </c>
      <c r="F2895" s="32" t="str">
        <f t="shared" si="136"/>
        <v>.0</v>
      </c>
      <c r="G2895" s="37" t="str">
        <f t="shared" si="137"/>
        <v/>
      </c>
    </row>
    <row r="2896" spans="5:7" x14ac:dyDescent="0.45">
      <c r="E2896" s="32" t="str">
        <f t="shared" si="135"/>
        <v>.0</v>
      </c>
      <c r="F2896" s="32" t="str">
        <f t="shared" si="136"/>
        <v>.0</v>
      </c>
      <c r="G2896" s="37" t="str">
        <f t="shared" si="137"/>
        <v/>
      </c>
    </row>
    <row r="2897" spans="5:7" x14ac:dyDescent="0.45">
      <c r="E2897" s="32" t="str">
        <f t="shared" si="135"/>
        <v>.0</v>
      </c>
      <c r="F2897" s="32" t="str">
        <f t="shared" si="136"/>
        <v>.0</v>
      </c>
      <c r="G2897" s="37" t="str">
        <f t="shared" si="137"/>
        <v/>
      </c>
    </row>
    <row r="2898" spans="5:7" x14ac:dyDescent="0.45">
      <c r="E2898" s="32" t="str">
        <f t="shared" si="135"/>
        <v>.0</v>
      </c>
      <c r="F2898" s="32" t="str">
        <f t="shared" si="136"/>
        <v>.0</v>
      </c>
      <c r="G2898" s="37" t="str">
        <f t="shared" si="137"/>
        <v/>
      </c>
    </row>
    <row r="2899" spans="5:7" x14ac:dyDescent="0.45">
      <c r="E2899" s="32" t="str">
        <f t="shared" si="135"/>
        <v>.0</v>
      </c>
      <c r="F2899" s="32" t="str">
        <f t="shared" si="136"/>
        <v>.0</v>
      </c>
      <c r="G2899" s="37" t="str">
        <f t="shared" si="137"/>
        <v/>
      </c>
    </row>
    <row r="2900" spans="5:7" x14ac:dyDescent="0.45">
      <c r="E2900" s="32" t="str">
        <f t="shared" si="135"/>
        <v>.0</v>
      </c>
      <c r="F2900" s="32" t="str">
        <f t="shared" si="136"/>
        <v>.0</v>
      </c>
      <c r="G2900" s="37" t="str">
        <f t="shared" si="137"/>
        <v/>
      </c>
    </row>
    <row r="2901" spans="5:7" x14ac:dyDescent="0.45">
      <c r="E2901" s="32" t="str">
        <f t="shared" si="135"/>
        <v>.0</v>
      </c>
      <c r="F2901" s="32" t="str">
        <f t="shared" si="136"/>
        <v>.0</v>
      </c>
      <c r="G2901" s="37" t="str">
        <f t="shared" si="137"/>
        <v/>
      </c>
    </row>
    <row r="2902" spans="5:7" x14ac:dyDescent="0.45">
      <c r="E2902" s="32" t="str">
        <f t="shared" si="135"/>
        <v>.0</v>
      </c>
      <c r="F2902" s="32" t="str">
        <f t="shared" si="136"/>
        <v>.0</v>
      </c>
      <c r="G2902" s="37" t="str">
        <f t="shared" si="137"/>
        <v/>
      </c>
    </row>
    <row r="2903" spans="5:7" x14ac:dyDescent="0.45">
      <c r="E2903" s="32" t="str">
        <f t="shared" si="135"/>
        <v>.0</v>
      </c>
      <c r="F2903" s="32" t="str">
        <f t="shared" si="136"/>
        <v>.0</v>
      </c>
      <c r="G2903" s="37" t="str">
        <f t="shared" si="137"/>
        <v/>
      </c>
    </row>
    <row r="2904" spans="5:7" x14ac:dyDescent="0.45">
      <c r="E2904" s="32" t="str">
        <f t="shared" si="135"/>
        <v>.0</v>
      </c>
      <c r="F2904" s="32" t="str">
        <f t="shared" si="136"/>
        <v>.0</v>
      </c>
      <c r="G2904" s="37" t="str">
        <f t="shared" si="137"/>
        <v/>
      </c>
    </row>
    <row r="2905" spans="5:7" x14ac:dyDescent="0.45">
      <c r="E2905" s="32" t="str">
        <f t="shared" si="135"/>
        <v>.0</v>
      </c>
      <c r="F2905" s="32" t="str">
        <f t="shared" si="136"/>
        <v>.0</v>
      </c>
      <c r="G2905" s="37" t="str">
        <f t="shared" si="137"/>
        <v/>
      </c>
    </row>
    <row r="2906" spans="5:7" x14ac:dyDescent="0.45">
      <c r="E2906" s="32" t="str">
        <f t="shared" si="135"/>
        <v>.0</v>
      </c>
      <c r="F2906" s="32" t="str">
        <f t="shared" si="136"/>
        <v>.0</v>
      </c>
      <c r="G2906" s="37" t="str">
        <f t="shared" si="137"/>
        <v/>
      </c>
    </row>
    <row r="2907" spans="5:7" x14ac:dyDescent="0.45">
      <c r="E2907" s="32" t="str">
        <f t="shared" si="135"/>
        <v>.0</v>
      </c>
      <c r="F2907" s="32" t="str">
        <f t="shared" si="136"/>
        <v>.0</v>
      </c>
      <c r="G2907" s="37" t="str">
        <f t="shared" si="137"/>
        <v/>
      </c>
    </row>
    <row r="2908" spans="5:7" x14ac:dyDescent="0.45">
      <c r="E2908" s="32" t="str">
        <f t="shared" si="135"/>
        <v>.0</v>
      </c>
      <c r="F2908" s="32" t="str">
        <f t="shared" si="136"/>
        <v>.0</v>
      </c>
      <c r="G2908" s="37" t="str">
        <f t="shared" si="137"/>
        <v/>
      </c>
    </row>
    <row r="2909" spans="5:7" x14ac:dyDescent="0.45">
      <c r="E2909" s="32" t="str">
        <f t="shared" si="135"/>
        <v>.0</v>
      </c>
      <c r="F2909" s="32" t="str">
        <f t="shared" si="136"/>
        <v>.0</v>
      </c>
      <c r="G2909" s="37" t="str">
        <f t="shared" si="137"/>
        <v/>
      </c>
    </row>
    <row r="2910" spans="5:7" x14ac:dyDescent="0.45">
      <c r="E2910" s="32" t="str">
        <f t="shared" ref="E2910:E2973" si="138">MID(B2910,3,2)&amp;"."&amp;IF(C2910&lt;10,"0"&amp;C2910,C2910)</f>
        <v>.0</v>
      </c>
      <c r="F2910" s="32" t="str">
        <f t="shared" ref="F2910:F2973" si="139">MID(B2910,3,2)&amp;"."&amp;IF(C2910&lt;10,"0"&amp;C2910,C2910)</f>
        <v>.0</v>
      </c>
      <c r="G2910" s="37" t="str">
        <f t="shared" ref="G2910:G2973" si="140">TEXT(D2910,"#,###,")</f>
        <v/>
      </c>
    </row>
    <row r="2911" spans="5:7" x14ac:dyDescent="0.45">
      <c r="E2911" s="32" t="str">
        <f t="shared" si="138"/>
        <v>.0</v>
      </c>
      <c r="F2911" s="32" t="str">
        <f t="shared" si="139"/>
        <v>.0</v>
      </c>
      <c r="G2911" s="37" t="str">
        <f t="shared" si="140"/>
        <v/>
      </c>
    </row>
    <row r="2912" spans="5:7" x14ac:dyDescent="0.45">
      <c r="E2912" s="32" t="str">
        <f t="shared" si="138"/>
        <v>.0</v>
      </c>
      <c r="F2912" s="32" t="str">
        <f t="shared" si="139"/>
        <v>.0</v>
      </c>
      <c r="G2912" s="37" t="str">
        <f t="shared" si="140"/>
        <v/>
      </c>
    </row>
    <row r="2913" spans="5:7" x14ac:dyDescent="0.45">
      <c r="E2913" s="32" t="str">
        <f t="shared" si="138"/>
        <v>.0</v>
      </c>
      <c r="F2913" s="32" t="str">
        <f t="shared" si="139"/>
        <v>.0</v>
      </c>
      <c r="G2913" s="37" t="str">
        <f t="shared" si="140"/>
        <v/>
      </c>
    </row>
    <row r="2914" spans="5:7" x14ac:dyDescent="0.45">
      <c r="E2914" s="32" t="str">
        <f t="shared" si="138"/>
        <v>.0</v>
      </c>
      <c r="F2914" s="32" t="str">
        <f t="shared" si="139"/>
        <v>.0</v>
      </c>
      <c r="G2914" s="37" t="str">
        <f t="shared" si="140"/>
        <v/>
      </c>
    </row>
    <row r="2915" spans="5:7" x14ac:dyDescent="0.45">
      <c r="E2915" s="32" t="str">
        <f t="shared" si="138"/>
        <v>.0</v>
      </c>
      <c r="F2915" s="32" t="str">
        <f t="shared" si="139"/>
        <v>.0</v>
      </c>
      <c r="G2915" s="37" t="str">
        <f t="shared" si="140"/>
        <v/>
      </c>
    </row>
    <row r="2916" spans="5:7" x14ac:dyDescent="0.45">
      <c r="E2916" s="32" t="str">
        <f t="shared" si="138"/>
        <v>.0</v>
      </c>
      <c r="F2916" s="32" t="str">
        <f t="shared" si="139"/>
        <v>.0</v>
      </c>
      <c r="G2916" s="37" t="str">
        <f t="shared" si="140"/>
        <v/>
      </c>
    </row>
    <row r="2917" spans="5:7" x14ac:dyDescent="0.45">
      <c r="E2917" s="32" t="str">
        <f t="shared" si="138"/>
        <v>.0</v>
      </c>
      <c r="F2917" s="32" t="str">
        <f t="shared" si="139"/>
        <v>.0</v>
      </c>
      <c r="G2917" s="37" t="str">
        <f t="shared" si="140"/>
        <v/>
      </c>
    </row>
    <row r="2918" spans="5:7" x14ac:dyDescent="0.45">
      <c r="E2918" s="32" t="str">
        <f t="shared" si="138"/>
        <v>.0</v>
      </c>
      <c r="F2918" s="32" t="str">
        <f t="shared" si="139"/>
        <v>.0</v>
      </c>
      <c r="G2918" s="37" t="str">
        <f t="shared" si="140"/>
        <v/>
      </c>
    </row>
    <row r="2919" spans="5:7" x14ac:dyDescent="0.45">
      <c r="E2919" s="32" t="str">
        <f t="shared" si="138"/>
        <v>.0</v>
      </c>
      <c r="F2919" s="32" t="str">
        <f t="shared" si="139"/>
        <v>.0</v>
      </c>
      <c r="G2919" s="37" t="str">
        <f t="shared" si="140"/>
        <v/>
      </c>
    </row>
    <row r="2920" spans="5:7" x14ac:dyDescent="0.45">
      <c r="E2920" s="32" t="str">
        <f t="shared" si="138"/>
        <v>.0</v>
      </c>
      <c r="F2920" s="32" t="str">
        <f t="shared" si="139"/>
        <v>.0</v>
      </c>
      <c r="G2920" s="37" t="str">
        <f t="shared" si="140"/>
        <v/>
      </c>
    </row>
    <row r="2921" spans="5:7" x14ac:dyDescent="0.45">
      <c r="E2921" s="32" t="str">
        <f t="shared" si="138"/>
        <v>.0</v>
      </c>
      <c r="F2921" s="32" t="str">
        <f t="shared" si="139"/>
        <v>.0</v>
      </c>
      <c r="G2921" s="37" t="str">
        <f t="shared" si="140"/>
        <v/>
      </c>
    </row>
    <row r="2922" spans="5:7" x14ac:dyDescent="0.45">
      <c r="E2922" s="32" t="str">
        <f t="shared" si="138"/>
        <v>.0</v>
      </c>
      <c r="F2922" s="32" t="str">
        <f t="shared" si="139"/>
        <v>.0</v>
      </c>
      <c r="G2922" s="37" t="str">
        <f t="shared" si="140"/>
        <v/>
      </c>
    </row>
    <row r="2923" spans="5:7" x14ac:dyDescent="0.45">
      <c r="E2923" s="32" t="str">
        <f t="shared" si="138"/>
        <v>.0</v>
      </c>
      <c r="F2923" s="32" t="str">
        <f t="shared" si="139"/>
        <v>.0</v>
      </c>
      <c r="G2923" s="37" t="str">
        <f t="shared" si="140"/>
        <v/>
      </c>
    </row>
    <row r="2924" spans="5:7" x14ac:dyDescent="0.45">
      <c r="E2924" s="32" t="str">
        <f t="shared" si="138"/>
        <v>.0</v>
      </c>
      <c r="F2924" s="32" t="str">
        <f t="shared" si="139"/>
        <v>.0</v>
      </c>
      <c r="G2924" s="37" t="str">
        <f t="shared" si="140"/>
        <v/>
      </c>
    </row>
    <row r="2925" spans="5:7" x14ac:dyDescent="0.45">
      <c r="E2925" s="32" t="str">
        <f t="shared" si="138"/>
        <v>.0</v>
      </c>
      <c r="F2925" s="32" t="str">
        <f t="shared" si="139"/>
        <v>.0</v>
      </c>
      <c r="G2925" s="37" t="str">
        <f t="shared" si="140"/>
        <v/>
      </c>
    </row>
    <row r="2926" spans="5:7" x14ac:dyDescent="0.45">
      <c r="E2926" s="32" t="str">
        <f t="shared" si="138"/>
        <v>.0</v>
      </c>
      <c r="F2926" s="32" t="str">
        <f t="shared" si="139"/>
        <v>.0</v>
      </c>
      <c r="G2926" s="37" t="str">
        <f t="shared" si="140"/>
        <v/>
      </c>
    </row>
    <row r="2927" spans="5:7" x14ac:dyDescent="0.45">
      <c r="E2927" s="32" t="str">
        <f t="shared" si="138"/>
        <v>.0</v>
      </c>
      <c r="F2927" s="32" t="str">
        <f t="shared" si="139"/>
        <v>.0</v>
      </c>
      <c r="G2927" s="37" t="str">
        <f t="shared" si="140"/>
        <v/>
      </c>
    </row>
    <row r="2928" spans="5:7" x14ac:dyDescent="0.45">
      <c r="E2928" s="32" t="str">
        <f t="shared" si="138"/>
        <v>.0</v>
      </c>
      <c r="F2928" s="32" t="str">
        <f t="shared" si="139"/>
        <v>.0</v>
      </c>
      <c r="G2928" s="37" t="str">
        <f t="shared" si="140"/>
        <v/>
      </c>
    </row>
    <row r="2929" spans="5:7" x14ac:dyDescent="0.45">
      <c r="E2929" s="32" t="str">
        <f t="shared" si="138"/>
        <v>.0</v>
      </c>
      <c r="F2929" s="32" t="str">
        <f t="shared" si="139"/>
        <v>.0</v>
      </c>
      <c r="G2929" s="37" t="str">
        <f t="shared" si="140"/>
        <v/>
      </c>
    </row>
    <row r="2930" spans="5:7" x14ac:dyDescent="0.45">
      <c r="E2930" s="32" t="str">
        <f t="shared" si="138"/>
        <v>.0</v>
      </c>
      <c r="F2930" s="32" t="str">
        <f t="shared" si="139"/>
        <v>.0</v>
      </c>
      <c r="G2930" s="37" t="str">
        <f t="shared" si="140"/>
        <v/>
      </c>
    </row>
    <row r="2931" spans="5:7" x14ac:dyDescent="0.45">
      <c r="E2931" s="32" t="str">
        <f t="shared" si="138"/>
        <v>.0</v>
      </c>
      <c r="F2931" s="32" t="str">
        <f t="shared" si="139"/>
        <v>.0</v>
      </c>
      <c r="G2931" s="37" t="str">
        <f t="shared" si="140"/>
        <v/>
      </c>
    </row>
    <row r="2932" spans="5:7" x14ac:dyDescent="0.45">
      <c r="E2932" s="32" t="str">
        <f t="shared" si="138"/>
        <v>.0</v>
      </c>
      <c r="F2932" s="32" t="str">
        <f t="shared" si="139"/>
        <v>.0</v>
      </c>
      <c r="G2932" s="37" t="str">
        <f t="shared" si="140"/>
        <v/>
      </c>
    </row>
    <row r="2933" spans="5:7" x14ac:dyDescent="0.45">
      <c r="E2933" s="32" t="str">
        <f t="shared" si="138"/>
        <v>.0</v>
      </c>
      <c r="F2933" s="32" t="str">
        <f t="shared" si="139"/>
        <v>.0</v>
      </c>
      <c r="G2933" s="37" t="str">
        <f t="shared" si="140"/>
        <v/>
      </c>
    </row>
    <row r="2934" spans="5:7" x14ac:dyDescent="0.45">
      <c r="E2934" s="32" t="str">
        <f t="shared" si="138"/>
        <v>.0</v>
      </c>
      <c r="F2934" s="32" t="str">
        <f t="shared" si="139"/>
        <v>.0</v>
      </c>
      <c r="G2934" s="37" t="str">
        <f t="shared" si="140"/>
        <v/>
      </c>
    </row>
    <row r="2935" spans="5:7" x14ac:dyDescent="0.45">
      <c r="E2935" s="32" t="str">
        <f t="shared" si="138"/>
        <v>.0</v>
      </c>
      <c r="F2935" s="32" t="str">
        <f t="shared" si="139"/>
        <v>.0</v>
      </c>
      <c r="G2935" s="37" t="str">
        <f t="shared" si="140"/>
        <v/>
      </c>
    </row>
    <row r="2936" spans="5:7" x14ac:dyDescent="0.45">
      <c r="E2936" s="32" t="str">
        <f t="shared" si="138"/>
        <v>.0</v>
      </c>
      <c r="F2936" s="32" t="str">
        <f t="shared" si="139"/>
        <v>.0</v>
      </c>
      <c r="G2936" s="37" t="str">
        <f t="shared" si="140"/>
        <v/>
      </c>
    </row>
    <row r="2937" spans="5:7" x14ac:dyDescent="0.45">
      <c r="E2937" s="32" t="str">
        <f t="shared" si="138"/>
        <v>.0</v>
      </c>
      <c r="F2937" s="32" t="str">
        <f t="shared" si="139"/>
        <v>.0</v>
      </c>
      <c r="G2937" s="37" t="str">
        <f t="shared" si="140"/>
        <v/>
      </c>
    </row>
    <row r="2938" spans="5:7" x14ac:dyDescent="0.45">
      <c r="E2938" s="32" t="str">
        <f t="shared" si="138"/>
        <v>.0</v>
      </c>
      <c r="F2938" s="32" t="str">
        <f t="shared" si="139"/>
        <v>.0</v>
      </c>
      <c r="G2938" s="37" t="str">
        <f t="shared" si="140"/>
        <v/>
      </c>
    </row>
    <row r="2939" spans="5:7" x14ac:dyDescent="0.45">
      <c r="E2939" s="32" t="str">
        <f t="shared" si="138"/>
        <v>.0</v>
      </c>
      <c r="F2939" s="32" t="str">
        <f t="shared" si="139"/>
        <v>.0</v>
      </c>
      <c r="G2939" s="37" t="str">
        <f t="shared" si="140"/>
        <v/>
      </c>
    </row>
    <row r="2940" spans="5:7" x14ac:dyDescent="0.45">
      <c r="E2940" s="32" t="str">
        <f t="shared" si="138"/>
        <v>.0</v>
      </c>
      <c r="F2940" s="32" t="str">
        <f t="shared" si="139"/>
        <v>.0</v>
      </c>
      <c r="G2940" s="37" t="str">
        <f t="shared" si="140"/>
        <v/>
      </c>
    </row>
    <row r="2941" spans="5:7" x14ac:dyDescent="0.45">
      <c r="E2941" s="32" t="str">
        <f t="shared" si="138"/>
        <v>.0</v>
      </c>
      <c r="F2941" s="32" t="str">
        <f t="shared" si="139"/>
        <v>.0</v>
      </c>
      <c r="G2941" s="37" t="str">
        <f t="shared" si="140"/>
        <v/>
      </c>
    </row>
    <row r="2942" spans="5:7" x14ac:dyDescent="0.45">
      <c r="E2942" s="32" t="str">
        <f t="shared" si="138"/>
        <v>.0</v>
      </c>
      <c r="F2942" s="32" t="str">
        <f t="shared" si="139"/>
        <v>.0</v>
      </c>
      <c r="G2942" s="37" t="str">
        <f t="shared" si="140"/>
        <v/>
      </c>
    </row>
    <row r="2943" spans="5:7" x14ac:dyDescent="0.45">
      <c r="E2943" s="32" t="str">
        <f t="shared" si="138"/>
        <v>.0</v>
      </c>
      <c r="F2943" s="32" t="str">
        <f t="shared" si="139"/>
        <v>.0</v>
      </c>
      <c r="G2943" s="37" t="str">
        <f t="shared" si="140"/>
        <v/>
      </c>
    </row>
    <row r="2944" spans="5:7" x14ac:dyDescent="0.45">
      <c r="E2944" s="32" t="str">
        <f t="shared" si="138"/>
        <v>.0</v>
      </c>
      <c r="F2944" s="32" t="str">
        <f t="shared" si="139"/>
        <v>.0</v>
      </c>
      <c r="G2944" s="37" t="str">
        <f t="shared" si="140"/>
        <v/>
      </c>
    </row>
    <row r="2945" spans="5:7" x14ac:dyDescent="0.45">
      <c r="E2945" s="32" t="str">
        <f t="shared" si="138"/>
        <v>.0</v>
      </c>
      <c r="F2945" s="32" t="str">
        <f t="shared" si="139"/>
        <v>.0</v>
      </c>
      <c r="G2945" s="37" t="str">
        <f t="shared" si="140"/>
        <v/>
      </c>
    </row>
    <row r="2946" spans="5:7" x14ac:dyDescent="0.45">
      <c r="E2946" s="32" t="str">
        <f t="shared" si="138"/>
        <v>.0</v>
      </c>
      <c r="F2946" s="32" t="str">
        <f t="shared" si="139"/>
        <v>.0</v>
      </c>
      <c r="G2946" s="37" t="str">
        <f t="shared" si="140"/>
        <v/>
      </c>
    </row>
    <row r="2947" spans="5:7" x14ac:dyDescent="0.45">
      <c r="E2947" s="32" t="str">
        <f t="shared" si="138"/>
        <v>.0</v>
      </c>
      <c r="F2947" s="32" t="str">
        <f t="shared" si="139"/>
        <v>.0</v>
      </c>
      <c r="G2947" s="37" t="str">
        <f t="shared" si="140"/>
        <v/>
      </c>
    </row>
    <row r="2948" spans="5:7" x14ac:dyDescent="0.45">
      <c r="E2948" s="32" t="str">
        <f t="shared" si="138"/>
        <v>.0</v>
      </c>
      <c r="F2948" s="32" t="str">
        <f t="shared" si="139"/>
        <v>.0</v>
      </c>
      <c r="G2948" s="37" t="str">
        <f t="shared" si="140"/>
        <v/>
      </c>
    </row>
    <row r="2949" spans="5:7" x14ac:dyDescent="0.45">
      <c r="E2949" s="32" t="str">
        <f t="shared" si="138"/>
        <v>.0</v>
      </c>
      <c r="F2949" s="32" t="str">
        <f t="shared" si="139"/>
        <v>.0</v>
      </c>
      <c r="G2949" s="37" t="str">
        <f t="shared" si="140"/>
        <v/>
      </c>
    </row>
    <row r="2950" spans="5:7" x14ac:dyDescent="0.45">
      <c r="E2950" s="32" t="str">
        <f t="shared" si="138"/>
        <v>.0</v>
      </c>
      <c r="F2950" s="32" t="str">
        <f t="shared" si="139"/>
        <v>.0</v>
      </c>
      <c r="G2950" s="37" t="str">
        <f t="shared" si="140"/>
        <v/>
      </c>
    </row>
    <row r="2951" spans="5:7" x14ac:dyDescent="0.45">
      <c r="E2951" s="32" t="str">
        <f t="shared" si="138"/>
        <v>.0</v>
      </c>
      <c r="F2951" s="32" t="str">
        <f t="shared" si="139"/>
        <v>.0</v>
      </c>
      <c r="G2951" s="37" t="str">
        <f t="shared" si="140"/>
        <v/>
      </c>
    </row>
    <row r="2952" spans="5:7" x14ac:dyDescent="0.45">
      <c r="E2952" s="32" t="str">
        <f t="shared" si="138"/>
        <v>.0</v>
      </c>
      <c r="F2952" s="32" t="str">
        <f t="shared" si="139"/>
        <v>.0</v>
      </c>
      <c r="G2952" s="37" t="str">
        <f t="shared" si="140"/>
        <v/>
      </c>
    </row>
    <row r="2953" spans="5:7" x14ac:dyDescent="0.45">
      <c r="E2953" s="32" t="str">
        <f t="shared" si="138"/>
        <v>.0</v>
      </c>
      <c r="F2953" s="32" t="str">
        <f t="shared" si="139"/>
        <v>.0</v>
      </c>
      <c r="G2953" s="37" t="str">
        <f t="shared" si="140"/>
        <v/>
      </c>
    </row>
    <row r="2954" spans="5:7" x14ac:dyDescent="0.45">
      <c r="E2954" s="32" t="str">
        <f t="shared" si="138"/>
        <v>.0</v>
      </c>
      <c r="F2954" s="32" t="str">
        <f t="shared" si="139"/>
        <v>.0</v>
      </c>
      <c r="G2954" s="37" t="str">
        <f t="shared" si="140"/>
        <v/>
      </c>
    </row>
    <row r="2955" spans="5:7" x14ac:dyDescent="0.45">
      <c r="E2955" s="32" t="str">
        <f t="shared" si="138"/>
        <v>.0</v>
      </c>
      <c r="F2955" s="32" t="str">
        <f t="shared" si="139"/>
        <v>.0</v>
      </c>
      <c r="G2955" s="37" t="str">
        <f t="shared" si="140"/>
        <v/>
      </c>
    </row>
    <row r="2956" spans="5:7" x14ac:dyDescent="0.45">
      <c r="E2956" s="32" t="str">
        <f t="shared" si="138"/>
        <v>.0</v>
      </c>
      <c r="F2956" s="32" t="str">
        <f t="shared" si="139"/>
        <v>.0</v>
      </c>
      <c r="G2956" s="37" t="str">
        <f t="shared" si="140"/>
        <v/>
      </c>
    </row>
    <row r="2957" spans="5:7" x14ac:dyDescent="0.45">
      <c r="E2957" s="32" t="str">
        <f t="shared" si="138"/>
        <v>.0</v>
      </c>
      <c r="F2957" s="32" t="str">
        <f t="shared" si="139"/>
        <v>.0</v>
      </c>
      <c r="G2957" s="37" t="str">
        <f t="shared" si="140"/>
        <v/>
      </c>
    </row>
    <row r="2958" spans="5:7" x14ac:dyDescent="0.45">
      <c r="E2958" s="32" t="str">
        <f t="shared" si="138"/>
        <v>.0</v>
      </c>
      <c r="F2958" s="32" t="str">
        <f t="shared" si="139"/>
        <v>.0</v>
      </c>
      <c r="G2958" s="37" t="str">
        <f t="shared" si="140"/>
        <v/>
      </c>
    </row>
    <row r="2959" spans="5:7" x14ac:dyDescent="0.45">
      <c r="E2959" s="32" t="str">
        <f t="shared" si="138"/>
        <v>.0</v>
      </c>
      <c r="F2959" s="32" t="str">
        <f t="shared" si="139"/>
        <v>.0</v>
      </c>
      <c r="G2959" s="37" t="str">
        <f t="shared" si="140"/>
        <v/>
      </c>
    </row>
    <row r="2960" spans="5:7" x14ac:dyDescent="0.45">
      <c r="E2960" s="32" t="str">
        <f t="shared" si="138"/>
        <v>.0</v>
      </c>
      <c r="F2960" s="32" t="str">
        <f t="shared" si="139"/>
        <v>.0</v>
      </c>
      <c r="G2960" s="37" t="str">
        <f t="shared" si="140"/>
        <v/>
      </c>
    </row>
    <row r="2961" spans="5:7" x14ac:dyDescent="0.45">
      <c r="E2961" s="32" t="str">
        <f t="shared" si="138"/>
        <v>.0</v>
      </c>
      <c r="F2961" s="32" t="str">
        <f t="shared" si="139"/>
        <v>.0</v>
      </c>
      <c r="G2961" s="37" t="str">
        <f t="shared" si="140"/>
        <v/>
      </c>
    </row>
    <row r="2962" spans="5:7" x14ac:dyDescent="0.45">
      <c r="E2962" s="32" t="str">
        <f t="shared" si="138"/>
        <v>.0</v>
      </c>
      <c r="F2962" s="32" t="str">
        <f t="shared" si="139"/>
        <v>.0</v>
      </c>
      <c r="G2962" s="37" t="str">
        <f t="shared" si="140"/>
        <v/>
      </c>
    </row>
    <row r="2963" spans="5:7" x14ac:dyDescent="0.45">
      <c r="E2963" s="32" t="str">
        <f t="shared" si="138"/>
        <v>.0</v>
      </c>
      <c r="F2963" s="32" t="str">
        <f t="shared" si="139"/>
        <v>.0</v>
      </c>
      <c r="G2963" s="37" t="str">
        <f t="shared" si="140"/>
        <v/>
      </c>
    </row>
    <row r="2964" spans="5:7" x14ac:dyDescent="0.45">
      <c r="E2964" s="32" t="str">
        <f t="shared" si="138"/>
        <v>.0</v>
      </c>
      <c r="F2964" s="32" t="str">
        <f t="shared" si="139"/>
        <v>.0</v>
      </c>
      <c r="G2964" s="37" t="str">
        <f t="shared" si="140"/>
        <v/>
      </c>
    </row>
    <row r="2965" spans="5:7" x14ac:dyDescent="0.45">
      <c r="E2965" s="32" t="str">
        <f t="shared" si="138"/>
        <v>.0</v>
      </c>
      <c r="F2965" s="32" t="str">
        <f t="shared" si="139"/>
        <v>.0</v>
      </c>
      <c r="G2965" s="37" t="str">
        <f t="shared" si="140"/>
        <v/>
      </c>
    </row>
    <row r="2966" spans="5:7" x14ac:dyDescent="0.45">
      <c r="E2966" s="32" t="str">
        <f t="shared" si="138"/>
        <v>.0</v>
      </c>
      <c r="F2966" s="32" t="str">
        <f t="shared" si="139"/>
        <v>.0</v>
      </c>
      <c r="G2966" s="37" t="str">
        <f t="shared" si="140"/>
        <v/>
      </c>
    </row>
    <row r="2967" spans="5:7" x14ac:dyDescent="0.45">
      <c r="E2967" s="32" t="str">
        <f t="shared" si="138"/>
        <v>.0</v>
      </c>
      <c r="F2967" s="32" t="str">
        <f t="shared" si="139"/>
        <v>.0</v>
      </c>
      <c r="G2967" s="37" t="str">
        <f t="shared" si="140"/>
        <v/>
      </c>
    </row>
    <row r="2968" spans="5:7" x14ac:dyDescent="0.45">
      <c r="E2968" s="32" t="str">
        <f t="shared" si="138"/>
        <v>.0</v>
      </c>
      <c r="F2968" s="32" t="str">
        <f t="shared" si="139"/>
        <v>.0</v>
      </c>
      <c r="G2968" s="37" t="str">
        <f t="shared" si="140"/>
        <v/>
      </c>
    </row>
    <row r="2969" spans="5:7" x14ac:dyDescent="0.45">
      <c r="E2969" s="32" t="str">
        <f t="shared" si="138"/>
        <v>.0</v>
      </c>
      <c r="F2969" s="32" t="str">
        <f t="shared" si="139"/>
        <v>.0</v>
      </c>
      <c r="G2969" s="37" t="str">
        <f t="shared" si="140"/>
        <v/>
      </c>
    </row>
    <row r="2970" spans="5:7" x14ac:dyDescent="0.45">
      <c r="E2970" s="32" t="str">
        <f t="shared" si="138"/>
        <v>.0</v>
      </c>
      <c r="F2970" s="32" t="str">
        <f t="shared" si="139"/>
        <v>.0</v>
      </c>
      <c r="G2970" s="37" t="str">
        <f t="shared" si="140"/>
        <v/>
      </c>
    </row>
    <row r="2971" spans="5:7" x14ac:dyDescent="0.45">
      <c r="E2971" s="32" t="str">
        <f t="shared" si="138"/>
        <v>.0</v>
      </c>
      <c r="F2971" s="32" t="str">
        <f t="shared" si="139"/>
        <v>.0</v>
      </c>
      <c r="G2971" s="37" t="str">
        <f t="shared" si="140"/>
        <v/>
      </c>
    </row>
    <row r="2972" spans="5:7" x14ac:dyDescent="0.45">
      <c r="E2972" s="32" t="str">
        <f t="shared" si="138"/>
        <v>.0</v>
      </c>
      <c r="F2972" s="32" t="str">
        <f t="shared" si="139"/>
        <v>.0</v>
      </c>
      <c r="G2972" s="37" t="str">
        <f t="shared" si="140"/>
        <v/>
      </c>
    </row>
    <row r="2973" spans="5:7" x14ac:dyDescent="0.45">
      <c r="E2973" s="32" t="str">
        <f t="shared" si="138"/>
        <v>.0</v>
      </c>
      <c r="F2973" s="32" t="str">
        <f t="shared" si="139"/>
        <v>.0</v>
      </c>
      <c r="G2973" s="37" t="str">
        <f t="shared" si="140"/>
        <v/>
      </c>
    </row>
    <row r="2974" spans="5:7" x14ac:dyDescent="0.45">
      <c r="E2974" s="32" t="str">
        <f t="shared" ref="E2974:E3037" si="141">MID(B2974,3,2)&amp;"."&amp;IF(C2974&lt;10,"0"&amp;C2974,C2974)</f>
        <v>.0</v>
      </c>
      <c r="F2974" s="32" t="str">
        <f t="shared" ref="F2974:F3037" si="142">MID(B2974,3,2)&amp;"."&amp;IF(C2974&lt;10,"0"&amp;C2974,C2974)</f>
        <v>.0</v>
      </c>
      <c r="G2974" s="37" t="str">
        <f t="shared" ref="G2974:G3037" si="143">TEXT(D2974,"#,###,")</f>
        <v/>
      </c>
    </row>
    <row r="2975" spans="5:7" x14ac:dyDescent="0.45">
      <c r="E2975" s="32" t="str">
        <f t="shared" si="141"/>
        <v>.0</v>
      </c>
      <c r="F2975" s="32" t="str">
        <f t="shared" si="142"/>
        <v>.0</v>
      </c>
      <c r="G2975" s="37" t="str">
        <f t="shared" si="143"/>
        <v/>
      </c>
    </row>
    <row r="2976" spans="5:7" x14ac:dyDescent="0.45">
      <c r="E2976" s="32" t="str">
        <f t="shared" si="141"/>
        <v>.0</v>
      </c>
      <c r="F2976" s="32" t="str">
        <f t="shared" si="142"/>
        <v>.0</v>
      </c>
      <c r="G2976" s="37" t="str">
        <f t="shared" si="143"/>
        <v/>
      </c>
    </row>
    <row r="2977" spans="5:7" x14ac:dyDescent="0.45">
      <c r="E2977" s="32" t="str">
        <f t="shared" si="141"/>
        <v>.0</v>
      </c>
      <c r="F2977" s="32" t="str">
        <f t="shared" si="142"/>
        <v>.0</v>
      </c>
      <c r="G2977" s="37" t="str">
        <f t="shared" si="143"/>
        <v/>
      </c>
    </row>
    <row r="2978" spans="5:7" x14ac:dyDescent="0.45">
      <c r="E2978" s="32" t="str">
        <f t="shared" si="141"/>
        <v>.0</v>
      </c>
      <c r="F2978" s="32" t="str">
        <f t="shared" si="142"/>
        <v>.0</v>
      </c>
      <c r="G2978" s="37" t="str">
        <f t="shared" si="143"/>
        <v/>
      </c>
    </row>
    <row r="2979" spans="5:7" x14ac:dyDescent="0.45">
      <c r="E2979" s="32" t="str">
        <f t="shared" si="141"/>
        <v>.0</v>
      </c>
      <c r="F2979" s="32" t="str">
        <f t="shared" si="142"/>
        <v>.0</v>
      </c>
      <c r="G2979" s="37" t="str">
        <f t="shared" si="143"/>
        <v/>
      </c>
    </row>
    <row r="2980" spans="5:7" x14ac:dyDescent="0.45">
      <c r="E2980" s="32" t="str">
        <f t="shared" si="141"/>
        <v>.0</v>
      </c>
      <c r="F2980" s="32" t="str">
        <f t="shared" si="142"/>
        <v>.0</v>
      </c>
      <c r="G2980" s="37" t="str">
        <f t="shared" si="143"/>
        <v/>
      </c>
    </row>
    <row r="2981" spans="5:7" x14ac:dyDescent="0.45">
      <c r="E2981" s="32" t="str">
        <f t="shared" si="141"/>
        <v>.0</v>
      </c>
      <c r="F2981" s="32" t="str">
        <f t="shared" si="142"/>
        <v>.0</v>
      </c>
      <c r="G2981" s="37" t="str">
        <f t="shared" si="143"/>
        <v/>
      </c>
    </row>
    <row r="2982" spans="5:7" x14ac:dyDescent="0.45">
      <c r="E2982" s="32" t="str">
        <f t="shared" si="141"/>
        <v>.0</v>
      </c>
      <c r="F2982" s="32" t="str">
        <f t="shared" si="142"/>
        <v>.0</v>
      </c>
      <c r="G2982" s="37" t="str">
        <f t="shared" si="143"/>
        <v/>
      </c>
    </row>
    <row r="2983" spans="5:7" x14ac:dyDescent="0.45">
      <c r="E2983" s="32" t="str">
        <f t="shared" si="141"/>
        <v>.0</v>
      </c>
      <c r="F2983" s="32" t="str">
        <f t="shared" si="142"/>
        <v>.0</v>
      </c>
      <c r="G2983" s="37" t="str">
        <f t="shared" si="143"/>
        <v/>
      </c>
    </row>
    <row r="2984" spans="5:7" x14ac:dyDescent="0.45">
      <c r="E2984" s="32" t="str">
        <f t="shared" si="141"/>
        <v>.0</v>
      </c>
      <c r="F2984" s="32" t="str">
        <f t="shared" si="142"/>
        <v>.0</v>
      </c>
      <c r="G2984" s="37" t="str">
        <f t="shared" si="143"/>
        <v/>
      </c>
    </row>
    <row r="2985" spans="5:7" x14ac:dyDescent="0.45">
      <c r="E2985" s="32" t="str">
        <f t="shared" si="141"/>
        <v>.0</v>
      </c>
      <c r="F2985" s="32" t="str">
        <f t="shared" si="142"/>
        <v>.0</v>
      </c>
      <c r="G2985" s="37" t="str">
        <f t="shared" si="143"/>
        <v/>
      </c>
    </row>
    <row r="2986" spans="5:7" x14ac:dyDescent="0.45">
      <c r="E2986" s="32" t="str">
        <f t="shared" si="141"/>
        <v>.0</v>
      </c>
      <c r="F2986" s="32" t="str">
        <f t="shared" si="142"/>
        <v>.0</v>
      </c>
      <c r="G2986" s="37" t="str">
        <f t="shared" si="143"/>
        <v/>
      </c>
    </row>
    <row r="2987" spans="5:7" x14ac:dyDescent="0.45">
      <c r="E2987" s="32" t="str">
        <f t="shared" si="141"/>
        <v>.0</v>
      </c>
      <c r="F2987" s="32" t="str">
        <f t="shared" si="142"/>
        <v>.0</v>
      </c>
      <c r="G2987" s="37" t="str">
        <f t="shared" si="143"/>
        <v/>
      </c>
    </row>
    <row r="2988" spans="5:7" x14ac:dyDescent="0.45">
      <c r="E2988" s="32" t="str">
        <f t="shared" si="141"/>
        <v>.0</v>
      </c>
      <c r="F2988" s="32" t="str">
        <f t="shared" si="142"/>
        <v>.0</v>
      </c>
      <c r="G2988" s="37" t="str">
        <f t="shared" si="143"/>
        <v/>
      </c>
    </row>
    <row r="2989" spans="5:7" x14ac:dyDescent="0.45">
      <c r="E2989" s="32" t="str">
        <f t="shared" si="141"/>
        <v>.0</v>
      </c>
      <c r="F2989" s="32" t="str">
        <f t="shared" si="142"/>
        <v>.0</v>
      </c>
      <c r="G2989" s="37" t="str">
        <f t="shared" si="143"/>
        <v/>
      </c>
    </row>
    <row r="2990" spans="5:7" x14ac:dyDescent="0.45">
      <c r="E2990" s="32" t="str">
        <f t="shared" si="141"/>
        <v>.0</v>
      </c>
      <c r="F2990" s="32" t="str">
        <f t="shared" si="142"/>
        <v>.0</v>
      </c>
      <c r="G2990" s="37" t="str">
        <f t="shared" si="143"/>
        <v/>
      </c>
    </row>
    <row r="2991" spans="5:7" x14ac:dyDescent="0.45">
      <c r="E2991" s="32" t="str">
        <f t="shared" si="141"/>
        <v>.0</v>
      </c>
      <c r="F2991" s="32" t="str">
        <f t="shared" si="142"/>
        <v>.0</v>
      </c>
      <c r="G2991" s="37" t="str">
        <f t="shared" si="143"/>
        <v/>
      </c>
    </row>
    <row r="2992" spans="5:7" x14ac:dyDescent="0.45">
      <c r="E2992" s="32" t="str">
        <f t="shared" si="141"/>
        <v>.0</v>
      </c>
      <c r="F2992" s="32" t="str">
        <f t="shared" si="142"/>
        <v>.0</v>
      </c>
      <c r="G2992" s="37" t="str">
        <f t="shared" si="143"/>
        <v/>
      </c>
    </row>
    <row r="2993" spans="5:7" x14ac:dyDescent="0.45">
      <c r="E2993" s="32" t="str">
        <f t="shared" si="141"/>
        <v>.0</v>
      </c>
      <c r="F2993" s="32" t="str">
        <f t="shared" si="142"/>
        <v>.0</v>
      </c>
      <c r="G2993" s="37" t="str">
        <f t="shared" si="143"/>
        <v/>
      </c>
    </row>
    <row r="2994" spans="5:7" x14ac:dyDescent="0.45">
      <c r="E2994" s="32" t="str">
        <f t="shared" si="141"/>
        <v>.0</v>
      </c>
      <c r="F2994" s="32" t="str">
        <f t="shared" si="142"/>
        <v>.0</v>
      </c>
      <c r="G2994" s="37" t="str">
        <f t="shared" si="143"/>
        <v/>
      </c>
    </row>
    <row r="2995" spans="5:7" x14ac:dyDescent="0.45">
      <c r="E2995" s="32" t="str">
        <f t="shared" si="141"/>
        <v>.0</v>
      </c>
      <c r="F2995" s="32" t="str">
        <f t="shared" si="142"/>
        <v>.0</v>
      </c>
      <c r="G2995" s="37" t="str">
        <f t="shared" si="143"/>
        <v/>
      </c>
    </row>
    <row r="2996" spans="5:7" x14ac:dyDescent="0.45">
      <c r="E2996" s="32" t="str">
        <f t="shared" si="141"/>
        <v>.0</v>
      </c>
      <c r="F2996" s="32" t="str">
        <f t="shared" si="142"/>
        <v>.0</v>
      </c>
      <c r="G2996" s="37" t="str">
        <f t="shared" si="143"/>
        <v/>
      </c>
    </row>
    <row r="2997" spans="5:7" x14ac:dyDescent="0.45">
      <c r="E2997" s="32" t="str">
        <f t="shared" si="141"/>
        <v>.0</v>
      </c>
      <c r="F2997" s="32" t="str">
        <f t="shared" si="142"/>
        <v>.0</v>
      </c>
      <c r="G2997" s="37" t="str">
        <f t="shared" si="143"/>
        <v/>
      </c>
    </row>
    <row r="2998" spans="5:7" x14ac:dyDescent="0.45">
      <c r="E2998" s="32" t="str">
        <f t="shared" si="141"/>
        <v>.0</v>
      </c>
      <c r="F2998" s="32" t="str">
        <f t="shared" si="142"/>
        <v>.0</v>
      </c>
      <c r="G2998" s="37" t="str">
        <f t="shared" si="143"/>
        <v/>
      </c>
    </row>
    <row r="2999" spans="5:7" x14ac:dyDescent="0.45">
      <c r="E2999" s="32" t="str">
        <f t="shared" si="141"/>
        <v>.0</v>
      </c>
      <c r="F2999" s="32" t="str">
        <f t="shared" si="142"/>
        <v>.0</v>
      </c>
      <c r="G2999" s="37" t="str">
        <f t="shared" si="143"/>
        <v/>
      </c>
    </row>
    <row r="3000" spans="5:7" x14ac:dyDescent="0.45">
      <c r="E3000" s="32" t="str">
        <f t="shared" si="141"/>
        <v>.0</v>
      </c>
      <c r="F3000" s="32" t="str">
        <f t="shared" si="142"/>
        <v>.0</v>
      </c>
      <c r="G3000" s="37" t="str">
        <f t="shared" si="143"/>
        <v/>
      </c>
    </row>
    <row r="3001" spans="5:7" x14ac:dyDescent="0.45">
      <c r="E3001" s="32" t="str">
        <f t="shared" si="141"/>
        <v>.0</v>
      </c>
      <c r="F3001" s="32" t="str">
        <f t="shared" si="142"/>
        <v>.0</v>
      </c>
      <c r="G3001" s="37" t="str">
        <f t="shared" si="143"/>
        <v/>
      </c>
    </row>
    <row r="3002" spans="5:7" x14ac:dyDescent="0.45">
      <c r="E3002" s="32" t="str">
        <f t="shared" si="141"/>
        <v>.0</v>
      </c>
      <c r="F3002" s="32" t="str">
        <f t="shared" si="142"/>
        <v>.0</v>
      </c>
      <c r="G3002" s="37" t="str">
        <f t="shared" si="143"/>
        <v/>
      </c>
    </row>
    <row r="3003" spans="5:7" x14ac:dyDescent="0.45">
      <c r="E3003" s="32" t="str">
        <f t="shared" si="141"/>
        <v>.0</v>
      </c>
      <c r="F3003" s="32" t="str">
        <f t="shared" si="142"/>
        <v>.0</v>
      </c>
      <c r="G3003" s="37" t="str">
        <f t="shared" si="143"/>
        <v/>
      </c>
    </row>
    <row r="3004" spans="5:7" x14ac:dyDescent="0.45">
      <c r="E3004" s="32" t="str">
        <f t="shared" si="141"/>
        <v>.0</v>
      </c>
      <c r="F3004" s="32" t="str">
        <f t="shared" si="142"/>
        <v>.0</v>
      </c>
      <c r="G3004" s="37" t="str">
        <f t="shared" si="143"/>
        <v/>
      </c>
    </row>
    <row r="3005" spans="5:7" x14ac:dyDescent="0.45">
      <c r="E3005" s="32" t="str">
        <f t="shared" si="141"/>
        <v>.0</v>
      </c>
      <c r="F3005" s="32" t="str">
        <f t="shared" si="142"/>
        <v>.0</v>
      </c>
      <c r="G3005" s="37" t="str">
        <f t="shared" si="143"/>
        <v/>
      </c>
    </row>
    <row r="3006" spans="5:7" x14ac:dyDescent="0.45">
      <c r="E3006" s="32" t="str">
        <f t="shared" si="141"/>
        <v>.0</v>
      </c>
      <c r="F3006" s="32" t="str">
        <f t="shared" si="142"/>
        <v>.0</v>
      </c>
      <c r="G3006" s="37" t="str">
        <f t="shared" si="143"/>
        <v/>
      </c>
    </row>
    <row r="3007" spans="5:7" x14ac:dyDescent="0.45">
      <c r="E3007" s="32" t="str">
        <f t="shared" si="141"/>
        <v>.0</v>
      </c>
      <c r="F3007" s="32" t="str">
        <f t="shared" si="142"/>
        <v>.0</v>
      </c>
      <c r="G3007" s="37" t="str">
        <f t="shared" si="143"/>
        <v/>
      </c>
    </row>
    <row r="3008" spans="5:7" x14ac:dyDescent="0.45">
      <c r="E3008" s="32" t="str">
        <f t="shared" si="141"/>
        <v>.0</v>
      </c>
      <c r="F3008" s="32" t="str">
        <f t="shared" si="142"/>
        <v>.0</v>
      </c>
      <c r="G3008" s="37" t="str">
        <f t="shared" si="143"/>
        <v/>
      </c>
    </row>
    <row r="3009" spans="5:7" x14ac:dyDescent="0.45">
      <c r="E3009" s="32" t="str">
        <f t="shared" si="141"/>
        <v>.0</v>
      </c>
      <c r="F3009" s="32" t="str">
        <f t="shared" si="142"/>
        <v>.0</v>
      </c>
      <c r="G3009" s="37" t="str">
        <f t="shared" si="143"/>
        <v/>
      </c>
    </row>
    <row r="3010" spans="5:7" x14ac:dyDescent="0.45">
      <c r="E3010" s="32" t="str">
        <f t="shared" si="141"/>
        <v>.0</v>
      </c>
      <c r="F3010" s="32" t="str">
        <f t="shared" si="142"/>
        <v>.0</v>
      </c>
      <c r="G3010" s="37" t="str">
        <f t="shared" si="143"/>
        <v/>
      </c>
    </row>
    <row r="3011" spans="5:7" x14ac:dyDescent="0.45">
      <c r="E3011" s="32" t="str">
        <f t="shared" si="141"/>
        <v>.0</v>
      </c>
      <c r="F3011" s="32" t="str">
        <f t="shared" si="142"/>
        <v>.0</v>
      </c>
      <c r="G3011" s="37" t="str">
        <f t="shared" si="143"/>
        <v/>
      </c>
    </row>
    <row r="3012" spans="5:7" x14ac:dyDescent="0.45">
      <c r="E3012" s="32" t="str">
        <f t="shared" si="141"/>
        <v>.0</v>
      </c>
      <c r="F3012" s="32" t="str">
        <f t="shared" si="142"/>
        <v>.0</v>
      </c>
      <c r="G3012" s="37" t="str">
        <f t="shared" si="143"/>
        <v/>
      </c>
    </row>
    <row r="3013" spans="5:7" x14ac:dyDescent="0.45">
      <c r="E3013" s="32" t="str">
        <f t="shared" si="141"/>
        <v>.0</v>
      </c>
      <c r="F3013" s="32" t="str">
        <f t="shared" si="142"/>
        <v>.0</v>
      </c>
      <c r="G3013" s="37" t="str">
        <f t="shared" si="143"/>
        <v/>
      </c>
    </row>
    <row r="3014" spans="5:7" x14ac:dyDescent="0.45">
      <c r="E3014" s="32" t="str">
        <f t="shared" si="141"/>
        <v>.0</v>
      </c>
      <c r="F3014" s="32" t="str">
        <f t="shared" si="142"/>
        <v>.0</v>
      </c>
      <c r="G3014" s="37" t="str">
        <f t="shared" si="143"/>
        <v/>
      </c>
    </row>
    <row r="3015" spans="5:7" x14ac:dyDescent="0.45">
      <c r="E3015" s="32" t="str">
        <f t="shared" si="141"/>
        <v>.0</v>
      </c>
      <c r="F3015" s="32" t="str">
        <f t="shared" si="142"/>
        <v>.0</v>
      </c>
      <c r="G3015" s="37" t="str">
        <f t="shared" si="143"/>
        <v/>
      </c>
    </row>
    <row r="3016" spans="5:7" x14ac:dyDescent="0.45">
      <c r="E3016" s="32" t="str">
        <f t="shared" si="141"/>
        <v>.0</v>
      </c>
      <c r="F3016" s="32" t="str">
        <f t="shared" si="142"/>
        <v>.0</v>
      </c>
      <c r="G3016" s="37" t="str">
        <f t="shared" si="143"/>
        <v/>
      </c>
    </row>
    <row r="3017" spans="5:7" x14ac:dyDescent="0.45">
      <c r="E3017" s="32" t="str">
        <f t="shared" si="141"/>
        <v>.0</v>
      </c>
      <c r="F3017" s="32" t="str">
        <f t="shared" si="142"/>
        <v>.0</v>
      </c>
      <c r="G3017" s="37" t="str">
        <f t="shared" si="143"/>
        <v/>
      </c>
    </row>
    <row r="3018" spans="5:7" x14ac:dyDescent="0.45">
      <c r="E3018" s="32" t="str">
        <f t="shared" si="141"/>
        <v>.0</v>
      </c>
      <c r="F3018" s="32" t="str">
        <f t="shared" si="142"/>
        <v>.0</v>
      </c>
      <c r="G3018" s="37" t="str">
        <f t="shared" si="143"/>
        <v/>
      </c>
    </row>
    <row r="3019" spans="5:7" x14ac:dyDescent="0.45">
      <c r="E3019" s="32" t="str">
        <f t="shared" si="141"/>
        <v>.0</v>
      </c>
      <c r="F3019" s="32" t="str">
        <f t="shared" si="142"/>
        <v>.0</v>
      </c>
      <c r="G3019" s="37" t="str">
        <f t="shared" si="143"/>
        <v/>
      </c>
    </row>
    <row r="3020" spans="5:7" x14ac:dyDescent="0.45">
      <c r="E3020" s="32" t="str">
        <f t="shared" si="141"/>
        <v>.0</v>
      </c>
      <c r="F3020" s="32" t="str">
        <f t="shared" si="142"/>
        <v>.0</v>
      </c>
      <c r="G3020" s="37" t="str">
        <f t="shared" si="143"/>
        <v/>
      </c>
    </row>
    <row r="3021" spans="5:7" x14ac:dyDescent="0.45">
      <c r="E3021" s="32" t="str">
        <f t="shared" si="141"/>
        <v>.0</v>
      </c>
      <c r="F3021" s="32" t="str">
        <f t="shared" si="142"/>
        <v>.0</v>
      </c>
      <c r="G3021" s="37" t="str">
        <f t="shared" si="143"/>
        <v/>
      </c>
    </row>
    <row r="3022" spans="5:7" x14ac:dyDescent="0.45">
      <c r="E3022" s="32" t="str">
        <f t="shared" si="141"/>
        <v>.0</v>
      </c>
      <c r="F3022" s="32" t="str">
        <f t="shared" si="142"/>
        <v>.0</v>
      </c>
      <c r="G3022" s="37" t="str">
        <f t="shared" si="143"/>
        <v/>
      </c>
    </row>
    <row r="3023" spans="5:7" x14ac:dyDescent="0.45">
      <c r="E3023" s="32" t="str">
        <f t="shared" si="141"/>
        <v>.0</v>
      </c>
      <c r="F3023" s="32" t="str">
        <f t="shared" si="142"/>
        <v>.0</v>
      </c>
      <c r="G3023" s="37" t="str">
        <f t="shared" si="143"/>
        <v/>
      </c>
    </row>
    <row r="3024" spans="5:7" x14ac:dyDescent="0.45">
      <c r="E3024" s="32" t="str">
        <f t="shared" si="141"/>
        <v>.0</v>
      </c>
      <c r="F3024" s="32" t="str">
        <f t="shared" si="142"/>
        <v>.0</v>
      </c>
      <c r="G3024" s="37" t="str">
        <f t="shared" si="143"/>
        <v/>
      </c>
    </row>
    <row r="3025" spans="5:7" x14ac:dyDescent="0.45">
      <c r="E3025" s="32" t="str">
        <f t="shared" si="141"/>
        <v>.0</v>
      </c>
      <c r="F3025" s="32" t="str">
        <f t="shared" si="142"/>
        <v>.0</v>
      </c>
      <c r="G3025" s="37" t="str">
        <f t="shared" si="143"/>
        <v/>
      </c>
    </row>
    <row r="3026" spans="5:7" x14ac:dyDescent="0.45">
      <c r="E3026" s="32" t="str">
        <f t="shared" si="141"/>
        <v>.0</v>
      </c>
      <c r="F3026" s="32" t="str">
        <f t="shared" si="142"/>
        <v>.0</v>
      </c>
      <c r="G3026" s="37" t="str">
        <f t="shared" si="143"/>
        <v/>
      </c>
    </row>
    <row r="3027" spans="5:7" x14ac:dyDescent="0.45">
      <c r="E3027" s="32" t="str">
        <f t="shared" si="141"/>
        <v>.0</v>
      </c>
      <c r="F3027" s="32" t="str">
        <f t="shared" si="142"/>
        <v>.0</v>
      </c>
      <c r="G3027" s="37" t="str">
        <f t="shared" si="143"/>
        <v/>
      </c>
    </row>
    <row r="3028" spans="5:7" x14ac:dyDescent="0.45">
      <c r="E3028" s="32" t="str">
        <f t="shared" si="141"/>
        <v>.0</v>
      </c>
      <c r="F3028" s="32" t="str">
        <f t="shared" si="142"/>
        <v>.0</v>
      </c>
      <c r="G3028" s="37" t="str">
        <f t="shared" si="143"/>
        <v/>
      </c>
    </row>
    <row r="3029" spans="5:7" x14ac:dyDescent="0.45">
      <c r="E3029" s="32" t="str">
        <f t="shared" si="141"/>
        <v>.0</v>
      </c>
      <c r="F3029" s="32" t="str">
        <f t="shared" si="142"/>
        <v>.0</v>
      </c>
      <c r="G3029" s="37" t="str">
        <f t="shared" si="143"/>
        <v/>
      </c>
    </row>
    <row r="3030" spans="5:7" x14ac:dyDescent="0.45">
      <c r="E3030" s="32" t="str">
        <f t="shared" si="141"/>
        <v>.0</v>
      </c>
      <c r="F3030" s="32" t="str">
        <f t="shared" si="142"/>
        <v>.0</v>
      </c>
      <c r="G3030" s="37" t="str">
        <f t="shared" si="143"/>
        <v/>
      </c>
    </row>
    <row r="3031" spans="5:7" x14ac:dyDescent="0.45">
      <c r="E3031" s="32" t="str">
        <f t="shared" si="141"/>
        <v>.0</v>
      </c>
      <c r="F3031" s="32" t="str">
        <f t="shared" si="142"/>
        <v>.0</v>
      </c>
      <c r="G3031" s="37" t="str">
        <f t="shared" si="143"/>
        <v/>
      </c>
    </row>
    <row r="3032" spans="5:7" x14ac:dyDescent="0.45">
      <c r="E3032" s="32" t="str">
        <f t="shared" si="141"/>
        <v>.0</v>
      </c>
      <c r="F3032" s="32" t="str">
        <f t="shared" si="142"/>
        <v>.0</v>
      </c>
      <c r="G3032" s="37" t="str">
        <f t="shared" si="143"/>
        <v/>
      </c>
    </row>
    <row r="3033" spans="5:7" x14ac:dyDescent="0.45">
      <c r="E3033" s="32" t="str">
        <f t="shared" si="141"/>
        <v>.0</v>
      </c>
      <c r="F3033" s="32" t="str">
        <f t="shared" si="142"/>
        <v>.0</v>
      </c>
      <c r="G3033" s="37" t="str">
        <f t="shared" si="143"/>
        <v/>
      </c>
    </row>
    <row r="3034" spans="5:7" x14ac:dyDescent="0.45">
      <c r="E3034" s="32" t="str">
        <f t="shared" si="141"/>
        <v>.0</v>
      </c>
      <c r="F3034" s="32" t="str">
        <f t="shared" si="142"/>
        <v>.0</v>
      </c>
      <c r="G3034" s="37" t="str">
        <f t="shared" si="143"/>
        <v/>
      </c>
    </row>
    <row r="3035" spans="5:7" x14ac:dyDescent="0.45">
      <c r="E3035" s="32" t="str">
        <f t="shared" si="141"/>
        <v>.0</v>
      </c>
      <c r="F3035" s="32" t="str">
        <f t="shared" si="142"/>
        <v>.0</v>
      </c>
      <c r="G3035" s="37" t="str">
        <f t="shared" si="143"/>
        <v/>
      </c>
    </row>
    <row r="3036" spans="5:7" x14ac:dyDescent="0.45">
      <c r="E3036" s="32" t="str">
        <f t="shared" si="141"/>
        <v>.0</v>
      </c>
      <c r="F3036" s="32" t="str">
        <f t="shared" si="142"/>
        <v>.0</v>
      </c>
      <c r="G3036" s="37" t="str">
        <f t="shared" si="143"/>
        <v/>
      </c>
    </row>
    <row r="3037" spans="5:7" x14ac:dyDescent="0.45">
      <c r="E3037" s="32" t="str">
        <f t="shared" si="141"/>
        <v>.0</v>
      </c>
      <c r="F3037" s="32" t="str">
        <f t="shared" si="142"/>
        <v>.0</v>
      </c>
      <c r="G3037" s="37" t="str">
        <f t="shared" si="143"/>
        <v/>
      </c>
    </row>
    <row r="3038" spans="5:7" x14ac:dyDescent="0.45">
      <c r="E3038" s="32" t="str">
        <f t="shared" ref="E3038:E3101" si="144">MID(B3038,3,2)&amp;"."&amp;IF(C3038&lt;10,"0"&amp;C3038,C3038)</f>
        <v>.0</v>
      </c>
      <c r="F3038" s="32" t="str">
        <f t="shared" ref="F3038:F3101" si="145">MID(B3038,3,2)&amp;"."&amp;IF(C3038&lt;10,"0"&amp;C3038,C3038)</f>
        <v>.0</v>
      </c>
      <c r="G3038" s="37" t="str">
        <f t="shared" ref="G3038:G3101" si="146">TEXT(D3038,"#,###,")</f>
        <v/>
      </c>
    </row>
    <row r="3039" spans="5:7" x14ac:dyDescent="0.45">
      <c r="E3039" s="32" t="str">
        <f t="shared" si="144"/>
        <v>.0</v>
      </c>
      <c r="F3039" s="32" t="str">
        <f t="shared" si="145"/>
        <v>.0</v>
      </c>
      <c r="G3039" s="37" t="str">
        <f t="shared" si="146"/>
        <v/>
      </c>
    </row>
    <row r="3040" spans="5:7" x14ac:dyDescent="0.45">
      <c r="E3040" s="32" t="str">
        <f t="shared" si="144"/>
        <v>.0</v>
      </c>
      <c r="F3040" s="32" t="str">
        <f t="shared" si="145"/>
        <v>.0</v>
      </c>
      <c r="G3040" s="37" t="str">
        <f t="shared" si="146"/>
        <v/>
      </c>
    </row>
    <row r="3041" spans="5:7" x14ac:dyDescent="0.45">
      <c r="E3041" s="32" t="str">
        <f t="shared" si="144"/>
        <v>.0</v>
      </c>
      <c r="F3041" s="32" t="str">
        <f t="shared" si="145"/>
        <v>.0</v>
      </c>
      <c r="G3041" s="37" t="str">
        <f t="shared" si="146"/>
        <v/>
      </c>
    </row>
    <row r="3042" spans="5:7" x14ac:dyDescent="0.45">
      <c r="E3042" s="32" t="str">
        <f t="shared" si="144"/>
        <v>.0</v>
      </c>
      <c r="F3042" s="32" t="str">
        <f t="shared" si="145"/>
        <v>.0</v>
      </c>
      <c r="G3042" s="37" t="str">
        <f t="shared" si="146"/>
        <v/>
      </c>
    </row>
    <row r="3043" spans="5:7" x14ac:dyDescent="0.45">
      <c r="E3043" s="32" t="str">
        <f t="shared" si="144"/>
        <v>.0</v>
      </c>
      <c r="F3043" s="32" t="str">
        <f t="shared" si="145"/>
        <v>.0</v>
      </c>
      <c r="G3043" s="37" t="str">
        <f t="shared" si="146"/>
        <v/>
      </c>
    </row>
    <row r="3044" spans="5:7" x14ac:dyDescent="0.45">
      <c r="E3044" s="32" t="str">
        <f t="shared" si="144"/>
        <v>.0</v>
      </c>
      <c r="F3044" s="32" t="str">
        <f t="shared" si="145"/>
        <v>.0</v>
      </c>
      <c r="G3044" s="37" t="str">
        <f t="shared" si="146"/>
        <v/>
      </c>
    </row>
    <row r="3045" spans="5:7" x14ac:dyDescent="0.45">
      <c r="E3045" s="32" t="str">
        <f t="shared" si="144"/>
        <v>.0</v>
      </c>
      <c r="F3045" s="32" t="str">
        <f t="shared" si="145"/>
        <v>.0</v>
      </c>
      <c r="G3045" s="37" t="str">
        <f t="shared" si="146"/>
        <v/>
      </c>
    </row>
    <row r="3046" spans="5:7" x14ac:dyDescent="0.45">
      <c r="E3046" s="32" t="str">
        <f t="shared" si="144"/>
        <v>.0</v>
      </c>
      <c r="F3046" s="32" t="str">
        <f t="shared" si="145"/>
        <v>.0</v>
      </c>
      <c r="G3046" s="37" t="str">
        <f t="shared" si="146"/>
        <v/>
      </c>
    </row>
    <row r="3047" spans="5:7" x14ac:dyDescent="0.45">
      <c r="E3047" s="32" t="str">
        <f t="shared" si="144"/>
        <v>.0</v>
      </c>
      <c r="F3047" s="32" t="str">
        <f t="shared" si="145"/>
        <v>.0</v>
      </c>
      <c r="G3047" s="37" t="str">
        <f t="shared" si="146"/>
        <v/>
      </c>
    </row>
    <row r="3048" spans="5:7" x14ac:dyDescent="0.45">
      <c r="E3048" s="32" t="str">
        <f t="shared" si="144"/>
        <v>.0</v>
      </c>
      <c r="F3048" s="32" t="str">
        <f t="shared" si="145"/>
        <v>.0</v>
      </c>
      <c r="G3048" s="37" t="str">
        <f t="shared" si="146"/>
        <v/>
      </c>
    </row>
    <row r="3049" spans="5:7" x14ac:dyDescent="0.45">
      <c r="E3049" s="32" t="str">
        <f t="shared" si="144"/>
        <v>.0</v>
      </c>
      <c r="F3049" s="32" t="str">
        <f t="shared" si="145"/>
        <v>.0</v>
      </c>
      <c r="G3049" s="37" t="str">
        <f t="shared" si="146"/>
        <v/>
      </c>
    </row>
    <row r="3050" spans="5:7" x14ac:dyDescent="0.45">
      <c r="E3050" s="32" t="str">
        <f t="shared" si="144"/>
        <v>.0</v>
      </c>
      <c r="F3050" s="32" t="str">
        <f t="shared" si="145"/>
        <v>.0</v>
      </c>
      <c r="G3050" s="37" t="str">
        <f t="shared" si="146"/>
        <v/>
      </c>
    </row>
    <row r="3051" spans="5:7" x14ac:dyDescent="0.45">
      <c r="E3051" s="32" t="str">
        <f t="shared" si="144"/>
        <v>.0</v>
      </c>
      <c r="F3051" s="32" t="str">
        <f t="shared" si="145"/>
        <v>.0</v>
      </c>
      <c r="G3051" s="37" t="str">
        <f t="shared" si="146"/>
        <v/>
      </c>
    </row>
    <row r="3052" spans="5:7" x14ac:dyDescent="0.45">
      <c r="E3052" s="32" t="str">
        <f t="shared" si="144"/>
        <v>.0</v>
      </c>
      <c r="F3052" s="32" t="str">
        <f t="shared" si="145"/>
        <v>.0</v>
      </c>
      <c r="G3052" s="37" t="str">
        <f t="shared" si="146"/>
        <v/>
      </c>
    </row>
    <row r="3053" spans="5:7" x14ac:dyDescent="0.45">
      <c r="E3053" s="32" t="str">
        <f t="shared" si="144"/>
        <v>.0</v>
      </c>
      <c r="F3053" s="32" t="str">
        <f t="shared" si="145"/>
        <v>.0</v>
      </c>
      <c r="G3053" s="37" t="str">
        <f t="shared" si="146"/>
        <v/>
      </c>
    </row>
    <row r="3054" spans="5:7" x14ac:dyDescent="0.45">
      <c r="E3054" s="32" t="str">
        <f t="shared" si="144"/>
        <v>.0</v>
      </c>
      <c r="F3054" s="32" t="str">
        <f t="shared" si="145"/>
        <v>.0</v>
      </c>
      <c r="G3054" s="37" t="str">
        <f t="shared" si="146"/>
        <v/>
      </c>
    </row>
    <row r="3055" spans="5:7" x14ac:dyDescent="0.45">
      <c r="E3055" s="32" t="str">
        <f t="shared" si="144"/>
        <v>.0</v>
      </c>
      <c r="F3055" s="32" t="str">
        <f t="shared" si="145"/>
        <v>.0</v>
      </c>
      <c r="G3055" s="37" t="str">
        <f t="shared" si="146"/>
        <v/>
      </c>
    </row>
    <row r="3056" spans="5:7" x14ac:dyDescent="0.45">
      <c r="E3056" s="32" t="str">
        <f t="shared" si="144"/>
        <v>.0</v>
      </c>
      <c r="F3056" s="32" t="str">
        <f t="shared" si="145"/>
        <v>.0</v>
      </c>
      <c r="G3056" s="37" t="str">
        <f t="shared" si="146"/>
        <v/>
      </c>
    </row>
    <row r="3057" spans="5:7" x14ac:dyDescent="0.45">
      <c r="E3057" s="32" t="str">
        <f t="shared" si="144"/>
        <v>.0</v>
      </c>
      <c r="F3057" s="32" t="str">
        <f t="shared" si="145"/>
        <v>.0</v>
      </c>
      <c r="G3057" s="37" t="str">
        <f t="shared" si="146"/>
        <v/>
      </c>
    </row>
    <row r="3058" spans="5:7" x14ac:dyDescent="0.45">
      <c r="E3058" s="32" t="str">
        <f t="shared" si="144"/>
        <v>.0</v>
      </c>
      <c r="F3058" s="32" t="str">
        <f t="shared" si="145"/>
        <v>.0</v>
      </c>
      <c r="G3058" s="37" t="str">
        <f t="shared" si="146"/>
        <v/>
      </c>
    </row>
    <row r="3059" spans="5:7" x14ac:dyDescent="0.45">
      <c r="E3059" s="32" t="str">
        <f t="shared" si="144"/>
        <v>.0</v>
      </c>
      <c r="F3059" s="32" t="str">
        <f t="shared" si="145"/>
        <v>.0</v>
      </c>
      <c r="G3059" s="37" t="str">
        <f t="shared" si="146"/>
        <v/>
      </c>
    </row>
    <row r="3060" spans="5:7" x14ac:dyDescent="0.45">
      <c r="E3060" s="32" t="str">
        <f t="shared" si="144"/>
        <v>.0</v>
      </c>
      <c r="F3060" s="32" t="str">
        <f t="shared" si="145"/>
        <v>.0</v>
      </c>
      <c r="G3060" s="37" t="str">
        <f t="shared" si="146"/>
        <v/>
      </c>
    </row>
    <row r="3061" spans="5:7" x14ac:dyDescent="0.45">
      <c r="E3061" s="32" t="str">
        <f t="shared" si="144"/>
        <v>.0</v>
      </c>
      <c r="F3061" s="32" t="str">
        <f t="shared" si="145"/>
        <v>.0</v>
      </c>
      <c r="G3061" s="37" t="str">
        <f t="shared" si="146"/>
        <v/>
      </c>
    </row>
    <row r="3062" spans="5:7" x14ac:dyDescent="0.45">
      <c r="E3062" s="32" t="str">
        <f t="shared" si="144"/>
        <v>.0</v>
      </c>
      <c r="F3062" s="32" t="str">
        <f t="shared" si="145"/>
        <v>.0</v>
      </c>
      <c r="G3062" s="37" t="str">
        <f t="shared" si="146"/>
        <v/>
      </c>
    </row>
    <row r="3063" spans="5:7" x14ac:dyDescent="0.45">
      <c r="E3063" s="32" t="str">
        <f t="shared" si="144"/>
        <v>.0</v>
      </c>
      <c r="F3063" s="32" t="str">
        <f t="shared" si="145"/>
        <v>.0</v>
      </c>
      <c r="G3063" s="37" t="str">
        <f t="shared" si="146"/>
        <v/>
      </c>
    </row>
    <row r="3064" spans="5:7" x14ac:dyDescent="0.45">
      <c r="E3064" s="32" t="str">
        <f t="shared" si="144"/>
        <v>.0</v>
      </c>
      <c r="F3064" s="32" t="str">
        <f t="shared" si="145"/>
        <v>.0</v>
      </c>
      <c r="G3064" s="37" t="str">
        <f t="shared" si="146"/>
        <v/>
      </c>
    </row>
    <row r="3065" spans="5:7" x14ac:dyDescent="0.45">
      <c r="E3065" s="32" t="str">
        <f t="shared" si="144"/>
        <v>.0</v>
      </c>
      <c r="F3065" s="32" t="str">
        <f t="shared" si="145"/>
        <v>.0</v>
      </c>
      <c r="G3065" s="37" t="str">
        <f t="shared" si="146"/>
        <v/>
      </c>
    </row>
    <row r="3066" spans="5:7" x14ac:dyDescent="0.45">
      <c r="E3066" s="32" t="str">
        <f t="shared" si="144"/>
        <v>.0</v>
      </c>
      <c r="F3066" s="32" t="str">
        <f t="shared" si="145"/>
        <v>.0</v>
      </c>
      <c r="G3066" s="37" t="str">
        <f t="shared" si="146"/>
        <v/>
      </c>
    </row>
    <row r="3067" spans="5:7" x14ac:dyDescent="0.45">
      <c r="E3067" s="32" t="str">
        <f t="shared" si="144"/>
        <v>.0</v>
      </c>
      <c r="F3067" s="32" t="str">
        <f t="shared" si="145"/>
        <v>.0</v>
      </c>
      <c r="G3067" s="37" t="str">
        <f t="shared" si="146"/>
        <v/>
      </c>
    </row>
    <row r="3068" spans="5:7" x14ac:dyDescent="0.45">
      <c r="E3068" s="32" t="str">
        <f t="shared" si="144"/>
        <v>.0</v>
      </c>
      <c r="F3068" s="32" t="str">
        <f t="shared" si="145"/>
        <v>.0</v>
      </c>
      <c r="G3068" s="37" t="str">
        <f t="shared" si="146"/>
        <v/>
      </c>
    </row>
    <row r="3069" spans="5:7" x14ac:dyDescent="0.45">
      <c r="E3069" s="32" t="str">
        <f t="shared" si="144"/>
        <v>.0</v>
      </c>
      <c r="F3069" s="32" t="str">
        <f t="shared" si="145"/>
        <v>.0</v>
      </c>
      <c r="G3069" s="37" t="str">
        <f t="shared" si="146"/>
        <v/>
      </c>
    </row>
    <row r="3070" spans="5:7" x14ac:dyDescent="0.45">
      <c r="E3070" s="32" t="str">
        <f t="shared" si="144"/>
        <v>.0</v>
      </c>
      <c r="F3070" s="32" t="str">
        <f t="shared" si="145"/>
        <v>.0</v>
      </c>
      <c r="G3070" s="37" t="str">
        <f t="shared" si="146"/>
        <v/>
      </c>
    </row>
    <row r="3071" spans="5:7" x14ac:dyDescent="0.45">
      <c r="E3071" s="32" t="str">
        <f t="shared" si="144"/>
        <v>.0</v>
      </c>
      <c r="F3071" s="32" t="str">
        <f t="shared" si="145"/>
        <v>.0</v>
      </c>
      <c r="G3071" s="37" t="str">
        <f t="shared" si="146"/>
        <v/>
      </c>
    </row>
    <row r="3072" spans="5:7" x14ac:dyDescent="0.45">
      <c r="E3072" s="32" t="str">
        <f t="shared" si="144"/>
        <v>.0</v>
      </c>
      <c r="F3072" s="32" t="str">
        <f t="shared" si="145"/>
        <v>.0</v>
      </c>
      <c r="G3072" s="37" t="str">
        <f t="shared" si="146"/>
        <v/>
      </c>
    </row>
    <row r="3073" spans="5:7" x14ac:dyDescent="0.45">
      <c r="E3073" s="32" t="str">
        <f t="shared" si="144"/>
        <v>.0</v>
      </c>
      <c r="F3073" s="32" t="str">
        <f t="shared" si="145"/>
        <v>.0</v>
      </c>
      <c r="G3073" s="37" t="str">
        <f t="shared" si="146"/>
        <v/>
      </c>
    </row>
    <row r="3074" spans="5:7" x14ac:dyDescent="0.45">
      <c r="E3074" s="32" t="str">
        <f t="shared" si="144"/>
        <v>.0</v>
      </c>
      <c r="F3074" s="32" t="str">
        <f t="shared" si="145"/>
        <v>.0</v>
      </c>
      <c r="G3074" s="37" t="str">
        <f t="shared" si="146"/>
        <v/>
      </c>
    </row>
    <row r="3075" spans="5:7" x14ac:dyDescent="0.45">
      <c r="E3075" s="32" t="str">
        <f t="shared" si="144"/>
        <v>.0</v>
      </c>
      <c r="F3075" s="32" t="str">
        <f t="shared" si="145"/>
        <v>.0</v>
      </c>
      <c r="G3075" s="37" t="str">
        <f t="shared" si="146"/>
        <v/>
      </c>
    </row>
    <row r="3076" spans="5:7" x14ac:dyDescent="0.45">
      <c r="E3076" s="32" t="str">
        <f t="shared" si="144"/>
        <v>.0</v>
      </c>
      <c r="F3076" s="32" t="str">
        <f t="shared" si="145"/>
        <v>.0</v>
      </c>
      <c r="G3076" s="37" t="str">
        <f t="shared" si="146"/>
        <v/>
      </c>
    </row>
    <row r="3077" spans="5:7" x14ac:dyDescent="0.45">
      <c r="E3077" s="32" t="str">
        <f t="shared" si="144"/>
        <v>.0</v>
      </c>
      <c r="F3077" s="32" t="str">
        <f t="shared" si="145"/>
        <v>.0</v>
      </c>
      <c r="G3077" s="37" t="str">
        <f t="shared" si="146"/>
        <v/>
      </c>
    </row>
    <row r="3078" spans="5:7" x14ac:dyDescent="0.45">
      <c r="E3078" s="32" t="str">
        <f t="shared" si="144"/>
        <v>.0</v>
      </c>
      <c r="F3078" s="32" t="str">
        <f t="shared" si="145"/>
        <v>.0</v>
      </c>
      <c r="G3078" s="37" t="str">
        <f t="shared" si="146"/>
        <v/>
      </c>
    </row>
    <row r="3079" spans="5:7" x14ac:dyDescent="0.45">
      <c r="E3079" s="32" t="str">
        <f t="shared" si="144"/>
        <v>.0</v>
      </c>
      <c r="F3079" s="32" t="str">
        <f t="shared" si="145"/>
        <v>.0</v>
      </c>
      <c r="G3079" s="37" t="str">
        <f t="shared" si="146"/>
        <v/>
      </c>
    </row>
    <row r="3080" spans="5:7" x14ac:dyDescent="0.45">
      <c r="E3080" s="32" t="str">
        <f t="shared" si="144"/>
        <v>.0</v>
      </c>
      <c r="F3080" s="32" t="str">
        <f t="shared" si="145"/>
        <v>.0</v>
      </c>
      <c r="G3080" s="37" t="str">
        <f t="shared" si="146"/>
        <v/>
      </c>
    </row>
    <row r="3081" spans="5:7" x14ac:dyDescent="0.45">
      <c r="E3081" s="32" t="str">
        <f t="shared" si="144"/>
        <v>.0</v>
      </c>
      <c r="F3081" s="32" t="str">
        <f t="shared" si="145"/>
        <v>.0</v>
      </c>
      <c r="G3081" s="37" t="str">
        <f t="shared" si="146"/>
        <v/>
      </c>
    </row>
    <row r="3082" spans="5:7" x14ac:dyDescent="0.45">
      <c r="E3082" s="32" t="str">
        <f t="shared" si="144"/>
        <v>.0</v>
      </c>
      <c r="F3082" s="32" t="str">
        <f t="shared" si="145"/>
        <v>.0</v>
      </c>
      <c r="G3082" s="37" t="str">
        <f t="shared" si="146"/>
        <v/>
      </c>
    </row>
    <row r="3083" spans="5:7" x14ac:dyDescent="0.45">
      <c r="E3083" s="32" t="str">
        <f t="shared" si="144"/>
        <v>.0</v>
      </c>
      <c r="F3083" s="32" t="str">
        <f t="shared" si="145"/>
        <v>.0</v>
      </c>
      <c r="G3083" s="37" t="str">
        <f t="shared" si="146"/>
        <v/>
      </c>
    </row>
    <row r="3084" spans="5:7" x14ac:dyDescent="0.45">
      <c r="E3084" s="32" t="str">
        <f t="shared" si="144"/>
        <v>.0</v>
      </c>
      <c r="F3084" s="32" t="str">
        <f t="shared" si="145"/>
        <v>.0</v>
      </c>
      <c r="G3084" s="37" t="str">
        <f t="shared" si="146"/>
        <v/>
      </c>
    </row>
    <row r="3085" spans="5:7" x14ac:dyDescent="0.45">
      <c r="E3085" s="32" t="str">
        <f t="shared" si="144"/>
        <v>.0</v>
      </c>
      <c r="F3085" s="32" t="str">
        <f t="shared" si="145"/>
        <v>.0</v>
      </c>
      <c r="G3085" s="37" t="str">
        <f t="shared" si="146"/>
        <v/>
      </c>
    </row>
    <row r="3086" spans="5:7" x14ac:dyDescent="0.45">
      <c r="E3086" s="32" t="str">
        <f t="shared" si="144"/>
        <v>.0</v>
      </c>
      <c r="F3086" s="32" t="str">
        <f t="shared" si="145"/>
        <v>.0</v>
      </c>
      <c r="G3086" s="37" t="str">
        <f t="shared" si="146"/>
        <v/>
      </c>
    </row>
    <row r="3087" spans="5:7" x14ac:dyDescent="0.45">
      <c r="E3087" s="32" t="str">
        <f t="shared" si="144"/>
        <v>.0</v>
      </c>
      <c r="F3087" s="32" t="str">
        <f t="shared" si="145"/>
        <v>.0</v>
      </c>
      <c r="G3087" s="37" t="str">
        <f t="shared" si="146"/>
        <v/>
      </c>
    </row>
    <row r="3088" spans="5:7" x14ac:dyDescent="0.45">
      <c r="E3088" s="32" t="str">
        <f t="shared" si="144"/>
        <v>.0</v>
      </c>
      <c r="F3088" s="32" t="str">
        <f t="shared" si="145"/>
        <v>.0</v>
      </c>
      <c r="G3088" s="37" t="str">
        <f t="shared" si="146"/>
        <v/>
      </c>
    </row>
    <row r="3089" spans="5:7" x14ac:dyDescent="0.45">
      <c r="E3089" s="32" t="str">
        <f t="shared" si="144"/>
        <v>.0</v>
      </c>
      <c r="F3089" s="32" t="str">
        <f t="shared" si="145"/>
        <v>.0</v>
      </c>
      <c r="G3089" s="37" t="str">
        <f t="shared" si="146"/>
        <v/>
      </c>
    </row>
    <row r="3090" spans="5:7" x14ac:dyDescent="0.45">
      <c r="E3090" s="32" t="str">
        <f t="shared" si="144"/>
        <v>.0</v>
      </c>
      <c r="F3090" s="32" t="str">
        <f t="shared" si="145"/>
        <v>.0</v>
      </c>
      <c r="G3090" s="37" t="str">
        <f t="shared" si="146"/>
        <v/>
      </c>
    </row>
    <row r="3091" spans="5:7" x14ac:dyDescent="0.45">
      <c r="E3091" s="32" t="str">
        <f t="shared" si="144"/>
        <v>.0</v>
      </c>
      <c r="F3091" s="32" t="str">
        <f t="shared" si="145"/>
        <v>.0</v>
      </c>
      <c r="G3091" s="37" t="str">
        <f t="shared" si="146"/>
        <v/>
      </c>
    </row>
    <row r="3092" spans="5:7" x14ac:dyDescent="0.45">
      <c r="E3092" s="32" t="str">
        <f t="shared" si="144"/>
        <v>.0</v>
      </c>
      <c r="F3092" s="32" t="str">
        <f t="shared" si="145"/>
        <v>.0</v>
      </c>
      <c r="G3092" s="37" t="str">
        <f t="shared" si="146"/>
        <v/>
      </c>
    </row>
    <row r="3093" spans="5:7" x14ac:dyDescent="0.45">
      <c r="E3093" s="32" t="str">
        <f t="shared" si="144"/>
        <v>.0</v>
      </c>
      <c r="F3093" s="32" t="str">
        <f t="shared" si="145"/>
        <v>.0</v>
      </c>
      <c r="G3093" s="37" t="str">
        <f t="shared" si="146"/>
        <v/>
      </c>
    </row>
    <row r="3094" spans="5:7" x14ac:dyDescent="0.45">
      <c r="E3094" s="32" t="str">
        <f t="shared" si="144"/>
        <v>.0</v>
      </c>
      <c r="F3094" s="32" t="str">
        <f t="shared" si="145"/>
        <v>.0</v>
      </c>
      <c r="G3094" s="37" t="str">
        <f t="shared" si="146"/>
        <v/>
      </c>
    </row>
    <row r="3095" spans="5:7" x14ac:dyDescent="0.45">
      <c r="E3095" s="32" t="str">
        <f t="shared" si="144"/>
        <v>.0</v>
      </c>
      <c r="F3095" s="32" t="str">
        <f t="shared" si="145"/>
        <v>.0</v>
      </c>
      <c r="G3095" s="37" t="str">
        <f t="shared" si="146"/>
        <v/>
      </c>
    </row>
    <row r="3096" spans="5:7" x14ac:dyDescent="0.45">
      <c r="E3096" s="32" t="str">
        <f t="shared" si="144"/>
        <v>.0</v>
      </c>
      <c r="F3096" s="32" t="str">
        <f t="shared" si="145"/>
        <v>.0</v>
      </c>
      <c r="G3096" s="37" t="str">
        <f t="shared" si="146"/>
        <v/>
      </c>
    </row>
    <row r="3097" spans="5:7" x14ac:dyDescent="0.45">
      <c r="E3097" s="32" t="str">
        <f t="shared" si="144"/>
        <v>.0</v>
      </c>
      <c r="F3097" s="32" t="str">
        <f t="shared" si="145"/>
        <v>.0</v>
      </c>
      <c r="G3097" s="37" t="str">
        <f t="shared" si="146"/>
        <v/>
      </c>
    </row>
    <row r="3098" spans="5:7" x14ac:dyDescent="0.45">
      <c r="E3098" s="32" t="str">
        <f t="shared" si="144"/>
        <v>.0</v>
      </c>
      <c r="F3098" s="32" t="str">
        <f t="shared" si="145"/>
        <v>.0</v>
      </c>
      <c r="G3098" s="37" t="str">
        <f t="shared" si="146"/>
        <v/>
      </c>
    </row>
    <row r="3099" spans="5:7" x14ac:dyDescent="0.45">
      <c r="E3099" s="32" t="str">
        <f t="shared" si="144"/>
        <v>.0</v>
      </c>
      <c r="F3099" s="32" t="str">
        <f t="shared" si="145"/>
        <v>.0</v>
      </c>
      <c r="G3099" s="37" t="str">
        <f t="shared" si="146"/>
        <v/>
      </c>
    </row>
    <row r="3100" spans="5:7" x14ac:dyDescent="0.45">
      <c r="E3100" s="32" t="str">
        <f t="shared" si="144"/>
        <v>.0</v>
      </c>
      <c r="F3100" s="32" t="str">
        <f t="shared" si="145"/>
        <v>.0</v>
      </c>
      <c r="G3100" s="37" t="str">
        <f t="shared" si="146"/>
        <v/>
      </c>
    </row>
    <row r="3101" spans="5:7" x14ac:dyDescent="0.45">
      <c r="E3101" s="32" t="str">
        <f t="shared" si="144"/>
        <v>.0</v>
      </c>
      <c r="F3101" s="32" t="str">
        <f t="shared" si="145"/>
        <v>.0</v>
      </c>
      <c r="G3101" s="37" t="str">
        <f t="shared" si="146"/>
        <v/>
      </c>
    </row>
    <row r="3102" spans="5:7" x14ac:dyDescent="0.45">
      <c r="E3102" s="32" t="str">
        <f t="shared" ref="E3102:E3165" si="147">MID(B3102,3,2)&amp;"."&amp;IF(C3102&lt;10,"0"&amp;C3102,C3102)</f>
        <v>.0</v>
      </c>
      <c r="F3102" s="32" t="str">
        <f t="shared" ref="F3102:F3165" si="148">MID(B3102,3,2)&amp;"."&amp;IF(C3102&lt;10,"0"&amp;C3102,C3102)</f>
        <v>.0</v>
      </c>
      <c r="G3102" s="37" t="str">
        <f t="shared" ref="G3102:G3165" si="149">TEXT(D3102,"#,###,")</f>
        <v/>
      </c>
    </row>
    <row r="3103" spans="5:7" x14ac:dyDescent="0.45">
      <c r="E3103" s="32" t="str">
        <f t="shared" si="147"/>
        <v>.0</v>
      </c>
      <c r="F3103" s="32" t="str">
        <f t="shared" si="148"/>
        <v>.0</v>
      </c>
      <c r="G3103" s="37" t="str">
        <f t="shared" si="149"/>
        <v/>
      </c>
    </row>
    <row r="3104" spans="5:7" x14ac:dyDescent="0.45">
      <c r="E3104" s="32" t="str">
        <f t="shared" si="147"/>
        <v>.0</v>
      </c>
      <c r="F3104" s="32" t="str">
        <f t="shared" si="148"/>
        <v>.0</v>
      </c>
      <c r="G3104" s="37" t="str">
        <f t="shared" si="149"/>
        <v/>
      </c>
    </row>
    <row r="3105" spans="5:7" x14ac:dyDescent="0.45">
      <c r="E3105" s="32" t="str">
        <f t="shared" si="147"/>
        <v>.0</v>
      </c>
      <c r="F3105" s="32" t="str">
        <f t="shared" si="148"/>
        <v>.0</v>
      </c>
      <c r="G3105" s="37" t="str">
        <f t="shared" si="149"/>
        <v/>
      </c>
    </row>
    <row r="3106" spans="5:7" x14ac:dyDescent="0.45">
      <c r="E3106" s="32" t="str">
        <f t="shared" si="147"/>
        <v>.0</v>
      </c>
      <c r="F3106" s="32" t="str">
        <f t="shared" si="148"/>
        <v>.0</v>
      </c>
      <c r="G3106" s="37" t="str">
        <f t="shared" si="149"/>
        <v/>
      </c>
    </row>
    <row r="3107" spans="5:7" x14ac:dyDescent="0.45">
      <c r="E3107" s="32" t="str">
        <f t="shared" si="147"/>
        <v>.0</v>
      </c>
      <c r="F3107" s="32" t="str">
        <f t="shared" si="148"/>
        <v>.0</v>
      </c>
      <c r="G3107" s="37" t="str">
        <f t="shared" si="149"/>
        <v/>
      </c>
    </row>
    <row r="3108" spans="5:7" x14ac:dyDescent="0.45">
      <c r="E3108" s="32" t="str">
        <f t="shared" si="147"/>
        <v>.0</v>
      </c>
      <c r="F3108" s="32" t="str">
        <f t="shared" si="148"/>
        <v>.0</v>
      </c>
      <c r="G3108" s="37" t="str">
        <f t="shared" si="149"/>
        <v/>
      </c>
    </row>
    <row r="3109" spans="5:7" x14ac:dyDescent="0.45">
      <c r="E3109" s="32" t="str">
        <f t="shared" si="147"/>
        <v>.0</v>
      </c>
      <c r="F3109" s="32" t="str">
        <f t="shared" si="148"/>
        <v>.0</v>
      </c>
      <c r="G3109" s="37" t="str">
        <f t="shared" si="149"/>
        <v/>
      </c>
    </row>
    <row r="3110" spans="5:7" x14ac:dyDescent="0.45">
      <c r="E3110" s="32" t="str">
        <f t="shared" si="147"/>
        <v>.0</v>
      </c>
      <c r="F3110" s="32" t="str">
        <f t="shared" si="148"/>
        <v>.0</v>
      </c>
      <c r="G3110" s="37" t="str">
        <f t="shared" si="149"/>
        <v/>
      </c>
    </row>
    <row r="3111" spans="5:7" x14ac:dyDescent="0.45">
      <c r="E3111" s="32" t="str">
        <f t="shared" si="147"/>
        <v>.0</v>
      </c>
      <c r="F3111" s="32" t="str">
        <f t="shared" si="148"/>
        <v>.0</v>
      </c>
      <c r="G3111" s="37" t="str">
        <f t="shared" si="149"/>
        <v/>
      </c>
    </row>
    <row r="3112" spans="5:7" x14ac:dyDescent="0.45">
      <c r="E3112" s="32" t="str">
        <f t="shared" si="147"/>
        <v>.0</v>
      </c>
      <c r="F3112" s="32" t="str">
        <f t="shared" si="148"/>
        <v>.0</v>
      </c>
      <c r="G3112" s="37" t="str">
        <f t="shared" si="149"/>
        <v/>
      </c>
    </row>
    <row r="3113" spans="5:7" x14ac:dyDescent="0.45">
      <c r="E3113" s="32" t="str">
        <f t="shared" si="147"/>
        <v>.0</v>
      </c>
      <c r="F3113" s="32" t="str">
        <f t="shared" si="148"/>
        <v>.0</v>
      </c>
      <c r="G3113" s="37" t="str">
        <f t="shared" si="149"/>
        <v/>
      </c>
    </row>
    <row r="3114" spans="5:7" x14ac:dyDescent="0.45">
      <c r="E3114" s="32" t="str">
        <f t="shared" si="147"/>
        <v>.0</v>
      </c>
      <c r="F3114" s="32" t="str">
        <f t="shared" si="148"/>
        <v>.0</v>
      </c>
      <c r="G3114" s="37" t="str">
        <f t="shared" si="149"/>
        <v/>
      </c>
    </row>
    <row r="3115" spans="5:7" x14ac:dyDescent="0.45">
      <c r="E3115" s="32" t="str">
        <f t="shared" si="147"/>
        <v>.0</v>
      </c>
      <c r="F3115" s="32" t="str">
        <f t="shared" si="148"/>
        <v>.0</v>
      </c>
      <c r="G3115" s="37" t="str">
        <f t="shared" si="149"/>
        <v/>
      </c>
    </row>
    <row r="3116" spans="5:7" x14ac:dyDescent="0.45">
      <c r="E3116" s="32" t="str">
        <f t="shared" si="147"/>
        <v>.0</v>
      </c>
      <c r="F3116" s="32" t="str">
        <f t="shared" si="148"/>
        <v>.0</v>
      </c>
      <c r="G3116" s="37" t="str">
        <f t="shared" si="149"/>
        <v/>
      </c>
    </row>
    <row r="3117" spans="5:7" x14ac:dyDescent="0.45">
      <c r="E3117" s="32" t="str">
        <f t="shared" si="147"/>
        <v>.0</v>
      </c>
      <c r="F3117" s="32" t="str">
        <f t="shared" si="148"/>
        <v>.0</v>
      </c>
      <c r="G3117" s="37" t="str">
        <f t="shared" si="149"/>
        <v/>
      </c>
    </row>
    <row r="3118" spans="5:7" x14ac:dyDescent="0.45">
      <c r="E3118" s="32" t="str">
        <f t="shared" si="147"/>
        <v>.0</v>
      </c>
      <c r="F3118" s="32" t="str">
        <f t="shared" si="148"/>
        <v>.0</v>
      </c>
      <c r="G3118" s="37" t="str">
        <f t="shared" si="149"/>
        <v/>
      </c>
    </row>
    <row r="3119" spans="5:7" x14ac:dyDescent="0.45">
      <c r="E3119" s="32" t="str">
        <f t="shared" si="147"/>
        <v>.0</v>
      </c>
      <c r="F3119" s="32" t="str">
        <f t="shared" si="148"/>
        <v>.0</v>
      </c>
      <c r="G3119" s="37" t="str">
        <f t="shared" si="149"/>
        <v/>
      </c>
    </row>
    <row r="3120" spans="5:7" x14ac:dyDescent="0.45">
      <c r="E3120" s="32" t="str">
        <f t="shared" si="147"/>
        <v>.0</v>
      </c>
      <c r="F3120" s="32" t="str">
        <f t="shared" si="148"/>
        <v>.0</v>
      </c>
      <c r="G3120" s="37" t="str">
        <f t="shared" si="149"/>
        <v/>
      </c>
    </row>
    <row r="3121" spans="5:7" x14ac:dyDescent="0.45">
      <c r="E3121" s="32" t="str">
        <f t="shared" si="147"/>
        <v>.0</v>
      </c>
      <c r="F3121" s="32" t="str">
        <f t="shared" si="148"/>
        <v>.0</v>
      </c>
      <c r="G3121" s="37" t="str">
        <f t="shared" si="149"/>
        <v/>
      </c>
    </row>
    <row r="3122" spans="5:7" x14ac:dyDescent="0.45">
      <c r="E3122" s="32" t="str">
        <f t="shared" si="147"/>
        <v>.0</v>
      </c>
      <c r="F3122" s="32" t="str">
        <f t="shared" si="148"/>
        <v>.0</v>
      </c>
      <c r="G3122" s="37" t="str">
        <f t="shared" si="149"/>
        <v/>
      </c>
    </row>
    <row r="3123" spans="5:7" x14ac:dyDescent="0.45">
      <c r="E3123" s="32" t="str">
        <f t="shared" si="147"/>
        <v>.0</v>
      </c>
      <c r="F3123" s="32" t="str">
        <f t="shared" si="148"/>
        <v>.0</v>
      </c>
      <c r="G3123" s="37" t="str">
        <f t="shared" si="149"/>
        <v/>
      </c>
    </row>
    <row r="3124" spans="5:7" x14ac:dyDescent="0.45">
      <c r="E3124" s="32" t="str">
        <f t="shared" si="147"/>
        <v>.0</v>
      </c>
      <c r="F3124" s="32" t="str">
        <f t="shared" si="148"/>
        <v>.0</v>
      </c>
      <c r="G3124" s="37" t="str">
        <f t="shared" si="149"/>
        <v/>
      </c>
    </row>
    <row r="3125" spans="5:7" x14ac:dyDescent="0.45">
      <c r="E3125" s="32" t="str">
        <f t="shared" si="147"/>
        <v>.0</v>
      </c>
      <c r="F3125" s="32" t="str">
        <f t="shared" si="148"/>
        <v>.0</v>
      </c>
      <c r="G3125" s="37" t="str">
        <f t="shared" si="149"/>
        <v/>
      </c>
    </row>
    <row r="3126" spans="5:7" x14ac:dyDescent="0.45">
      <c r="E3126" s="32" t="str">
        <f t="shared" si="147"/>
        <v>.0</v>
      </c>
      <c r="F3126" s="32" t="str">
        <f t="shared" si="148"/>
        <v>.0</v>
      </c>
      <c r="G3126" s="37" t="str">
        <f t="shared" si="149"/>
        <v/>
      </c>
    </row>
    <row r="3127" spans="5:7" x14ac:dyDescent="0.45">
      <c r="E3127" s="32" t="str">
        <f t="shared" si="147"/>
        <v>.0</v>
      </c>
      <c r="F3127" s="32" t="str">
        <f t="shared" si="148"/>
        <v>.0</v>
      </c>
      <c r="G3127" s="37" t="str">
        <f t="shared" si="149"/>
        <v/>
      </c>
    </row>
    <row r="3128" spans="5:7" x14ac:dyDescent="0.45">
      <c r="E3128" s="32" t="str">
        <f t="shared" si="147"/>
        <v>.0</v>
      </c>
      <c r="F3128" s="32" t="str">
        <f t="shared" si="148"/>
        <v>.0</v>
      </c>
      <c r="G3128" s="37" t="str">
        <f t="shared" si="149"/>
        <v/>
      </c>
    </row>
    <row r="3129" spans="5:7" x14ac:dyDescent="0.45">
      <c r="E3129" s="32" t="str">
        <f t="shared" si="147"/>
        <v>.0</v>
      </c>
      <c r="F3129" s="32" t="str">
        <f t="shared" si="148"/>
        <v>.0</v>
      </c>
      <c r="G3129" s="37" t="str">
        <f t="shared" si="149"/>
        <v/>
      </c>
    </row>
    <row r="3130" spans="5:7" x14ac:dyDescent="0.45">
      <c r="E3130" s="32" t="str">
        <f t="shared" si="147"/>
        <v>.0</v>
      </c>
      <c r="F3130" s="32" t="str">
        <f t="shared" si="148"/>
        <v>.0</v>
      </c>
      <c r="G3130" s="37" t="str">
        <f t="shared" si="149"/>
        <v/>
      </c>
    </row>
    <row r="3131" spans="5:7" x14ac:dyDescent="0.45">
      <c r="E3131" s="32" t="str">
        <f t="shared" si="147"/>
        <v>.0</v>
      </c>
      <c r="F3131" s="32" t="str">
        <f t="shared" si="148"/>
        <v>.0</v>
      </c>
      <c r="G3131" s="37" t="str">
        <f t="shared" si="149"/>
        <v/>
      </c>
    </row>
    <row r="3132" spans="5:7" x14ac:dyDescent="0.45">
      <c r="E3132" s="32" t="str">
        <f t="shared" si="147"/>
        <v>.0</v>
      </c>
      <c r="F3132" s="32" t="str">
        <f t="shared" si="148"/>
        <v>.0</v>
      </c>
      <c r="G3132" s="37" t="str">
        <f t="shared" si="149"/>
        <v/>
      </c>
    </row>
    <row r="3133" spans="5:7" x14ac:dyDescent="0.45">
      <c r="E3133" s="32" t="str">
        <f t="shared" si="147"/>
        <v>.0</v>
      </c>
      <c r="F3133" s="32" t="str">
        <f t="shared" si="148"/>
        <v>.0</v>
      </c>
      <c r="G3133" s="37" t="str">
        <f t="shared" si="149"/>
        <v/>
      </c>
    </row>
    <row r="3134" spans="5:7" x14ac:dyDescent="0.45">
      <c r="E3134" s="32" t="str">
        <f t="shared" si="147"/>
        <v>.0</v>
      </c>
      <c r="F3134" s="32" t="str">
        <f t="shared" si="148"/>
        <v>.0</v>
      </c>
      <c r="G3134" s="37" t="str">
        <f t="shared" si="149"/>
        <v/>
      </c>
    </row>
    <row r="3135" spans="5:7" x14ac:dyDescent="0.45">
      <c r="E3135" s="32" t="str">
        <f t="shared" si="147"/>
        <v>.0</v>
      </c>
      <c r="F3135" s="32" t="str">
        <f t="shared" si="148"/>
        <v>.0</v>
      </c>
      <c r="G3135" s="37" t="str">
        <f t="shared" si="149"/>
        <v/>
      </c>
    </row>
    <row r="3136" spans="5:7" x14ac:dyDescent="0.45">
      <c r="E3136" s="32" t="str">
        <f t="shared" si="147"/>
        <v>.0</v>
      </c>
      <c r="F3136" s="32" t="str">
        <f t="shared" si="148"/>
        <v>.0</v>
      </c>
      <c r="G3136" s="37" t="str">
        <f t="shared" si="149"/>
        <v/>
      </c>
    </row>
    <row r="3137" spans="5:7" x14ac:dyDescent="0.45">
      <c r="E3137" s="32" t="str">
        <f t="shared" si="147"/>
        <v>.0</v>
      </c>
      <c r="F3137" s="32" t="str">
        <f t="shared" si="148"/>
        <v>.0</v>
      </c>
      <c r="G3137" s="37" t="str">
        <f t="shared" si="149"/>
        <v/>
      </c>
    </row>
    <row r="3138" spans="5:7" x14ac:dyDescent="0.45">
      <c r="E3138" s="32" t="str">
        <f t="shared" si="147"/>
        <v>.0</v>
      </c>
      <c r="F3138" s="32" t="str">
        <f t="shared" si="148"/>
        <v>.0</v>
      </c>
      <c r="G3138" s="37" t="str">
        <f t="shared" si="149"/>
        <v/>
      </c>
    </row>
    <row r="3139" spans="5:7" x14ac:dyDescent="0.45">
      <c r="E3139" s="32" t="str">
        <f t="shared" si="147"/>
        <v>.0</v>
      </c>
      <c r="F3139" s="32" t="str">
        <f t="shared" si="148"/>
        <v>.0</v>
      </c>
      <c r="G3139" s="37" t="str">
        <f t="shared" si="149"/>
        <v/>
      </c>
    </row>
    <row r="3140" spans="5:7" x14ac:dyDescent="0.45">
      <c r="E3140" s="32" t="str">
        <f t="shared" si="147"/>
        <v>.0</v>
      </c>
      <c r="F3140" s="32" t="str">
        <f t="shared" si="148"/>
        <v>.0</v>
      </c>
      <c r="G3140" s="37" t="str">
        <f t="shared" si="149"/>
        <v/>
      </c>
    </row>
    <row r="3141" spans="5:7" x14ac:dyDescent="0.45">
      <c r="E3141" s="32" t="str">
        <f t="shared" si="147"/>
        <v>.0</v>
      </c>
      <c r="F3141" s="32" t="str">
        <f t="shared" si="148"/>
        <v>.0</v>
      </c>
      <c r="G3141" s="37" t="str">
        <f t="shared" si="149"/>
        <v/>
      </c>
    </row>
    <row r="3142" spans="5:7" x14ac:dyDescent="0.45">
      <c r="E3142" s="32" t="str">
        <f t="shared" si="147"/>
        <v>.0</v>
      </c>
      <c r="F3142" s="32" t="str">
        <f t="shared" si="148"/>
        <v>.0</v>
      </c>
      <c r="G3142" s="37" t="str">
        <f t="shared" si="149"/>
        <v/>
      </c>
    </row>
    <row r="3143" spans="5:7" x14ac:dyDescent="0.45">
      <c r="E3143" s="32" t="str">
        <f t="shared" si="147"/>
        <v>.0</v>
      </c>
      <c r="F3143" s="32" t="str">
        <f t="shared" si="148"/>
        <v>.0</v>
      </c>
      <c r="G3143" s="37" t="str">
        <f t="shared" si="149"/>
        <v/>
      </c>
    </row>
    <row r="3144" spans="5:7" x14ac:dyDescent="0.45">
      <c r="E3144" s="32" t="str">
        <f t="shared" si="147"/>
        <v>.0</v>
      </c>
      <c r="F3144" s="32" t="str">
        <f t="shared" si="148"/>
        <v>.0</v>
      </c>
      <c r="G3144" s="37" t="str">
        <f t="shared" si="149"/>
        <v/>
      </c>
    </row>
    <row r="3145" spans="5:7" x14ac:dyDescent="0.45">
      <c r="E3145" s="32" t="str">
        <f t="shared" si="147"/>
        <v>.0</v>
      </c>
      <c r="F3145" s="32" t="str">
        <f t="shared" si="148"/>
        <v>.0</v>
      </c>
      <c r="G3145" s="37" t="str">
        <f t="shared" si="149"/>
        <v/>
      </c>
    </row>
    <row r="3146" spans="5:7" x14ac:dyDescent="0.45">
      <c r="E3146" s="32" t="str">
        <f t="shared" si="147"/>
        <v>.0</v>
      </c>
      <c r="F3146" s="32" t="str">
        <f t="shared" si="148"/>
        <v>.0</v>
      </c>
      <c r="G3146" s="37" t="str">
        <f t="shared" si="149"/>
        <v/>
      </c>
    </row>
    <row r="3147" spans="5:7" x14ac:dyDescent="0.45">
      <c r="E3147" s="32" t="str">
        <f t="shared" si="147"/>
        <v>.0</v>
      </c>
      <c r="F3147" s="32" t="str">
        <f t="shared" si="148"/>
        <v>.0</v>
      </c>
      <c r="G3147" s="37" t="str">
        <f t="shared" si="149"/>
        <v/>
      </c>
    </row>
    <row r="3148" spans="5:7" x14ac:dyDescent="0.45">
      <c r="E3148" s="32" t="str">
        <f t="shared" si="147"/>
        <v>.0</v>
      </c>
      <c r="F3148" s="32" t="str">
        <f t="shared" si="148"/>
        <v>.0</v>
      </c>
      <c r="G3148" s="37" t="str">
        <f t="shared" si="149"/>
        <v/>
      </c>
    </row>
    <row r="3149" spans="5:7" x14ac:dyDescent="0.45">
      <c r="E3149" s="32" t="str">
        <f t="shared" si="147"/>
        <v>.0</v>
      </c>
      <c r="F3149" s="32" t="str">
        <f t="shared" si="148"/>
        <v>.0</v>
      </c>
      <c r="G3149" s="37" t="str">
        <f t="shared" si="149"/>
        <v/>
      </c>
    </row>
    <row r="3150" spans="5:7" x14ac:dyDescent="0.45">
      <c r="E3150" s="32" t="str">
        <f t="shared" si="147"/>
        <v>.0</v>
      </c>
      <c r="F3150" s="32" t="str">
        <f t="shared" si="148"/>
        <v>.0</v>
      </c>
      <c r="G3150" s="37" t="str">
        <f t="shared" si="149"/>
        <v/>
      </c>
    </row>
    <row r="3151" spans="5:7" x14ac:dyDescent="0.45">
      <c r="E3151" s="32" t="str">
        <f t="shared" si="147"/>
        <v>.0</v>
      </c>
      <c r="F3151" s="32" t="str">
        <f t="shared" si="148"/>
        <v>.0</v>
      </c>
      <c r="G3151" s="37" t="str">
        <f t="shared" si="149"/>
        <v/>
      </c>
    </row>
    <row r="3152" spans="5:7" x14ac:dyDescent="0.45">
      <c r="E3152" s="32" t="str">
        <f t="shared" si="147"/>
        <v>.0</v>
      </c>
      <c r="F3152" s="32" t="str">
        <f t="shared" si="148"/>
        <v>.0</v>
      </c>
      <c r="G3152" s="37" t="str">
        <f t="shared" si="149"/>
        <v/>
      </c>
    </row>
    <row r="3153" spans="5:7" x14ac:dyDescent="0.45">
      <c r="E3153" s="32" t="str">
        <f t="shared" si="147"/>
        <v>.0</v>
      </c>
      <c r="F3153" s="32" t="str">
        <f t="shared" si="148"/>
        <v>.0</v>
      </c>
      <c r="G3153" s="37" t="str">
        <f t="shared" si="149"/>
        <v/>
      </c>
    </row>
    <row r="3154" spans="5:7" x14ac:dyDescent="0.45">
      <c r="E3154" s="32" t="str">
        <f t="shared" si="147"/>
        <v>.0</v>
      </c>
      <c r="F3154" s="32" t="str">
        <f t="shared" si="148"/>
        <v>.0</v>
      </c>
      <c r="G3154" s="37" t="str">
        <f t="shared" si="149"/>
        <v/>
      </c>
    </row>
    <row r="3155" spans="5:7" x14ac:dyDescent="0.45">
      <c r="E3155" s="32" t="str">
        <f t="shared" si="147"/>
        <v>.0</v>
      </c>
      <c r="F3155" s="32" t="str">
        <f t="shared" si="148"/>
        <v>.0</v>
      </c>
      <c r="G3155" s="37" t="str">
        <f t="shared" si="149"/>
        <v/>
      </c>
    </row>
    <row r="3156" spans="5:7" x14ac:dyDescent="0.45">
      <c r="E3156" s="32" t="str">
        <f t="shared" si="147"/>
        <v>.0</v>
      </c>
      <c r="F3156" s="32" t="str">
        <f t="shared" si="148"/>
        <v>.0</v>
      </c>
      <c r="G3156" s="37" t="str">
        <f t="shared" si="149"/>
        <v/>
      </c>
    </row>
    <row r="3157" spans="5:7" x14ac:dyDescent="0.45">
      <c r="E3157" s="32" t="str">
        <f t="shared" si="147"/>
        <v>.0</v>
      </c>
      <c r="F3157" s="32" t="str">
        <f t="shared" si="148"/>
        <v>.0</v>
      </c>
      <c r="G3157" s="37" t="str">
        <f t="shared" si="149"/>
        <v/>
      </c>
    </row>
    <row r="3158" spans="5:7" x14ac:dyDescent="0.45">
      <c r="E3158" s="32" t="str">
        <f t="shared" si="147"/>
        <v>.0</v>
      </c>
      <c r="F3158" s="32" t="str">
        <f t="shared" si="148"/>
        <v>.0</v>
      </c>
      <c r="G3158" s="37" t="str">
        <f t="shared" si="149"/>
        <v/>
      </c>
    </row>
    <row r="3159" spans="5:7" x14ac:dyDescent="0.45">
      <c r="E3159" s="32" t="str">
        <f t="shared" si="147"/>
        <v>.0</v>
      </c>
      <c r="F3159" s="32" t="str">
        <f t="shared" si="148"/>
        <v>.0</v>
      </c>
      <c r="G3159" s="37" t="str">
        <f t="shared" si="149"/>
        <v/>
      </c>
    </row>
    <row r="3160" spans="5:7" x14ac:dyDescent="0.45">
      <c r="E3160" s="32" t="str">
        <f t="shared" si="147"/>
        <v>.0</v>
      </c>
      <c r="F3160" s="32" t="str">
        <f t="shared" si="148"/>
        <v>.0</v>
      </c>
      <c r="G3160" s="37" t="str">
        <f t="shared" si="149"/>
        <v/>
      </c>
    </row>
    <row r="3161" spans="5:7" x14ac:dyDescent="0.45">
      <c r="E3161" s="32" t="str">
        <f t="shared" si="147"/>
        <v>.0</v>
      </c>
      <c r="F3161" s="32" t="str">
        <f t="shared" si="148"/>
        <v>.0</v>
      </c>
      <c r="G3161" s="37" t="str">
        <f t="shared" si="149"/>
        <v/>
      </c>
    </row>
    <row r="3162" spans="5:7" x14ac:dyDescent="0.45">
      <c r="E3162" s="32" t="str">
        <f t="shared" si="147"/>
        <v>.0</v>
      </c>
      <c r="F3162" s="32" t="str">
        <f t="shared" si="148"/>
        <v>.0</v>
      </c>
      <c r="G3162" s="37" t="str">
        <f t="shared" si="149"/>
        <v/>
      </c>
    </row>
    <row r="3163" spans="5:7" x14ac:dyDescent="0.45">
      <c r="E3163" s="32" t="str">
        <f t="shared" si="147"/>
        <v>.0</v>
      </c>
      <c r="F3163" s="32" t="str">
        <f t="shared" si="148"/>
        <v>.0</v>
      </c>
      <c r="G3163" s="37" t="str">
        <f t="shared" si="149"/>
        <v/>
      </c>
    </row>
    <row r="3164" spans="5:7" x14ac:dyDescent="0.45">
      <c r="E3164" s="32" t="str">
        <f t="shared" si="147"/>
        <v>.0</v>
      </c>
      <c r="F3164" s="32" t="str">
        <f t="shared" si="148"/>
        <v>.0</v>
      </c>
      <c r="G3164" s="37" t="str">
        <f t="shared" si="149"/>
        <v/>
      </c>
    </row>
    <row r="3165" spans="5:7" x14ac:dyDescent="0.45">
      <c r="E3165" s="32" t="str">
        <f t="shared" si="147"/>
        <v>.0</v>
      </c>
      <c r="F3165" s="32" t="str">
        <f t="shared" si="148"/>
        <v>.0</v>
      </c>
      <c r="G3165" s="37" t="str">
        <f t="shared" si="149"/>
        <v/>
      </c>
    </row>
    <row r="3166" spans="5:7" x14ac:dyDescent="0.45">
      <c r="E3166" s="32" t="str">
        <f t="shared" ref="E3166:E3229" si="150">MID(B3166,3,2)&amp;"."&amp;IF(C3166&lt;10,"0"&amp;C3166,C3166)</f>
        <v>.0</v>
      </c>
      <c r="F3166" s="32" t="str">
        <f t="shared" ref="F3166:F3229" si="151">MID(B3166,3,2)&amp;"."&amp;IF(C3166&lt;10,"0"&amp;C3166,C3166)</f>
        <v>.0</v>
      </c>
      <c r="G3166" s="37" t="str">
        <f t="shared" ref="G3166:G3229" si="152">TEXT(D3166,"#,###,")</f>
        <v/>
      </c>
    </row>
    <row r="3167" spans="5:7" x14ac:dyDescent="0.45">
      <c r="E3167" s="32" t="str">
        <f t="shared" si="150"/>
        <v>.0</v>
      </c>
      <c r="F3167" s="32" t="str">
        <f t="shared" si="151"/>
        <v>.0</v>
      </c>
      <c r="G3167" s="37" t="str">
        <f t="shared" si="152"/>
        <v/>
      </c>
    </row>
    <row r="3168" spans="5:7" x14ac:dyDescent="0.45">
      <c r="E3168" s="32" t="str">
        <f t="shared" si="150"/>
        <v>.0</v>
      </c>
      <c r="F3168" s="32" t="str">
        <f t="shared" si="151"/>
        <v>.0</v>
      </c>
      <c r="G3168" s="37" t="str">
        <f t="shared" si="152"/>
        <v/>
      </c>
    </row>
    <row r="3169" spans="5:7" x14ac:dyDescent="0.45">
      <c r="E3169" s="32" t="str">
        <f t="shared" si="150"/>
        <v>.0</v>
      </c>
      <c r="F3169" s="32" t="str">
        <f t="shared" si="151"/>
        <v>.0</v>
      </c>
      <c r="G3169" s="37" t="str">
        <f t="shared" si="152"/>
        <v/>
      </c>
    </row>
    <row r="3170" spans="5:7" x14ac:dyDescent="0.45">
      <c r="E3170" s="32" t="str">
        <f t="shared" si="150"/>
        <v>.0</v>
      </c>
      <c r="F3170" s="32" t="str">
        <f t="shared" si="151"/>
        <v>.0</v>
      </c>
      <c r="G3170" s="37" t="str">
        <f t="shared" si="152"/>
        <v/>
      </c>
    </row>
    <row r="3171" spans="5:7" x14ac:dyDescent="0.45">
      <c r="E3171" s="32" t="str">
        <f t="shared" si="150"/>
        <v>.0</v>
      </c>
      <c r="F3171" s="32" t="str">
        <f t="shared" si="151"/>
        <v>.0</v>
      </c>
      <c r="G3171" s="37" t="str">
        <f t="shared" si="152"/>
        <v/>
      </c>
    </row>
    <row r="3172" spans="5:7" x14ac:dyDescent="0.45">
      <c r="E3172" s="32" t="str">
        <f t="shared" si="150"/>
        <v>.0</v>
      </c>
      <c r="F3172" s="32" t="str">
        <f t="shared" si="151"/>
        <v>.0</v>
      </c>
      <c r="G3172" s="37" t="str">
        <f t="shared" si="152"/>
        <v/>
      </c>
    </row>
    <row r="3173" spans="5:7" x14ac:dyDescent="0.45">
      <c r="E3173" s="32" t="str">
        <f t="shared" si="150"/>
        <v>.0</v>
      </c>
      <c r="F3173" s="32" t="str">
        <f t="shared" si="151"/>
        <v>.0</v>
      </c>
      <c r="G3173" s="37" t="str">
        <f t="shared" si="152"/>
        <v/>
      </c>
    </row>
    <row r="3174" spans="5:7" x14ac:dyDescent="0.45">
      <c r="E3174" s="32" t="str">
        <f t="shared" si="150"/>
        <v>.0</v>
      </c>
      <c r="F3174" s="32" t="str">
        <f t="shared" si="151"/>
        <v>.0</v>
      </c>
      <c r="G3174" s="37" t="str">
        <f t="shared" si="152"/>
        <v/>
      </c>
    </row>
    <row r="3175" spans="5:7" x14ac:dyDescent="0.45">
      <c r="E3175" s="32" t="str">
        <f t="shared" si="150"/>
        <v>.0</v>
      </c>
      <c r="F3175" s="32" t="str">
        <f t="shared" si="151"/>
        <v>.0</v>
      </c>
      <c r="G3175" s="37" t="str">
        <f t="shared" si="152"/>
        <v/>
      </c>
    </row>
    <row r="3176" spans="5:7" x14ac:dyDescent="0.45">
      <c r="E3176" s="32" t="str">
        <f t="shared" si="150"/>
        <v>.0</v>
      </c>
      <c r="F3176" s="32" t="str">
        <f t="shared" si="151"/>
        <v>.0</v>
      </c>
      <c r="G3176" s="37" t="str">
        <f t="shared" si="152"/>
        <v/>
      </c>
    </row>
    <row r="3177" spans="5:7" x14ac:dyDescent="0.45">
      <c r="E3177" s="32" t="str">
        <f t="shared" si="150"/>
        <v>.0</v>
      </c>
      <c r="F3177" s="32" t="str">
        <f t="shared" si="151"/>
        <v>.0</v>
      </c>
      <c r="G3177" s="37" t="str">
        <f t="shared" si="152"/>
        <v/>
      </c>
    </row>
    <row r="3178" spans="5:7" x14ac:dyDescent="0.45">
      <c r="E3178" s="32" t="str">
        <f t="shared" si="150"/>
        <v>.0</v>
      </c>
      <c r="F3178" s="32" t="str">
        <f t="shared" si="151"/>
        <v>.0</v>
      </c>
      <c r="G3178" s="37" t="str">
        <f t="shared" si="152"/>
        <v/>
      </c>
    </row>
    <row r="3179" spans="5:7" x14ac:dyDescent="0.45">
      <c r="E3179" s="32" t="str">
        <f t="shared" si="150"/>
        <v>.0</v>
      </c>
      <c r="F3179" s="32" t="str">
        <f t="shared" si="151"/>
        <v>.0</v>
      </c>
      <c r="G3179" s="37" t="str">
        <f t="shared" si="152"/>
        <v/>
      </c>
    </row>
    <row r="3180" spans="5:7" x14ac:dyDescent="0.45">
      <c r="E3180" s="32" t="str">
        <f t="shared" si="150"/>
        <v>.0</v>
      </c>
      <c r="F3180" s="32" t="str">
        <f t="shared" si="151"/>
        <v>.0</v>
      </c>
      <c r="G3180" s="37" t="str">
        <f t="shared" si="152"/>
        <v/>
      </c>
    </row>
    <row r="3181" spans="5:7" x14ac:dyDescent="0.45">
      <c r="E3181" s="32" t="str">
        <f t="shared" si="150"/>
        <v>.0</v>
      </c>
      <c r="F3181" s="32" t="str">
        <f t="shared" si="151"/>
        <v>.0</v>
      </c>
      <c r="G3181" s="37" t="str">
        <f t="shared" si="152"/>
        <v/>
      </c>
    </row>
    <row r="3182" spans="5:7" x14ac:dyDescent="0.45">
      <c r="E3182" s="32" t="str">
        <f t="shared" si="150"/>
        <v>.0</v>
      </c>
      <c r="F3182" s="32" t="str">
        <f t="shared" si="151"/>
        <v>.0</v>
      </c>
      <c r="G3182" s="37" t="str">
        <f t="shared" si="152"/>
        <v/>
      </c>
    </row>
    <row r="3183" spans="5:7" x14ac:dyDescent="0.45">
      <c r="E3183" s="32" t="str">
        <f t="shared" si="150"/>
        <v>.0</v>
      </c>
      <c r="F3183" s="32" t="str">
        <f t="shared" si="151"/>
        <v>.0</v>
      </c>
      <c r="G3183" s="37" t="str">
        <f t="shared" si="152"/>
        <v/>
      </c>
    </row>
    <row r="3184" spans="5:7" x14ac:dyDescent="0.45">
      <c r="E3184" s="32" t="str">
        <f t="shared" si="150"/>
        <v>.0</v>
      </c>
      <c r="F3184" s="32" t="str">
        <f t="shared" si="151"/>
        <v>.0</v>
      </c>
      <c r="G3184" s="37" t="str">
        <f t="shared" si="152"/>
        <v/>
      </c>
    </row>
    <row r="3185" spans="5:7" x14ac:dyDescent="0.45">
      <c r="E3185" s="32" t="str">
        <f t="shared" si="150"/>
        <v>.0</v>
      </c>
      <c r="F3185" s="32" t="str">
        <f t="shared" si="151"/>
        <v>.0</v>
      </c>
      <c r="G3185" s="37" t="str">
        <f t="shared" si="152"/>
        <v/>
      </c>
    </row>
    <row r="3186" spans="5:7" x14ac:dyDescent="0.45">
      <c r="E3186" s="32" t="str">
        <f t="shared" si="150"/>
        <v>.0</v>
      </c>
      <c r="F3186" s="32" t="str">
        <f t="shared" si="151"/>
        <v>.0</v>
      </c>
      <c r="G3186" s="37" t="str">
        <f t="shared" si="152"/>
        <v/>
      </c>
    </row>
    <row r="3187" spans="5:7" x14ac:dyDescent="0.45">
      <c r="E3187" s="32" t="str">
        <f t="shared" si="150"/>
        <v>.0</v>
      </c>
      <c r="F3187" s="32" t="str">
        <f t="shared" si="151"/>
        <v>.0</v>
      </c>
      <c r="G3187" s="37" t="str">
        <f t="shared" si="152"/>
        <v/>
      </c>
    </row>
    <row r="3188" spans="5:7" x14ac:dyDescent="0.45">
      <c r="E3188" s="32" t="str">
        <f t="shared" si="150"/>
        <v>.0</v>
      </c>
      <c r="F3188" s="32" t="str">
        <f t="shared" si="151"/>
        <v>.0</v>
      </c>
      <c r="G3188" s="37" t="str">
        <f t="shared" si="152"/>
        <v/>
      </c>
    </row>
    <row r="3189" spans="5:7" x14ac:dyDescent="0.45">
      <c r="E3189" s="32" t="str">
        <f t="shared" si="150"/>
        <v>.0</v>
      </c>
      <c r="F3189" s="32" t="str">
        <f t="shared" si="151"/>
        <v>.0</v>
      </c>
      <c r="G3189" s="37" t="str">
        <f t="shared" si="152"/>
        <v/>
      </c>
    </row>
    <row r="3190" spans="5:7" x14ac:dyDescent="0.45">
      <c r="E3190" s="32" t="str">
        <f t="shared" si="150"/>
        <v>.0</v>
      </c>
      <c r="F3190" s="32" t="str">
        <f t="shared" si="151"/>
        <v>.0</v>
      </c>
      <c r="G3190" s="37" t="str">
        <f t="shared" si="152"/>
        <v/>
      </c>
    </row>
    <row r="3191" spans="5:7" x14ac:dyDescent="0.45">
      <c r="E3191" s="32" t="str">
        <f t="shared" si="150"/>
        <v>.0</v>
      </c>
      <c r="F3191" s="32" t="str">
        <f t="shared" si="151"/>
        <v>.0</v>
      </c>
      <c r="G3191" s="37" t="str">
        <f t="shared" si="152"/>
        <v/>
      </c>
    </row>
    <row r="3192" spans="5:7" x14ac:dyDescent="0.45">
      <c r="E3192" s="32" t="str">
        <f t="shared" si="150"/>
        <v>.0</v>
      </c>
      <c r="F3192" s="32" t="str">
        <f t="shared" si="151"/>
        <v>.0</v>
      </c>
      <c r="G3192" s="37" t="str">
        <f t="shared" si="152"/>
        <v/>
      </c>
    </row>
    <row r="3193" spans="5:7" x14ac:dyDescent="0.45">
      <c r="E3193" s="32" t="str">
        <f t="shared" si="150"/>
        <v>.0</v>
      </c>
      <c r="F3193" s="32" t="str">
        <f t="shared" si="151"/>
        <v>.0</v>
      </c>
      <c r="G3193" s="37" t="str">
        <f t="shared" si="152"/>
        <v/>
      </c>
    </row>
    <row r="3194" spans="5:7" x14ac:dyDescent="0.45">
      <c r="E3194" s="32" t="str">
        <f t="shared" si="150"/>
        <v>.0</v>
      </c>
      <c r="F3194" s="32" t="str">
        <f t="shared" si="151"/>
        <v>.0</v>
      </c>
      <c r="G3194" s="37" t="str">
        <f t="shared" si="152"/>
        <v/>
      </c>
    </row>
    <row r="3195" spans="5:7" x14ac:dyDescent="0.45">
      <c r="E3195" s="32" t="str">
        <f t="shared" si="150"/>
        <v>.0</v>
      </c>
      <c r="F3195" s="32" t="str">
        <f t="shared" si="151"/>
        <v>.0</v>
      </c>
      <c r="G3195" s="37" t="str">
        <f t="shared" si="152"/>
        <v/>
      </c>
    </row>
    <row r="3196" spans="5:7" x14ac:dyDescent="0.45">
      <c r="E3196" s="32" t="str">
        <f t="shared" si="150"/>
        <v>.0</v>
      </c>
      <c r="F3196" s="32" t="str">
        <f t="shared" si="151"/>
        <v>.0</v>
      </c>
      <c r="G3196" s="37" t="str">
        <f t="shared" si="152"/>
        <v/>
      </c>
    </row>
    <row r="3197" spans="5:7" x14ac:dyDescent="0.45">
      <c r="E3197" s="32" t="str">
        <f t="shared" si="150"/>
        <v>.0</v>
      </c>
      <c r="F3197" s="32" t="str">
        <f t="shared" si="151"/>
        <v>.0</v>
      </c>
      <c r="G3197" s="37" t="str">
        <f t="shared" si="152"/>
        <v/>
      </c>
    </row>
    <row r="3198" spans="5:7" x14ac:dyDescent="0.45">
      <c r="E3198" s="32" t="str">
        <f t="shared" si="150"/>
        <v>.0</v>
      </c>
      <c r="F3198" s="32" t="str">
        <f t="shared" si="151"/>
        <v>.0</v>
      </c>
      <c r="G3198" s="37" t="str">
        <f t="shared" si="152"/>
        <v/>
      </c>
    </row>
    <row r="3199" spans="5:7" x14ac:dyDescent="0.45">
      <c r="E3199" s="32" t="str">
        <f t="shared" si="150"/>
        <v>.0</v>
      </c>
      <c r="F3199" s="32" t="str">
        <f t="shared" si="151"/>
        <v>.0</v>
      </c>
      <c r="G3199" s="37" t="str">
        <f t="shared" si="152"/>
        <v/>
      </c>
    </row>
    <row r="3200" spans="5:7" x14ac:dyDescent="0.45">
      <c r="E3200" s="32" t="str">
        <f t="shared" si="150"/>
        <v>.0</v>
      </c>
      <c r="F3200" s="32" t="str">
        <f t="shared" si="151"/>
        <v>.0</v>
      </c>
      <c r="G3200" s="37" t="str">
        <f t="shared" si="152"/>
        <v/>
      </c>
    </row>
    <row r="3201" spans="5:7" x14ac:dyDescent="0.45">
      <c r="E3201" s="32" t="str">
        <f t="shared" si="150"/>
        <v>.0</v>
      </c>
      <c r="F3201" s="32" t="str">
        <f t="shared" si="151"/>
        <v>.0</v>
      </c>
      <c r="G3201" s="37" t="str">
        <f t="shared" si="152"/>
        <v/>
      </c>
    </row>
    <row r="3202" spans="5:7" x14ac:dyDescent="0.45">
      <c r="E3202" s="32" t="str">
        <f t="shared" si="150"/>
        <v>.0</v>
      </c>
      <c r="F3202" s="32" t="str">
        <f t="shared" si="151"/>
        <v>.0</v>
      </c>
      <c r="G3202" s="37" t="str">
        <f t="shared" si="152"/>
        <v/>
      </c>
    </row>
    <row r="3203" spans="5:7" x14ac:dyDescent="0.45">
      <c r="E3203" s="32" t="str">
        <f t="shared" si="150"/>
        <v>.0</v>
      </c>
      <c r="F3203" s="32" t="str">
        <f t="shared" si="151"/>
        <v>.0</v>
      </c>
      <c r="G3203" s="37" t="str">
        <f t="shared" si="152"/>
        <v/>
      </c>
    </row>
    <row r="3204" spans="5:7" x14ac:dyDescent="0.45">
      <c r="E3204" s="32" t="str">
        <f t="shared" si="150"/>
        <v>.0</v>
      </c>
      <c r="F3204" s="32" t="str">
        <f t="shared" si="151"/>
        <v>.0</v>
      </c>
      <c r="G3204" s="37" t="str">
        <f t="shared" si="152"/>
        <v/>
      </c>
    </row>
    <row r="3205" spans="5:7" x14ac:dyDescent="0.45">
      <c r="E3205" s="32" t="str">
        <f t="shared" si="150"/>
        <v>.0</v>
      </c>
      <c r="F3205" s="32" t="str">
        <f t="shared" si="151"/>
        <v>.0</v>
      </c>
      <c r="G3205" s="37" t="str">
        <f t="shared" si="152"/>
        <v/>
      </c>
    </row>
    <row r="3206" spans="5:7" x14ac:dyDescent="0.45">
      <c r="E3206" s="32" t="str">
        <f t="shared" si="150"/>
        <v>.0</v>
      </c>
      <c r="F3206" s="32" t="str">
        <f t="shared" si="151"/>
        <v>.0</v>
      </c>
      <c r="G3206" s="37" t="str">
        <f t="shared" si="152"/>
        <v/>
      </c>
    </row>
    <row r="3207" spans="5:7" x14ac:dyDescent="0.45">
      <c r="E3207" s="32" t="str">
        <f t="shared" si="150"/>
        <v>.0</v>
      </c>
      <c r="F3207" s="32" t="str">
        <f t="shared" si="151"/>
        <v>.0</v>
      </c>
      <c r="G3207" s="37" t="str">
        <f t="shared" si="152"/>
        <v/>
      </c>
    </row>
    <row r="3208" spans="5:7" x14ac:dyDescent="0.45">
      <c r="E3208" s="32" t="str">
        <f t="shared" si="150"/>
        <v>.0</v>
      </c>
      <c r="F3208" s="32" t="str">
        <f t="shared" si="151"/>
        <v>.0</v>
      </c>
      <c r="G3208" s="37" t="str">
        <f t="shared" si="152"/>
        <v/>
      </c>
    </row>
    <row r="3209" spans="5:7" x14ac:dyDescent="0.45">
      <c r="E3209" s="32" t="str">
        <f t="shared" si="150"/>
        <v>.0</v>
      </c>
      <c r="F3209" s="32" t="str">
        <f t="shared" si="151"/>
        <v>.0</v>
      </c>
      <c r="G3209" s="37" t="str">
        <f t="shared" si="152"/>
        <v/>
      </c>
    </row>
    <row r="3210" spans="5:7" x14ac:dyDescent="0.45">
      <c r="E3210" s="32" t="str">
        <f t="shared" si="150"/>
        <v>.0</v>
      </c>
      <c r="F3210" s="32" t="str">
        <f t="shared" si="151"/>
        <v>.0</v>
      </c>
      <c r="G3210" s="37" t="str">
        <f t="shared" si="152"/>
        <v/>
      </c>
    </row>
    <row r="3211" spans="5:7" x14ac:dyDescent="0.45">
      <c r="E3211" s="32" t="str">
        <f t="shared" si="150"/>
        <v>.0</v>
      </c>
      <c r="F3211" s="32" t="str">
        <f t="shared" si="151"/>
        <v>.0</v>
      </c>
      <c r="G3211" s="37" t="str">
        <f t="shared" si="152"/>
        <v/>
      </c>
    </row>
    <row r="3212" spans="5:7" x14ac:dyDescent="0.45">
      <c r="E3212" s="32" t="str">
        <f t="shared" si="150"/>
        <v>.0</v>
      </c>
      <c r="F3212" s="32" t="str">
        <f t="shared" si="151"/>
        <v>.0</v>
      </c>
      <c r="G3212" s="37" t="str">
        <f t="shared" si="152"/>
        <v/>
      </c>
    </row>
    <row r="3213" spans="5:7" x14ac:dyDescent="0.45">
      <c r="E3213" s="32" t="str">
        <f t="shared" si="150"/>
        <v>.0</v>
      </c>
      <c r="F3213" s="32" t="str">
        <f t="shared" si="151"/>
        <v>.0</v>
      </c>
      <c r="G3213" s="37" t="str">
        <f t="shared" si="152"/>
        <v/>
      </c>
    </row>
    <row r="3214" spans="5:7" x14ac:dyDescent="0.45">
      <c r="E3214" s="32" t="str">
        <f t="shared" si="150"/>
        <v>.0</v>
      </c>
      <c r="F3214" s="32" t="str">
        <f t="shared" si="151"/>
        <v>.0</v>
      </c>
      <c r="G3214" s="37" t="str">
        <f t="shared" si="152"/>
        <v/>
      </c>
    </row>
    <row r="3215" spans="5:7" x14ac:dyDescent="0.45">
      <c r="E3215" s="32" t="str">
        <f t="shared" si="150"/>
        <v>.0</v>
      </c>
      <c r="F3215" s="32" t="str">
        <f t="shared" si="151"/>
        <v>.0</v>
      </c>
      <c r="G3215" s="37" t="str">
        <f t="shared" si="152"/>
        <v/>
      </c>
    </row>
    <row r="3216" spans="5:7" x14ac:dyDescent="0.45">
      <c r="E3216" s="32" t="str">
        <f t="shared" si="150"/>
        <v>.0</v>
      </c>
      <c r="F3216" s="32" t="str">
        <f t="shared" si="151"/>
        <v>.0</v>
      </c>
      <c r="G3216" s="37" t="str">
        <f t="shared" si="152"/>
        <v/>
      </c>
    </row>
    <row r="3217" spans="5:7" x14ac:dyDescent="0.45">
      <c r="E3217" s="32" t="str">
        <f t="shared" si="150"/>
        <v>.0</v>
      </c>
      <c r="F3217" s="32" t="str">
        <f t="shared" si="151"/>
        <v>.0</v>
      </c>
      <c r="G3217" s="37" t="str">
        <f t="shared" si="152"/>
        <v/>
      </c>
    </row>
    <row r="3218" spans="5:7" x14ac:dyDescent="0.45">
      <c r="E3218" s="32" t="str">
        <f t="shared" si="150"/>
        <v>.0</v>
      </c>
      <c r="F3218" s="32" t="str">
        <f t="shared" si="151"/>
        <v>.0</v>
      </c>
      <c r="G3218" s="37" t="str">
        <f t="shared" si="152"/>
        <v/>
      </c>
    </row>
    <row r="3219" spans="5:7" x14ac:dyDescent="0.45">
      <c r="E3219" s="32" t="str">
        <f t="shared" si="150"/>
        <v>.0</v>
      </c>
      <c r="F3219" s="32" t="str">
        <f t="shared" si="151"/>
        <v>.0</v>
      </c>
      <c r="G3219" s="37" t="str">
        <f t="shared" si="152"/>
        <v/>
      </c>
    </row>
    <row r="3220" spans="5:7" x14ac:dyDescent="0.45">
      <c r="E3220" s="32" t="str">
        <f t="shared" si="150"/>
        <v>.0</v>
      </c>
      <c r="F3220" s="32" t="str">
        <f t="shared" si="151"/>
        <v>.0</v>
      </c>
      <c r="G3220" s="37" t="str">
        <f t="shared" si="152"/>
        <v/>
      </c>
    </row>
    <row r="3221" spans="5:7" x14ac:dyDescent="0.45">
      <c r="E3221" s="32" t="str">
        <f t="shared" si="150"/>
        <v>.0</v>
      </c>
      <c r="F3221" s="32" t="str">
        <f t="shared" si="151"/>
        <v>.0</v>
      </c>
      <c r="G3221" s="37" t="str">
        <f t="shared" si="152"/>
        <v/>
      </c>
    </row>
    <row r="3222" spans="5:7" x14ac:dyDescent="0.45">
      <c r="E3222" s="32" t="str">
        <f t="shared" si="150"/>
        <v>.0</v>
      </c>
      <c r="F3222" s="32" t="str">
        <f t="shared" si="151"/>
        <v>.0</v>
      </c>
      <c r="G3222" s="37" t="str">
        <f t="shared" si="152"/>
        <v/>
      </c>
    </row>
    <row r="3223" spans="5:7" x14ac:dyDescent="0.45">
      <c r="E3223" s="32" t="str">
        <f t="shared" si="150"/>
        <v>.0</v>
      </c>
      <c r="F3223" s="32" t="str">
        <f t="shared" si="151"/>
        <v>.0</v>
      </c>
      <c r="G3223" s="37" t="str">
        <f t="shared" si="152"/>
        <v/>
      </c>
    </row>
    <row r="3224" spans="5:7" x14ac:dyDescent="0.45">
      <c r="E3224" s="32" t="str">
        <f t="shared" si="150"/>
        <v>.0</v>
      </c>
      <c r="F3224" s="32" t="str">
        <f t="shared" si="151"/>
        <v>.0</v>
      </c>
      <c r="G3224" s="37" t="str">
        <f t="shared" si="152"/>
        <v/>
      </c>
    </row>
    <row r="3225" spans="5:7" x14ac:dyDescent="0.45">
      <c r="E3225" s="32" t="str">
        <f t="shared" si="150"/>
        <v>.0</v>
      </c>
      <c r="F3225" s="32" t="str">
        <f t="shared" si="151"/>
        <v>.0</v>
      </c>
      <c r="G3225" s="37" t="str">
        <f t="shared" si="152"/>
        <v/>
      </c>
    </row>
    <row r="3226" spans="5:7" x14ac:dyDescent="0.45">
      <c r="E3226" s="32" t="str">
        <f t="shared" si="150"/>
        <v>.0</v>
      </c>
      <c r="F3226" s="32" t="str">
        <f t="shared" si="151"/>
        <v>.0</v>
      </c>
      <c r="G3226" s="37" t="str">
        <f t="shared" si="152"/>
        <v/>
      </c>
    </row>
    <row r="3227" spans="5:7" x14ac:dyDescent="0.45">
      <c r="E3227" s="32" t="str">
        <f t="shared" si="150"/>
        <v>.0</v>
      </c>
      <c r="F3227" s="32" t="str">
        <f t="shared" si="151"/>
        <v>.0</v>
      </c>
      <c r="G3227" s="37" t="str">
        <f t="shared" si="152"/>
        <v/>
      </c>
    </row>
    <row r="3228" spans="5:7" x14ac:dyDescent="0.45">
      <c r="E3228" s="32" t="str">
        <f t="shared" si="150"/>
        <v>.0</v>
      </c>
      <c r="F3228" s="32" t="str">
        <f t="shared" si="151"/>
        <v>.0</v>
      </c>
      <c r="G3228" s="37" t="str">
        <f t="shared" si="152"/>
        <v/>
      </c>
    </row>
    <row r="3229" spans="5:7" x14ac:dyDescent="0.45">
      <c r="E3229" s="32" t="str">
        <f t="shared" si="150"/>
        <v>.0</v>
      </c>
      <c r="F3229" s="32" t="str">
        <f t="shared" si="151"/>
        <v>.0</v>
      </c>
      <c r="G3229" s="37" t="str">
        <f t="shared" si="152"/>
        <v/>
      </c>
    </row>
    <row r="3230" spans="5:7" x14ac:dyDescent="0.45">
      <c r="E3230" s="32" t="str">
        <f t="shared" ref="E3230:E3293" si="153">MID(B3230,3,2)&amp;"."&amp;IF(C3230&lt;10,"0"&amp;C3230,C3230)</f>
        <v>.0</v>
      </c>
      <c r="F3230" s="32" t="str">
        <f t="shared" ref="F3230:F3293" si="154">MID(B3230,3,2)&amp;"."&amp;IF(C3230&lt;10,"0"&amp;C3230,C3230)</f>
        <v>.0</v>
      </c>
      <c r="G3230" s="37" t="str">
        <f t="shared" ref="G3230:G3293" si="155">TEXT(D3230,"#,###,")</f>
        <v/>
      </c>
    </row>
    <row r="3231" spans="5:7" x14ac:dyDescent="0.45">
      <c r="E3231" s="32" t="str">
        <f t="shared" si="153"/>
        <v>.0</v>
      </c>
      <c r="F3231" s="32" t="str">
        <f t="shared" si="154"/>
        <v>.0</v>
      </c>
      <c r="G3231" s="37" t="str">
        <f t="shared" si="155"/>
        <v/>
      </c>
    </row>
    <row r="3232" spans="5:7" x14ac:dyDescent="0.45">
      <c r="E3232" s="32" t="str">
        <f t="shared" si="153"/>
        <v>.0</v>
      </c>
      <c r="F3232" s="32" t="str">
        <f t="shared" si="154"/>
        <v>.0</v>
      </c>
      <c r="G3232" s="37" t="str">
        <f t="shared" si="155"/>
        <v/>
      </c>
    </row>
    <row r="3233" spans="5:7" x14ac:dyDescent="0.45">
      <c r="E3233" s="32" t="str">
        <f t="shared" si="153"/>
        <v>.0</v>
      </c>
      <c r="F3233" s="32" t="str">
        <f t="shared" si="154"/>
        <v>.0</v>
      </c>
      <c r="G3233" s="37" t="str">
        <f t="shared" si="155"/>
        <v/>
      </c>
    </row>
    <row r="3234" spans="5:7" x14ac:dyDescent="0.45">
      <c r="E3234" s="32" t="str">
        <f t="shared" si="153"/>
        <v>.0</v>
      </c>
      <c r="F3234" s="32" t="str">
        <f t="shared" si="154"/>
        <v>.0</v>
      </c>
      <c r="G3234" s="37" t="str">
        <f t="shared" si="155"/>
        <v/>
      </c>
    </row>
    <row r="3235" spans="5:7" x14ac:dyDescent="0.45">
      <c r="E3235" s="32" t="str">
        <f t="shared" si="153"/>
        <v>.0</v>
      </c>
      <c r="F3235" s="32" t="str">
        <f t="shared" si="154"/>
        <v>.0</v>
      </c>
      <c r="G3235" s="37" t="str">
        <f t="shared" si="155"/>
        <v/>
      </c>
    </row>
    <row r="3236" spans="5:7" x14ac:dyDescent="0.45">
      <c r="E3236" s="32" t="str">
        <f t="shared" si="153"/>
        <v>.0</v>
      </c>
      <c r="F3236" s="32" t="str">
        <f t="shared" si="154"/>
        <v>.0</v>
      </c>
      <c r="G3236" s="37" t="str">
        <f t="shared" si="155"/>
        <v/>
      </c>
    </row>
    <row r="3237" spans="5:7" x14ac:dyDescent="0.45">
      <c r="E3237" s="32" t="str">
        <f t="shared" si="153"/>
        <v>.0</v>
      </c>
      <c r="F3237" s="32" t="str">
        <f t="shared" si="154"/>
        <v>.0</v>
      </c>
      <c r="G3237" s="37" t="str">
        <f t="shared" si="155"/>
        <v/>
      </c>
    </row>
    <row r="3238" spans="5:7" x14ac:dyDescent="0.45">
      <c r="E3238" s="32" t="str">
        <f t="shared" si="153"/>
        <v>.0</v>
      </c>
      <c r="F3238" s="32" t="str">
        <f t="shared" si="154"/>
        <v>.0</v>
      </c>
      <c r="G3238" s="37" t="str">
        <f t="shared" si="155"/>
        <v/>
      </c>
    </row>
    <row r="3239" spans="5:7" x14ac:dyDescent="0.45">
      <c r="E3239" s="32" t="str">
        <f t="shared" si="153"/>
        <v>.0</v>
      </c>
      <c r="F3239" s="32" t="str">
        <f t="shared" si="154"/>
        <v>.0</v>
      </c>
      <c r="G3239" s="37" t="str">
        <f t="shared" si="155"/>
        <v/>
      </c>
    </row>
    <row r="3240" spans="5:7" x14ac:dyDescent="0.45">
      <c r="E3240" s="32" t="str">
        <f t="shared" si="153"/>
        <v>.0</v>
      </c>
      <c r="F3240" s="32" t="str">
        <f t="shared" si="154"/>
        <v>.0</v>
      </c>
      <c r="G3240" s="37" t="str">
        <f t="shared" si="155"/>
        <v/>
      </c>
    </row>
    <row r="3241" spans="5:7" x14ac:dyDescent="0.45">
      <c r="E3241" s="32" t="str">
        <f t="shared" si="153"/>
        <v>.0</v>
      </c>
      <c r="F3241" s="32" t="str">
        <f t="shared" si="154"/>
        <v>.0</v>
      </c>
      <c r="G3241" s="37" t="str">
        <f t="shared" si="155"/>
        <v/>
      </c>
    </row>
    <row r="3242" spans="5:7" x14ac:dyDescent="0.45">
      <c r="E3242" s="32" t="str">
        <f t="shared" si="153"/>
        <v>.0</v>
      </c>
      <c r="F3242" s="32" t="str">
        <f t="shared" si="154"/>
        <v>.0</v>
      </c>
      <c r="G3242" s="37" t="str">
        <f t="shared" si="155"/>
        <v/>
      </c>
    </row>
    <row r="3243" spans="5:7" x14ac:dyDescent="0.45">
      <c r="E3243" s="32" t="str">
        <f t="shared" si="153"/>
        <v>.0</v>
      </c>
      <c r="F3243" s="32" t="str">
        <f t="shared" si="154"/>
        <v>.0</v>
      </c>
      <c r="G3243" s="37" t="str">
        <f t="shared" si="155"/>
        <v/>
      </c>
    </row>
    <row r="3244" spans="5:7" x14ac:dyDescent="0.45">
      <c r="E3244" s="32" t="str">
        <f t="shared" si="153"/>
        <v>.0</v>
      </c>
      <c r="F3244" s="32" t="str">
        <f t="shared" si="154"/>
        <v>.0</v>
      </c>
      <c r="G3244" s="37" t="str">
        <f t="shared" si="155"/>
        <v/>
      </c>
    </row>
    <row r="3245" spans="5:7" x14ac:dyDescent="0.45">
      <c r="E3245" s="32" t="str">
        <f t="shared" si="153"/>
        <v>.0</v>
      </c>
      <c r="F3245" s="32" t="str">
        <f t="shared" si="154"/>
        <v>.0</v>
      </c>
      <c r="G3245" s="37" t="str">
        <f t="shared" si="155"/>
        <v/>
      </c>
    </row>
    <row r="3246" spans="5:7" x14ac:dyDescent="0.45">
      <c r="E3246" s="32" t="str">
        <f t="shared" si="153"/>
        <v>.0</v>
      </c>
      <c r="F3246" s="32" t="str">
        <f t="shared" si="154"/>
        <v>.0</v>
      </c>
      <c r="G3246" s="37" t="str">
        <f t="shared" si="155"/>
        <v/>
      </c>
    </row>
    <row r="3247" spans="5:7" x14ac:dyDescent="0.45">
      <c r="E3247" s="32" t="str">
        <f t="shared" si="153"/>
        <v>.0</v>
      </c>
      <c r="F3247" s="32" t="str">
        <f t="shared" si="154"/>
        <v>.0</v>
      </c>
      <c r="G3247" s="37" t="str">
        <f t="shared" si="155"/>
        <v/>
      </c>
    </row>
    <row r="3248" spans="5:7" x14ac:dyDescent="0.45">
      <c r="E3248" s="32" t="str">
        <f t="shared" si="153"/>
        <v>.0</v>
      </c>
      <c r="F3248" s="32" t="str">
        <f t="shared" si="154"/>
        <v>.0</v>
      </c>
      <c r="G3248" s="37" t="str">
        <f t="shared" si="155"/>
        <v/>
      </c>
    </row>
    <row r="3249" spans="5:7" x14ac:dyDescent="0.45">
      <c r="E3249" s="32" t="str">
        <f t="shared" si="153"/>
        <v>.0</v>
      </c>
      <c r="F3249" s="32" t="str">
        <f t="shared" si="154"/>
        <v>.0</v>
      </c>
      <c r="G3249" s="37" t="str">
        <f t="shared" si="155"/>
        <v/>
      </c>
    </row>
    <row r="3250" spans="5:7" x14ac:dyDescent="0.45">
      <c r="E3250" s="32" t="str">
        <f t="shared" si="153"/>
        <v>.0</v>
      </c>
      <c r="F3250" s="32" t="str">
        <f t="shared" si="154"/>
        <v>.0</v>
      </c>
      <c r="G3250" s="37" t="str">
        <f t="shared" si="155"/>
        <v/>
      </c>
    </row>
    <row r="3251" spans="5:7" x14ac:dyDescent="0.45">
      <c r="E3251" s="32" t="str">
        <f t="shared" si="153"/>
        <v>.0</v>
      </c>
      <c r="F3251" s="32" t="str">
        <f t="shared" si="154"/>
        <v>.0</v>
      </c>
      <c r="G3251" s="37" t="str">
        <f t="shared" si="155"/>
        <v/>
      </c>
    </row>
    <row r="3252" spans="5:7" x14ac:dyDescent="0.45">
      <c r="E3252" s="32" t="str">
        <f t="shared" si="153"/>
        <v>.0</v>
      </c>
      <c r="F3252" s="32" t="str">
        <f t="shared" si="154"/>
        <v>.0</v>
      </c>
      <c r="G3252" s="37" t="str">
        <f t="shared" si="155"/>
        <v/>
      </c>
    </row>
    <row r="3253" spans="5:7" x14ac:dyDescent="0.45">
      <c r="E3253" s="32" t="str">
        <f t="shared" si="153"/>
        <v>.0</v>
      </c>
      <c r="F3253" s="32" t="str">
        <f t="shared" si="154"/>
        <v>.0</v>
      </c>
      <c r="G3253" s="37" t="str">
        <f t="shared" si="155"/>
        <v/>
      </c>
    </row>
    <row r="3254" spans="5:7" x14ac:dyDescent="0.45">
      <c r="E3254" s="32" t="str">
        <f t="shared" si="153"/>
        <v>.0</v>
      </c>
      <c r="F3254" s="32" t="str">
        <f t="shared" si="154"/>
        <v>.0</v>
      </c>
      <c r="G3254" s="37" t="str">
        <f t="shared" si="155"/>
        <v/>
      </c>
    </row>
    <row r="3255" spans="5:7" x14ac:dyDescent="0.45">
      <c r="E3255" s="32" t="str">
        <f t="shared" si="153"/>
        <v>.0</v>
      </c>
      <c r="F3255" s="32" t="str">
        <f t="shared" si="154"/>
        <v>.0</v>
      </c>
      <c r="G3255" s="37" t="str">
        <f t="shared" si="155"/>
        <v/>
      </c>
    </row>
    <row r="3256" spans="5:7" x14ac:dyDescent="0.45">
      <c r="E3256" s="32" t="str">
        <f t="shared" si="153"/>
        <v>.0</v>
      </c>
      <c r="F3256" s="32" t="str">
        <f t="shared" si="154"/>
        <v>.0</v>
      </c>
      <c r="G3256" s="37" t="str">
        <f t="shared" si="155"/>
        <v/>
      </c>
    </row>
    <row r="3257" spans="5:7" x14ac:dyDescent="0.45">
      <c r="E3257" s="32" t="str">
        <f t="shared" si="153"/>
        <v>.0</v>
      </c>
      <c r="F3257" s="32" t="str">
        <f t="shared" si="154"/>
        <v>.0</v>
      </c>
      <c r="G3257" s="37" t="str">
        <f t="shared" si="155"/>
        <v/>
      </c>
    </row>
    <row r="3258" spans="5:7" x14ac:dyDescent="0.45">
      <c r="E3258" s="32" t="str">
        <f t="shared" si="153"/>
        <v>.0</v>
      </c>
      <c r="F3258" s="32" t="str">
        <f t="shared" si="154"/>
        <v>.0</v>
      </c>
      <c r="G3258" s="37" t="str">
        <f t="shared" si="155"/>
        <v/>
      </c>
    </row>
    <row r="3259" spans="5:7" x14ac:dyDescent="0.45">
      <c r="E3259" s="32" t="str">
        <f t="shared" si="153"/>
        <v>.0</v>
      </c>
      <c r="F3259" s="32" t="str">
        <f t="shared" si="154"/>
        <v>.0</v>
      </c>
      <c r="G3259" s="37" t="str">
        <f t="shared" si="155"/>
        <v/>
      </c>
    </row>
    <row r="3260" spans="5:7" x14ac:dyDescent="0.45">
      <c r="E3260" s="32" t="str">
        <f t="shared" si="153"/>
        <v>.0</v>
      </c>
      <c r="F3260" s="32" t="str">
        <f t="shared" si="154"/>
        <v>.0</v>
      </c>
      <c r="G3260" s="37" t="str">
        <f t="shared" si="155"/>
        <v/>
      </c>
    </row>
    <row r="3261" spans="5:7" x14ac:dyDescent="0.45">
      <c r="E3261" s="32" t="str">
        <f t="shared" si="153"/>
        <v>.0</v>
      </c>
      <c r="F3261" s="32" t="str">
        <f t="shared" si="154"/>
        <v>.0</v>
      </c>
      <c r="G3261" s="37" t="str">
        <f t="shared" si="155"/>
        <v/>
      </c>
    </row>
    <row r="3262" spans="5:7" x14ac:dyDescent="0.45">
      <c r="E3262" s="32" t="str">
        <f t="shared" si="153"/>
        <v>.0</v>
      </c>
      <c r="F3262" s="32" t="str">
        <f t="shared" si="154"/>
        <v>.0</v>
      </c>
      <c r="G3262" s="37" t="str">
        <f t="shared" si="155"/>
        <v/>
      </c>
    </row>
    <row r="3263" spans="5:7" x14ac:dyDescent="0.45">
      <c r="E3263" s="32" t="str">
        <f t="shared" si="153"/>
        <v>.0</v>
      </c>
      <c r="F3263" s="32" t="str">
        <f t="shared" si="154"/>
        <v>.0</v>
      </c>
      <c r="G3263" s="37" t="str">
        <f t="shared" si="155"/>
        <v/>
      </c>
    </row>
    <row r="3264" spans="5:7" x14ac:dyDescent="0.45">
      <c r="E3264" s="32" t="str">
        <f t="shared" si="153"/>
        <v>.0</v>
      </c>
      <c r="F3264" s="32" t="str">
        <f t="shared" si="154"/>
        <v>.0</v>
      </c>
      <c r="G3264" s="37" t="str">
        <f t="shared" si="155"/>
        <v/>
      </c>
    </row>
    <row r="3265" spans="5:7" x14ac:dyDescent="0.45">
      <c r="E3265" s="32" t="str">
        <f t="shared" si="153"/>
        <v>.0</v>
      </c>
      <c r="F3265" s="32" t="str">
        <f t="shared" si="154"/>
        <v>.0</v>
      </c>
      <c r="G3265" s="37" t="str">
        <f t="shared" si="155"/>
        <v/>
      </c>
    </row>
    <row r="3266" spans="5:7" x14ac:dyDescent="0.45">
      <c r="E3266" s="32" t="str">
        <f t="shared" si="153"/>
        <v>.0</v>
      </c>
      <c r="F3266" s="32" t="str">
        <f t="shared" si="154"/>
        <v>.0</v>
      </c>
      <c r="G3266" s="37" t="str">
        <f t="shared" si="155"/>
        <v/>
      </c>
    </row>
    <row r="3267" spans="5:7" x14ac:dyDescent="0.45">
      <c r="E3267" s="32" t="str">
        <f t="shared" si="153"/>
        <v>.0</v>
      </c>
      <c r="F3267" s="32" t="str">
        <f t="shared" si="154"/>
        <v>.0</v>
      </c>
      <c r="G3267" s="37" t="str">
        <f t="shared" si="155"/>
        <v/>
      </c>
    </row>
    <row r="3268" spans="5:7" x14ac:dyDescent="0.45">
      <c r="E3268" s="32" t="str">
        <f t="shared" si="153"/>
        <v>.0</v>
      </c>
      <c r="F3268" s="32" t="str">
        <f t="shared" si="154"/>
        <v>.0</v>
      </c>
      <c r="G3268" s="37" t="str">
        <f t="shared" si="155"/>
        <v/>
      </c>
    </row>
    <row r="3269" spans="5:7" x14ac:dyDescent="0.45">
      <c r="E3269" s="32" t="str">
        <f t="shared" si="153"/>
        <v>.0</v>
      </c>
      <c r="F3269" s="32" t="str">
        <f t="shared" si="154"/>
        <v>.0</v>
      </c>
      <c r="G3269" s="37" t="str">
        <f t="shared" si="155"/>
        <v/>
      </c>
    </row>
    <row r="3270" spans="5:7" x14ac:dyDescent="0.45">
      <c r="E3270" s="32" t="str">
        <f t="shared" si="153"/>
        <v>.0</v>
      </c>
      <c r="F3270" s="32" t="str">
        <f t="shared" si="154"/>
        <v>.0</v>
      </c>
      <c r="G3270" s="37" t="str">
        <f t="shared" si="155"/>
        <v/>
      </c>
    </row>
    <row r="3271" spans="5:7" x14ac:dyDescent="0.45">
      <c r="E3271" s="32" t="str">
        <f t="shared" si="153"/>
        <v>.0</v>
      </c>
      <c r="F3271" s="32" t="str">
        <f t="shared" si="154"/>
        <v>.0</v>
      </c>
      <c r="G3271" s="37" t="str">
        <f t="shared" si="155"/>
        <v/>
      </c>
    </row>
    <row r="3272" spans="5:7" x14ac:dyDescent="0.45">
      <c r="E3272" s="32" t="str">
        <f t="shared" si="153"/>
        <v>.0</v>
      </c>
      <c r="F3272" s="32" t="str">
        <f t="shared" si="154"/>
        <v>.0</v>
      </c>
      <c r="G3272" s="37" t="str">
        <f t="shared" si="155"/>
        <v/>
      </c>
    </row>
    <row r="3273" spans="5:7" x14ac:dyDescent="0.45">
      <c r="E3273" s="32" t="str">
        <f t="shared" si="153"/>
        <v>.0</v>
      </c>
      <c r="F3273" s="32" t="str">
        <f t="shared" si="154"/>
        <v>.0</v>
      </c>
      <c r="G3273" s="37" t="str">
        <f t="shared" si="155"/>
        <v/>
      </c>
    </row>
    <row r="3274" spans="5:7" x14ac:dyDescent="0.45">
      <c r="E3274" s="32" t="str">
        <f t="shared" si="153"/>
        <v>.0</v>
      </c>
      <c r="F3274" s="32" t="str">
        <f t="shared" si="154"/>
        <v>.0</v>
      </c>
      <c r="G3274" s="37" t="str">
        <f t="shared" si="155"/>
        <v/>
      </c>
    </row>
    <row r="3275" spans="5:7" x14ac:dyDescent="0.45">
      <c r="E3275" s="32" t="str">
        <f t="shared" si="153"/>
        <v>.0</v>
      </c>
      <c r="F3275" s="32" t="str">
        <f t="shared" si="154"/>
        <v>.0</v>
      </c>
      <c r="G3275" s="37" t="str">
        <f t="shared" si="155"/>
        <v/>
      </c>
    </row>
    <row r="3276" spans="5:7" x14ac:dyDescent="0.45">
      <c r="E3276" s="32" t="str">
        <f t="shared" si="153"/>
        <v>.0</v>
      </c>
      <c r="F3276" s="32" t="str">
        <f t="shared" si="154"/>
        <v>.0</v>
      </c>
      <c r="G3276" s="37" t="str">
        <f t="shared" si="155"/>
        <v/>
      </c>
    </row>
    <row r="3277" spans="5:7" x14ac:dyDescent="0.45">
      <c r="E3277" s="32" t="str">
        <f t="shared" si="153"/>
        <v>.0</v>
      </c>
      <c r="F3277" s="32" t="str">
        <f t="shared" si="154"/>
        <v>.0</v>
      </c>
      <c r="G3277" s="37" t="str">
        <f t="shared" si="155"/>
        <v/>
      </c>
    </row>
    <row r="3278" spans="5:7" x14ac:dyDescent="0.45">
      <c r="E3278" s="32" t="str">
        <f t="shared" si="153"/>
        <v>.0</v>
      </c>
      <c r="F3278" s="32" t="str">
        <f t="shared" si="154"/>
        <v>.0</v>
      </c>
      <c r="G3278" s="37" t="str">
        <f t="shared" si="155"/>
        <v/>
      </c>
    </row>
    <row r="3279" spans="5:7" x14ac:dyDescent="0.45">
      <c r="E3279" s="32" t="str">
        <f t="shared" si="153"/>
        <v>.0</v>
      </c>
      <c r="F3279" s="32" t="str">
        <f t="shared" si="154"/>
        <v>.0</v>
      </c>
      <c r="G3279" s="37" t="str">
        <f t="shared" si="155"/>
        <v/>
      </c>
    </row>
    <row r="3280" spans="5:7" x14ac:dyDescent="0.45">
      <c r="E3280" s="32" t="str">
        <f t="shared" si="153"/>
        <v>.0</v>
      </c>
      <c r="F3280" s="32" t="str">
        <f t="shared" si="154"/>
        <v>.0</v>
      </c>
      <c r="G3280" s="37" t="str">
        <f t="shared" si="155"/>
        <v/>
      </c>
    </row>
    <row r="3281" spans="5:7" x14ac:dyDescent="0.45">
      <c r="E3281" s="32" t="str">
        <f t="shared" si="153"/>
        <v>.0</v>
      </c>
      <c r="F3281" s="32" t="str">
        <f t="shared" si="154"/>
        <v>.0</v>
      </c>
      <c r="G3281" s="37" t="str">
        <f t="shared" si="155"/>
        <v/>
      </c>
    </row>
    <row r="3282" spans="5:7" x14ac:dyDescent="0.45">
      <c r="E3282" s="32" t="str">
        <f t="shared" si="153"/>
        <v>.0</v>
      </c>
      <c r="F3282" s="32" t="str">
        <f t="shared" si="154"/>
        <v>.0</v>
      </c>
      <c r="G3282" s="37" t="str">
        <f t="shared" si="155"/>
        <v/>
      </c>
    </row>
    <row r="3283" spans="5:7" x14ac:dyDescent="0.45">
      <c r="E3283" s="32" t="str">
        <f t="shared" si="153"/>
        <v>.0</v>
      </c>
      <c r="F3283" s="32" t="str">
        <f t="shared" si="154"/>
        <v>.0</v>
      </c>
      <c r="G3283" s="37" t="str">
        <f t="shared" si="155"/>
        <v/>
      </c>
    </row>
    <row r="3284" spans="5:7" x14ac:dyDescent="0.45">
      <c r="E3284" s="32" t="str">
        <f t="shared" si="153"/>
        <v>.0</v>
      </c>
      <c r="F3284" s="32" t="str">
        <f t="shared" si="154"/>
        <v>.0</v>
      </c>
      <c r="G3284" s="37" t="str">
        <f t="shared" si="155"/>
        <v/>
      </c>
    </row>
    <row r="3285" spans="5:7" x14ac:dyDescent="0.45">
      <c r="E3285" s="32" t="str">
        <f t="shared" si="153"/>
        <v>.0</v>
      </c>
      <c r="F3285" s="32" t="str">
        <f t="shared" si="154"/>
        <v>.0</v>
      </c>
      <c r="G3285" s="37" t="str">
        <f t="shared" si="155"/>
        <v/>
      </c>
    </row>
    <row r="3286" spans="5:7" x14ac:dyDescent="0.45">
      <c r="E3286" s="32" t="str">
        <f t="shared" si="153"/>
        <v>.0</v>
      </c>
      <c r="F3286" s="32" t="str">
        <f t="shared" si="154"/>
        <v>.0</v>
      </c>
      <c r="G3286" s="37" t="str">
        <f t="shared" si="155"/>
        <v/>
      </c>
    </row>
    <row r="3287" spans="5:7" x14ac:dyDescent="0.45">
      <c r="E3287" s="32" t="str">
        <f t="shared" si="153"/>
        <v>.0</v>
      </c>
      <c r="F3287" s="32" t="str">
        <f t="shared" si="154"/>
        <v>.0</v>
      </c>
      <c r="G3287" s="37" t="str">
        <f t="shared" si="155"/>
        <v/>
      </c>
    </row>
    <row r="3288" spans="5:7" x14ac:dyDescent="0.45">
      <c r="E3288" s="32" t="str">
        <f t="shared" si="153"/>
        <v>.0</v>
      </c>
      <c r="F3288" s="32" t="str">
        <f t="shared" si="154"/>
        <v>.0</v>
      </c>
      <c r="G3288" s="37" t="str">
        <f t="shared" si="155"/>
        <v/>
      </c>
    </row>
    <row r="3289" spans="5:7" x14ac:dyDescent="0.45">
      <c r="E3289" s="32" t="str">
        <f t="shared" si="153"/>
        <v>.0</v>
      </c>
      <c r="F3289" s="32" t="str">
        <f t="shared" si="154"/>
        <v>.0</v>
      </c>
      <c r="G3289" s="37" t="str">
        <f t="shared" si="155"/>
        <v/>
      </c>
    </row>
    <row r="3290" spans="5:7" x14ac:dyDescent="0.45">
      <c r="E3290" s="32" t="str">
        <f t="shared" si="153"/>
        <v>.0</v>
      </c>
      <c r="F3290" s="32" t="str">
        <f t="shared" si="154"/>
        <v>.0</v>
      </c>
      <c r="G3290" s="37" t="str">
        <f t="shared" si="155"/>
        <v/>
      </c>
    </row>
    <row r="3291" spans="5:7" x14ac:dyDescent="0.45">
      <c r="E3291" s="32" t="str">
        <f t="shared" si="153"/>
        <v>.0</v>
      </c>
      <c r="F3291" s="32" t="str">
        <f t="shared" si="154"/>
        <v>.0</v>
      </c>
      <c r="G3291" s="37" t="str">
        <f t="shared" si="155"/>
        <v/>
      </c>
    </row>
    <row r="3292" spans="5:7" x14ac:dyDescent="0.45">
      <c r="E3292" s="32" t="str">
        <f t="shared" si="153"/>
        <v>.0</v>
      </c>
      <c r="F3292" s="32" t="str">
        <f t="shared" si="154"/>
        <v>.0</v>
      </c>
      <c r="G3292" s="37" t="str">
        <f t="shared" si="155"/>
        <v/>
      </c>
    </row>
    <row r="3293" spans="5:7" x14ac:dyDescent="0.45">
      <c r="E3293" s="32" t="str">
        <f t="shared" si="153"/>
        <v>.0</v>
      </c>
      <c r="F3293" s="32" t="str">
        <f t="shared" si="154"/>
        <v>.0</v>
      </c>
      <c r="G3293" s="37" t="str">
        <f t="shared" si="155"/>
        <v/>
      </c>
    </row>
    <row r="3294" spans="5:7" x14ac:dyDescent="0.45">
      <c r="E3294" s="32" t="str">
        <f t="shared" ref="E3294:E3357" si="156">MID(B3294,3,2)&amp;"."&amp;IF(C3294&lt;10,"0"&amp;C3294,C3294)</f>
        <v>.0</v>
      </c>
      <c r="F3294" s="32" t="str">
        <f t="shared" ref="F3294:F3357" si="157">MID(B3294,3,2)&amp;"."&amp;IF(C3294&lt;10,"0"&amp;C3294,C3294)</f>
        <v>.0</v>
      </c>
      <c r="G3294" s="37" t="str">
        <f t="shared" ref="G3294:G3357" si="158">TEXT(D3294,"#,###,")</f>
        <v/>
      </c>
    </row>
    <row r="3295" spans="5:7" x14ac:dyDescent="0.45">
      <c r="E3295" s="32" t="str">
        <f t="shared" si="156"/>
        <v>.0</v>
      </c>
      <c r="F3295" s="32" t="str">
        <f t="shared" si="157"/>
        <v>.0</v>
      </c>
      <c r="G3295" s="37" t="str">
        <f t="shared" si="158"/>
        <v/>
      </c>
    </row>
    <row r="3296" spans="5:7" x14ac:dyDescent="0.45">
      <c r="E3296" s="32" t="str">
        <f t="shared" si="156"/>
        <v>.0</v>
      </c>
      <c r="F3296" s="32" t="str">
        <f t="shared" si="157"/>
        <v>.0</v>
      </c>
      <c r="G3296" s="37" t="str">
        <f t="shared" si="158"/>
        <v/>
      </c>
    </row>
    <row r="3297" spans="5:7" x14ac:dyDescent="0.45">
      <c r="E3297" s="32" t="str">
        <f t="shared" si="156"/>
        <v>.0</v>
      </c>
      <c r="F3297" s="32" t="str">
        <f t="shared" si="157"/>
        <v>.0</v>
      </c>
      <c r="G3297" s="37" t="str">
        <f t="shared" si="158"/>
        <v/>
      </c>
    </row>
    <row r="3298" spans="5:7" x14ac:dyDescent="0.45">
      <c r="E3298" s="32" t="str">
        <f t="shared" si="156"/>
        <v>.0</v>
      </c>
      <c r="F3298" s="32" t="str">
        <f t="shared" si="157"/>
        <v>.0</v>
      </c>
      <c r="G3298" s="37" t="str">
        <f t="shared" si="158"/>
        <v/>
      </c>
    </row>
    <row r="3299" spans="5:7" x14ac:dyDescent="0.45">
      <c r="E3299" s="32" t="str">
        <f t="shared" si="156"/>
        <v>.0</v>
      </c>
      <c r="F3299" s="32" t="str">
        <f t="shared" si="157"/>
        <v>.0</v>
      </c>
      <c r="G3299" s="37" t="str">
        <f t="shared" si="158"/>
        <v/>
      </c>
    </row>
    <row r="3300" spans="5:7" x14ac:dyDescent="0.45">
      <c r="E3300" s="32" t="str">
        <f t="shared" si="156"/>
        <v>.0</v>
      </c>
      <c r="F3300" s="32" t="str">
        <f t="shared" si="157"/>
        <v>.0</v>
      </c>
      <c r="G3300" s="37" t="str">
        <f t="shared" si="158"/>
        <v/>
      </c>
    </row>
    <row r="3301" spans="5:7" x14ac:dyDescent="0.45">
      <c r="E3301" s="32" t="str">
        <f t="shared" si="156"/>
        <v>.0</v>
      </c>
      <c r="F3301" s="32" t="str">
        <f t="shared" si="157"/>
        <v>.0</v>
      </c>
      <c r="G3301" s="37" t="str">
        <f t="shared" si="158"/>
        <v/>
      </c>
    </row>
    <row r="3302" spans="5:7" x14ac:dyDescent="0.45">
      <c r="E3302" s="32" t="str">
        <f t="shared" si="156"/>
        <v>.0</v>
      </c>
      <c r="F3302" s="32" t="str">
        <f t="shared" si="157"/>
        <v>.0</v>
      </c>
      <c r="G3302" s="37" t="str">
        <f t="shared" si="158"/>
        <v/>
      </c>
    </row>
    <row r="3303" spans="5:7" x14ac:dyDescent="0.45">
      <c r="E3303" s="32" t="str">
        <f t="shared" si="156"/>
        <v>.0</v>
      </c>
      <c r="F3303" s="32" t="str">
        <f t="shared" si="157"/>
        <v>.0</v>
      </c>
      <c r="G3303" s="37" t="str">
        <f t="shared" si="158"/>
        <v/>
      </c>
    </row>
    <row r="3304" spans="5:7" x14ac:dyDescent="0.45">
      <c r="E3304" s="32" t="str">
        <f t="shared" si="156"/>
        <v>.0</v>
      </c>
      <c r="F3304" s="32" t="str">
        <f t="shared" si="157"/>
        <v>.0</v>
      </c>
      <c r="G3304" s="37" t="str">
        <f t="shared" si="158"/>
        <v/>
      </c>
    </row>
    <row r="3305" spans="5:7" x14ac:dyDescent="0.45">
      <c r="E3305" s="32" t="str">
        <f t="shared" si="156"/>
        <v>.0</v>
      </c>
      <c r="F3305" s="32" t="str">
        <f t="shared" si="157"/>
        <v>.0</v>
      </c>
      <c r="G3305" s="37" t="str">
        <f t="shared" si="158"/>
        <v/>
      </c>
    </row>
    <row r="3306" spans="5:7" x14ac:dyDescent="0.45">
      <c r="E3306" s="32" t="str">
        <f t="shared" si="156"/>
        <v>.0</v>
      </c>
      <c r="F3306" s="32" t="str">
        <f t="shared" si="157"/>
        <v>.0</v>
      </c>
      <c r="G3306" s="37" t="str">
        <f t="shared" si="158"/>
        <v/>
      </c>
    </row>
    <row r="3307" spans="5:7" x14ac:dyDescent="0.45">
      <c r="E3307" s="32" t="str">
        <f t="shared" si="156"/>
        <v>.0</v>
      </c>
      <c r="F3307" s="32" t="str">
        <f t="shared" si="157"/>
        <v>.0</v>
      </c>
      <c r="G3307" s="37" t="str">
        <f t="shared" si="158"/>
        <v/>
      </c>
    </row>
    <row r="3308" spans="5:7" x14ac:dyDescent="0.45">
      <c r="E3308" s="32" t="str">
        <f t="shared" si="156"/>
        <v>.0</v>
      </c>
      <c r="F3308" s="32" t="str">
        <f t="shared" si="157"/>
        <v>.0</v>
      </c>
      <c r="G3308" s="37" t="str">
        <f t="shared" si="158"/>
        <v/>
      </c>
    </row>
    <row r="3309" spans="5:7" x14ac:dyDescent="0.45">
      <c r="E3309" s="32" t="str">
        <f t="shared" si="156"/>
        <v>.0</v>
      </c>
      <c r="F3309" s="32" t="str">
        <f t="shared" si="157"/>
        <v>.0</v>
      </c>
      <c r="G3309" s="37" t="str">
        <f t="shared" si="158"/>
        <v/>
      </c>
    </row>
    <row r="3310" spans="5:7" x14ac:dyDescent="0.45">
      <c r="E3310" s="32" t="str">
        <f t="shared" si="156"/>
        <v>.0</v>
      </c>
      <c r="F3310" s="32" t="str">
        <f t="shared" si="157"/>
        <v>.0</v>
      </c>
      <c r="G3310" s="37" t="str">
        <f t="shared" si="158"/>
        <v/>
      </c>
    </row>
    <row r="3311" spans="5:7" x14ac:dyDescent="0.45">
      <c r="E3311" s="32" t="str">
        <f t="shared" si="156"/>
        <v>.0</v>
      </c>
      <c r="F3311" s="32" t="str">
        <f t="shared" si="157"/>
        <v>.0</v>
      </c>
      <c r="G3311" s="37" t="str">
        <f t="shared" si="158"/>
        <v/>
      </c>
    </row>
    <row r="3312" spans="5:7" x14ac:dyDescent="0.45">
      <c r="E3312" s="32" t="str">
        <f t="shared" si="156"/>
        <v>.0</v>
      </c>
      <c r="F3312" s="32" t="str">
        <f t="shared" si="157"/>
        <v>.0</v>
      </c>
      <c r="G3312" s="37" t="str">
        <f t="shared" si="158"/>
        <v/>
      </c>
    </row>
    <row r="3313" spans="5:7" x14ac:dyDescent="0.45">
      <c r="E3313" s="32" t="str">
        <f t="shared" si="156"/>
        <v>.0</v>
      </c>
      <c r="F3313" s="32" t="str">
        <f t="shared" si="157"/>
        <v>.0</v>
      </c>
      <c r="G3313" s="37" t="str">
        <f t="shared" si="158"/>
        <v/>
      </c>
    </row>
    <row r="3314" spans="5:7" x14ac:dyDescent="0.45">
      <c r="E3314" s="32" t="str">
        <f t="shared" si="156"/>
        <v>.0</v>
      </c>
      <c r="F3314" s="32" t="str">
        <f t="shared" si="157"/>
        <v>.0</v>
      </c>
      <c r="G3314" s="37" t="str">
        <f t="shared" si="158"/>
        <v/>
      </c>
    </row>
    <row r="3315" spans="5:7" x14ac:dyDescent="0.45">
      <c r="E3315" s="32" t="str">
        <f t="shared" si="156"/>
        <v>.0</v>
      </c>
      <c r="F3315" s="32" t="str">
        <f t="shared" si="157"/>
        <v>.0</v>
      </c>
      <c r="G3315" s="37" t="str">
        <f t="shared" si="158"/>
        <v/>
      </c>
    </row>
    <row r="3316" spans="5:7" x14ac:dyDescent="0.45">
      <c r="E3316" s="32" t="str">
        <f t="shared" si="156"/>
        <v>.0</v>
      </c>
      <c r="F3316" s="32" t="str">
        <f t="shared" si="157"/>
        <v>.0</v>
      </c>
      <c r="G3316" s="37" t="str">
        <f t="shared" si="158"/>
        <v/>
      </c>
    </row>
    <row r="3317" spans="5:7" x14ac:dyDescent="0.45">
      <c r="E3317" s="32" t="str">
        <f t="shared" si="156"/>
        <v>.0</v>
      </c>
      <c r="F3317" s="32" t="str">
        <f t="shared" si="157"/>
        <v>.0</v>
      </c>
      <c r="G3317" s="37" t="str">
        <f t="shared" si="158"/>
        <v/>
      </c>
    </row>
    <row r="3318" spans="5:7" x14ac:dyDescent="0.45">
      <c r="E3318" s="32" t="str">
        <f t="shared" si="156"/>
        <v>.0</v>
      </c>
      <c r="F3318" s="32" t="str">
        <f t="shared" si="157"/>
        <v>.0</v>
      </c>
      <c r="G3318" s="37" t="str">
        <f t="shared" si="158"/>
        <v/>
      </c>
    </row>
    <row r="3319" spans="5:7" x14ac:dyDescent="0.45">
      <c r="E3319" s="32" t="str">
        <f t="shared" si="156"/>
        <v>.0</v>
      </c>
      <c r="F3319" s="32" t="str">
        <f t="shared" si="157"/>
        <v>.0</v>
      </c>
      <c r="G3319" s="37" t="str">
        <f t="shared" si="158"/>
        <v/>
      </c>
    </row>
    <row r="3320" spans="5:7" x14ac:dyDescent="0.45">
      <c r="E3320" s="32" t="str">
        <f t="shared" si="156"/>
        <v>.0</v>
      </c>
      <c r="F3320" s="32" t="str">
        <f t="shared" si="157"/>
        <v>.0</v>
      </c>
      <c r="G3320" s="37" t="str">
        <f t="shared" si="158"/>
        <v/>
      </c>
    </row>
    <row r="3321" spans="5:7" x14ac:dyDescent="0.45">
      <c r="E3321" s="32" t="str">
        <f t="shared" si="156"/>
        <v>.0</v>
      </c>
      <c r="F3321" s="32" t="str">
        <f t="shared" si="157"/>
        <v>.0</v>
      </c>
      <c r="G3321" s="37" t="str">
        <f t="shared" si="158"/>
        <v/>
      </c>
    </row>
    <row r="3322" spans="5:7" x14ac:dyDescent="0.45">
      <c r="E3322" s="32" t="str">
        <f t="shared" si="156"/>
        <v>.0</v>
      </c>
      <c r="F3322" s="32" t="str">
        <f t="shared" si="157"/>
        <v>.0</v>
      </c>
      <c r="G3322" s="37" t="str">
        <f t="shared" si="158"/>
        <v/>
      </c>
    </row>
    <row r="3323" spans="5:7" x14ac:dyDescent="0.45">
      <c r="E3323" s="32" t="str">
        <f t="shared" si="156"/>
        <v>.0</v>
      </c>
      <c r="F3323" s="32" t="str">
        <f t="shared" si="157"/>
        <v>.0</v>
      </c>
      <c r="G3323" s="37" t="str">
        <f t="shared" si="158"/>
        <v/>
      </c>
    </row>
    <row r="3324" spans="5:7" x14ac:dyDescent="0.45">
      <c r="E3324" s="32" t="str">
        <f t="shared" si="156"/>
        <v>.0</v>
      </c>
      <c r="F3324" s="32" t="str">
        <f t="shared" si="157"/>
        <v>.0</v>
      </c>
      <c r="G3324" s="37" t="str">
        <f t="shared" si="158"/>
        <v/>
      </c>
    </row>
    <row r="3325" spans="5:7" x14ac:dyDescent="0.45">
      <c r="E3325" s="32" t="str">
        <f t="shared" si="156"/>
        <v>.0</v>
      </c>
      <c r="F3325" s="32" t="str">
        <f t="shared" si="157"/>
        <v>.0</v>
      </c>
      <c r="G3325" s="37" t="str">
        <f t="shared" si="158"/>
        <v/>
      </c>
    </row>
    <row r="3326" spans="5:7" x14ac:dyDescent="0.45">
      <c r="E3326" s="32" t="str">
        <f t="shared" si="156"/>
        <v>.0</v>
      </c>
      <c r="F3326" s="32" t="str">
        <f t="shared" si="157"/>
        <v>.0</v>
      </c>
      <c r="G3326" s="37" t="str">
        <f t="shared" si="158"/>
        <v/>
      </c>
    </row>
    <row r="3327" spans="5:7" x14ac:dyDescent="0.45">
      <c r="E3327" s="32" t="str">
        <f t="shared" si="156"/>
        <v>.0</v>
      </c>
      <c r="F3327" s="32" t="str">
        <f t="shared" si="157"/>
        <v>.0</v>
      </c>
      <c r="G3327" s="37" t="str">
        <f t="shared" si="158"/>
        <v/>
      </c>
    </row>
    <row r="3328" spans="5:7" x14ac:dyDescent="0.45">
      <c r="E3328" s="32" t="str">
        <f t="shared" si="156"/>
        <v>.0</v>
      </c>
      <c r="F3328" s="32" t="str">
        <f t="shared" si="157"/>
        <v>.0</v>
      </c>
      <c r="G3328" s="37" t="str">
        <f t="shared" si="158"/>
        <v/>
      </c>
    </row>
    <row r="3329" spans="5:7" x14ac:dyDescent="0.45">
      <c r="E3329" s="32" t="str">
        <f t="shared" si="156"/>
        <v>.0</v>
      </c>
      <c r="F3329" s="32" t="str">
        <f t="shared" si="157"/>
        <v>.0</v>
      </c>
      <c r="G3329" s="37" t="str">
        <f t="shared" si="158"/>
        <v/>
      </c>
    </row>
    <row r="3330" spans="5:7" x14ac:dyDescent="0.45">
      <c r="E3330" s="32" t="str">
        <f t="shared" si="156"/>
        <v>.0</v>
      </c>
      <c r="F3330" s="32" t="str">
        <f t="shared" si="157"/>
        <v>.0</v>
      </c>
      <c r="G3330" s="37" t="str">
        <f t="shared" si="158"/>
        <v/>
      </c>
    </row>
    <row r="3331" spans="5:7" x14ac:dyDescent="0.45">
      <c r="E3331" s="32" t="str">
        <f t="shared" si="156"/>
        <v>.0</v>
      </c>
      <c r="F3331" s="32" t="str">
        <f t="shared" si="157"/>
        <v>.0</v>
      </c>
      <c r="G3331" s="37" t="str">
        <f t="shared" si="158"/>
        <v/>
      </c>
    </row>
    <row r="3332" spans="5:7" x14ac:dyDescent="0.45">
      <c r="E3332" s="32" t="str">
        <f t="shared" si="156"/>
        <v>.0</v>
      </c>
      <c r="F3332" s="32" t="str">
        <f t="shared" si="157"/>
        <v>.0</v>
      </c>
      <c r="G3332" s="37" t="str">
        <f t="shared" si="158"/>
        <v/>
      </c>
    </row>
    <row r="3333" spans="5:7" x14ac:dyDescent="0.45">
      <c r="E3333" s="32" t="str">
        <f t="shared" si="156"/>
        <v>.0</v>
      </c>
      <c r="F3333" s="32" t="str">
        <f t="shared" si="157"/>
        <v>.0</v>
      </c>
      <c r="G3333" s="37" t="str">
        <f t="shared" si="158"/>
        <v/>
      </c>
    </row>
    <row r="3334" spans="5:7" x14ac:dyDescent="0.45">
      <c r="E3334" s="32" t="str">
        <f t="shared" si="156"/>
        <v>.0</v>
      </c>
      <c r="F3334" s="32" t="str">
        <f t="shared" si="157"/>
        <v>.0</v>
      </c>
      <c r="G3334" s="37" t="str">
        <f t="shared" si="158"/>
        <v/>
      </c>
    </row>
    <row r="3335" spans="5:7" x14ac:dyDescent="0.45">
      <c r="E3335" s="32" t="str">
        <f t="shared" si="156"/>
        <v>.0</v>
      </c>
      <c r="F3335" s="32" t="str">
        <f t="shared" si="157"/>
        <v>.0</v>
      </c>
      <c r="G3335" s="37" t="str">
        <f t="shared" si="158"/>
        <v/>
      </c>
    </row>
    <row r="3336" spans="5:7" x14ac:dyDescent="0.45">
      <c r="E3336" s="32" t="str">
        <f t="shared" si="156"/>
        <v>.0</v>
      </c>
      <c r="F3336" s="32" t="str">
        <f t="shared" si="157"/>
        <v>.0</v>
      </c>
      <c r="G3336" s="37" t="str">
        <f t="shared" si="158"/>
        <v/>
      </c>
    </row>
    <row r="3337" spans="5:7" x14ac:dyDescent="0.45">
      <c r="E3337" s="32" t="str">
        <f t="shared" si="156"/>
        <v>.0</v>
      </c>
      <c r="F3337" s="32" t="str">
        <f t="shared" si="157"/>
        <v>.0</v>
      </c>
      <c r="G3337" s="37" t="str">
        <f t="shared" si="158"/>
        <v/>
      </c>
    </row>
    <row r="3338" spans="5:7" x14ac:dyDescent="0.45">
      <c r="E3338" s="32" t="str">
        <f t="shared" si="156"/>
        <v>.0</v>
      </c>
      <c r="F3338" s="32" t="str">
        <f t="shared" si="157"/>
        <v>.0</v>
      </c>
      <c r="G3338" s="37" t="str">
        <f t="shared" si="158"/>
        <v/>
      </c>
    </row>
    <row r="3339" spans="5:7" x14ac:dyDescent="0.45">
      <c r="E3339" s="32" t="str">
        <f t="shared" si="156"/>
        <v>.0</v>
      </c>
      <c r="F3339" s="32" t="str">
        <f t="shared" si="157"/>
        <v>.0</v>
      </c>
      <c r="G3339" s="37" t="str">
        <f t="shared" si="158"/>
        <v/>
      </c>
    </row>
    <row r="3340" spans="5:7" x14ac:dyDescent="0.45">
      <c r="E3340" s="32" t="str">
        <f t="shared" si="156"/>
        <v>.0</v>
      </c>
      <c r="F3340" s="32" t="str">
        <f t="shared" si="157"/>
        <v>.0</v>
      </c>
      <c r="G3340" s="37" t="str">
        <f t="shared" si="158"/>
        <v/>
      </c>
    </row>
    <row r="3341" spans="5:7" x14ac:dyDescent="0.45">
      <c r="E3341" s="32" t="str">
        <f t="shared" si="156"/>
        <v>.0</v>
      </c>
      <c r="F3341" s="32" t="str">
        <f t="shared" si="157"/>
        <v>.0</v>
      </c>
      <c r="G3341" s="37" t="str">
        <f t="shared" si="158"/>
        <v/>
      </c>
    </row>
    <row r="3342" spans="5:7" x14ac:dyDescent="0.45">
      <c r="E3342" s="32" t="str">
        <f t="shared" si="156"/>
        <v>.0</v>
      </c>
      <c r="F3342" s="32" t="str">
        <f t="shared" si="157"/>
        <v>.0</v>
      </c>
      <c r="G3342" s="37" t="str">
        <f t="shared" si="158"/>
        <v/>
      </c>
    </row>
    <row r="3343" spans="5:7" x14ac:dyDescent="0.45">
      <c r="E3343" s="32" t="str">
        <f t="shared" si="156"/>
        <v>.0</v>
      </c>
      <c r="F3343" s="32" t="str">
        <f t="shared" si="157"/>
        <v>.0</v>
      </c>
      <c r="G3343" s="37" t="str">
        <f t="shared" si="158"/>
        <v/>
      </c>
    </row>
    <row r="3344" spans="5:7" x14ac:dyDescent="0.45">
      <c r="E3344" s="32" t="str">
        <f t="shared" si="156"/>
        <v>.0</v>
      </c>
      <c r="F3344" s="32" t="str">
        <f t="shared" si="157"/>
        <v>.0</v>
      </c>
      <c r="G3344" s="37" t="str">
        <f t="shared" si="158"/>
        <v/>
      </c>
    </row>
    <row r="3345" spans="5:7" x14ac:dyDescent="0.45">
      <c r="E3345" s="32" t="str">
        <f t="shared" si="156"/>
        <v>.0</v>
      </c>
      <c r="F3345" s="32" t="str">
        <f t="shared" si="157"/>
        <v>.0</v>
      </c>
      <c r="G3345" s="37" t="str">
        <f t="shared" si="158"/>
        <v/>
      </c>
    </row>
    <row r="3346" spans="5:7" x14ac:dyDescent="0.45">
      <c r="E3346" s="32" t="str">
        <f t="shared" si="156"/>
        <v>.0</v>
      </c>
      <c r="F3346" s="32" t="str">
        <f t="shared" si="157"/>
        <v>.0</v>
      </c>
      <c r="G3346" s="37" t="str">
        <f t="shared" si="158"/>
        <v/>
      </c>
    </row>
    <row r="3347" spans="5:7" x14ac:dyDescent="0.45">
      <c r="E3347" s="32" t="str">
        <f t="shared" si="156"/>
        <v>.0</v>
      </c>
      <c r="F3347" s="32" t="str">
        <f t="shared" si="157"/>
        <v>.0</v>
      </c>
      <c r="G3347" s="37" t="str">
        <f t="shared" si="158"/>
        <v/>
      </c>
    </row>
    <row r="3348" spans="5:7" x14ac:dyDescent="0.45">
      <c r="E3348" s="32" t="str">
        <f t="shared" si="156"/>
        <v>.0</v>
      </c>
      <c r="F3348" s="32" t="str">
        <f t="shared" si="157"/>
        <v>.0</v>
      </c>
      <c r="G3348" s="37" t="str">
        <f t="shared" si="158"/>
        <v/>
      </c>
    </row>
    <row r="3349" spans="5:7" x14ac:dyDescent="0.45">
      <c r="E3349" s="32" t="str">
        <f t="shared" si="156"/>
        <v>.0</v>
      </c>
      <c r="F3349" s="32" t="str">
        <f t="shared" si="157"/>
        <v>.0</v>
      </c>
      <c r="G3349" s="37" t="str">
        <f t="shared" si="158"/>
        <v/>
      </c>
    </row>
    <row r="3350" spans="5:7" x14ac:dyDescent="0.45">
      <c r="E3350" s="32" t="str">
        <f t="shared" si="156"/>
        <v>.0</v>
      </c>
      <c r="F3350" s="32" t="str">
        <f t="shared" si="157"/>
        <v>.0</v>
      </c>
      <c r="G3350" s="37" t="str">
        <f t="shared" si="158"/>
        <v/>
      </c>
    </row>
    <row r="3351" spans="5:7" x14ac:dyDescent="0.45">
      <c r="E3351" s="32" t="str">
        <f t="shared" si="156"/>
        <v>.0</v>
      </c>
      <c r="F3351" s="32" t="str">
        <f t="shared" si="157"/>
        <v>.0</v>
      </c>
      <c r="G3351" s="37" t="str">
        <f t="shared" si="158"/>
        <v/>
      </c>
    </row>
    <row r="3352" spans="5:7" x14ac:dyDescent="0.45">
      <c r="E3352" s="32" t="str">
        <f t="shared" si="156"/>
        <v>.0</v>
      </c>
      <c r="F3352" s="32" t="str">
        <f t="shared" si="157"/>
        <v>.0</v>
      </c>
      <c r="G3352" s="37" t="str">
        <f t="shared" si="158"/>
        <v/>
      </c>
    </row>
    <row r="3353" spans="5:7" x14ac:dyDescent="0.45">
      <c r="E3353" s="32" t="str">
        <f t="shared" si="156"/>
        <v>.0</v>
      </c>
      <c r="F3353" s="32" t="str">
        <f t="shared" si="157"/>
        <v>.0</v>
      </c>
      <c r="G3353" s="37" t="str">
        <f t="shared" si="158"/>
        <v/>
      </c>
    </row>
    <row r="3354" spans="5:7" x14ac:dyDescent="0.45">
      <c r="E3354" s="32" t="str">
        <f t="shared" si="156"/>
        <v>.0</v>
      </c>
      <c r="F3354" s="32" t="str">
        <f t="shared" si="157"/>
        <v>.0</v>
      </c>
      <c r="G3354" s="37" t="str">
        <f t="shared" si="158"/>
        <v/>
      </c>
    </row>
    <row r="3355" spans="5:7" x14ac:dyDescent="0.45">
      <c r="E3355" s="32" t="str">
        <f t="shared" si="156"/>
        <v>.0</v>
      </c>
      <c r="F3355" s="32" t="str">
        <f t="shared" si="157"/>
        <v>.0</v>
      </c>
      <c r="G3355" s="37" t="str">
        <f t="shared" si="158"/>
        <v/>
      </c>
    </row>
    <row r="3356" spans="5:7" x14ac:dyDescent="0.45">
      <c r="E3356" s="32" t="str">
        <f t="shared" si="156"/>
        <v>.0</v>
      </c>
      <c r="F3356" s="32" t="str">
        <f t="shared" si="157"/>
        <v>.0</v>
      </c>
      <c r="G3356" s="37" t="str">
        <f t="shared" si="158"/>
        <v/>
      </c>
    </row>
    <row r="3357" spans="5:7" x14ac:dyDescent="0.45">
      <c r="E3357" s="32" t="str">
        <f t="shared" si="156"/>
        <v>.0</v>
      </c>
      <c r="F3357" s="32" t="str">
        <f t="shared" si="157"/>
        <v>.0</v>
      </c>
      <c r="G3357" s="37" t="str">
        <f t="shared" si="158"/>
        <v/>
      </c>
    </row>
    <row r="3358" spans="5:7" x14ac:dyDescent="0.45">
      <c r="E3358" s="32" t="str">
        <f t="shared" ref="E3358:E3421" si="159">MID(B3358,3,2)&amp;"."&amp;IF(C3358&lt;10,"0"&amp;C3358,C3358)</f>
        <v>.0</v>
      </c>
      <c r="F3358" s="32" t="str">
        <f t="shared" ref="F3358:F3421" si="160">MID(B3358,3,2)&amp;"."&amp;IF(C3358&lt;10,"0"&amp;C3358,C3358)</f>
        <v>.0</v>
      </c>
      <c r="G3358" s="37" t="str">
        <f t="shared" ref="G3358:G3421" si="161">TEXT(D3358,"#,###,")</f>
        <v/>
      </c>
    </row>
    <row r="3359" spans="5:7" x14ac:dyDescent="0.45">
      <c r="E3359" s="32" t="str">
        <f t="shared" si="159"/>
        <v>.0</v>
      </c>
      <c r="F3359" s="32" t="str">
        <f t="shared" si="160"/>
        <v>.0</v>
      </c>
      <c r="G3359" s="37" t="str">
        <f t="shared" si="161"/>
        <v/>
      </c>
    </row>
    <row r="3360" spans="5:7" x14ac:dyDescent="0.45">
      <c r="E3360" s="32" t="str">
        <f t="shared" si="159"/>
        <v>.0</v>
      </c>
      <c r="F3360" s="32" t="str">
        <f t="shared" si="160"/>
        <v>.0</v>
      </c>
      <c r="G3360" s="37" t="str">
        <f t="shared" si="161"/>
        <v/>
      </c>
    </row>
    <row r="3361" spans="5:7" x14ac:dyDescent="0.45">
      <c r="E3361" s="32" t="str">
        <f t="shared" si="159"/>
        <v>.0</v>
      </c>
      <c r="F3361" s="32" t="str">
        <f t="shared" si="160"/>
        <v>.0</v>
      </c>
      <c r="G3361" s="37" t="str">
        <f t="shared" si="161"/>
        <v/>
      </c>
    </row>
    <row r="3362" spans="5:7" x14ac:dyDescent="0.45">
      <c r="E3362" s="32" t="str">
        <f t="shared" si="159"/>
        <v>.0</v>
      </c>
      <c r="F3362" s="32" t="str">
        <f t="shared" si="160"/>
        <v>.0</v>
      </c>
      <c r="G3362" s="37" t="str">
        <f t="shared" si="161"/>
        <v/>
      </c>
    </row>
    <row r="3363" spans="5:7" x14ac:dyDescent="0.45">
      <c r="E3363" s="32" t="str">
        <f t="shared" si="159"/>
        <v>.0</v>
      </c>
      <c r="F3363" s="32" t="str">
        <f t="shared" si="160"/>
        <v>.0</v>
      </c>
      <c r="G3363" s="37" t="str">
        <f t="shared" si="161"/>
        <v/>
      </c>
    </row>
    <row r="3364" spans="5:7" x14ac:dyDescent="0.45">
      <c r="E3364" s="32" t="str">
        <f t="shared" si="159"/>
        <v>.0</v>
      </c>
      <c r="F3364" s="32" t="str">
        <f t="shared" si="160"/>
        <v>.0</v>
      </c>
      <c r="G3364" s="37" t="str">
        <f t="shared" si="161"/>
        <v/>
      </c>
    </row>
    <row r="3365" spans="5:7" x14ac:dyDescent="0.45">
      <c r="E3365" s="32" t="str">
        <f t="shared" si="159"/>
        <v>.0</v>
      </c>
      <c r="F3365" s="32" t="str">
        <f t="shared" si="160"/>
        <v>.0</v>
      </c>
      <c r="G3365" s="37" t="str">
        <f t="shared" si="161"/>
        <v/>
      </c>
    </row>
    <row r="3366" spans="5:7" x14ac:dyDescent="0.45">
      <c r="E3366" s="32" t="str">
        <f t="shared" si="159"/>
        <v>.0</v>
      </c>
      <c r="F3366" s="32" t="str">
        <f t="shared" si="160"/>
        <v>.0</v>
      </c>
      <c r="G3366" s="37" t="str">
        <f t="shared" si="161"/>
        <v/>
      </c>
    </row>
    <row r="3367" spans="5:7" x14ac:dyDescent="0.45">
      <c r="E3367" s="32" t="str">
        <f t="shared" si="159"/>
        <v>.0</v>
      </c>
      <c r="F3367" s="32" t="str">
        <f t="shared" si="160"/>
        <v>.0</v>
      </c>
      <c r="G3367" s="37" t="str">
        <f t="shared" si="161"/>
        <v/>
      </c>
    </row>
    <row r="3368" spans="5:7" x14ac:dyDescent="0.45">
      <c r="E3368" s="32" t="str">
        <f t="shared" si="159"/>
        <v>.0</v>
      </c>
      <c r="F3368" s="32" t="str">
        <f t="shared" si="160"/>
        <v>.0</v>
      </c>
      <c r="G3368" s="37" t="str">
        <f t="shared" si="161"/>
        <v/>
      </c>
    </row>
    <row r="3369" spans="5:7" x14ac:dyDescent="0.45">
      <c r="E3369" s="32" t="str">
        <f t="shared" si="159"/>
        <v>.0</v>
      </c>
      <c r="F3369" s="32" t="str">
        <f t="shared" si="160"/>
        <v>.0</v>
      </c>
      <c r="G3369" s="37" t="str">
        <f t="shared" si="161"/>
        <v/>
      </c>
    </row>
    <row r="3370" spans="5:7" x14ac:dyDescent="0.45">
      <c r="E3370" s="32" t="str">
        <f t="shared" si="159"/>
        <v>.0</v>
      </c>
      <c r="F3370" s="32" t="str">
        <f t="shared" si="160"/>
        <v>.0</v>
      </c>
      <c r="G3370" s="37" t="str">
        <f t="shared" si="161"/>
        <v/>
      </c>
    </row>
    <row r="3371" spans="5:7" x14ac:dyDescent="0.45">
      <c r="E3371" s="32" t="str">
        <f t="shared" si="159"/>
        <v>.0</v>
      </c>
      <c r="F3371" s="32" t="str">
        <f t="shared" si="160"/>
        <v>.0</v>
      </c>
      <c r="G3371" s="37" t="str">
        <f t="shared" si="161"/>
        <v/>
      </c>
    </row>
    <row r="3372" spans="5:7" x14ac:dyDescent="0.45">
      <c r="E3372" s="32" t="str">
        <f t="shared" si="159"/>
        <v>.0</v>
      </c>
      <c r="F3372" s="32" t="str">
        <f t="shared" si="160"/>
        <v>.0</v>
      </c>
      <c r="G3372" s="37" t="str">
        <f t="shared" si="161"/>
        <v/>
      </c>
    </row>
    <row r="3373" spans="5:7" x14ac:dyDescent="0.45">
      <c r="E3373" s="32" t="str">
        <f t="shared" si="159"/>
        <v>.0</v>
      </c>
      <c r="F3373" s="32" t="str">
        <f t="shared" si="160"/>
        <v>.0</v>
      </c>
      <c r="G3373" s="37" t="str">
        <f t="shared" si="161"/>
        <v/>
      </c>
    </row>
    <row r="3374" spans="5:7" x14ac:dyDescent="0.45">
      <c r="E3374" s="32" t="str">
        <f t="shared" si="159"/>
        <v>.0</v>
      </c>
      <c r="F3374" s="32" t="str">
        <f t="shared" si="160"/>
        <v>.0</v>
      </c>
      <c r="G3374" s="37" t="str">
        <f t="shared" si="161"/>
        <v/>
      </c>
    </row>
    <row r="3375" spans="5:7" x14ac:dyDescent="0.45">
      <c r="E3375" s="32" t="str">
        <f t="shared" si="159"/>
        <v>.0</v>
      </c>
      <c r="F3375" s="32" t="str">
        <f t="shared" si="160"/>
        <v>.0</v>
      </c>
      <c r="G3375" s="37" t="str">
        <f t="shared" si="161"/>
        <v/>
      </c>
    </row>
    <row r="3376" spans="5:7" x14ac:dyDescent="0.45">
      <c r="E3376" s="32" t="str">
        <f t="shared" si="159"/>
        <v>.0</v>
      </c>
      <c r="F3376" s="32" t="str">
        <f t="shared" si="160"/>
        <v>.0</v>
      </c>
      <c r="G3376" s="37" t="str">
        <f t="shared" si="161"/>
        <v/>
      </c>
    </row>
    <row r="3377" spans="5:7" x14ac:dyDescent="0.45">
      <c r="E3377" s="32" t="str">
        <f t="shared" si="159"/>
        <v>.0</v>
      </c>
      <c r="F3377" s="32" t="str">
        <f t="shared" si="160"/>
        <v>.0</v>
      </c>
      <c r="G3377" s="37" t="str">
        <f t="shared" si="161"/>
        <v/>
      </c>
    </row>
    <row r="3378" spans="5:7" x14ac:dyDescent="0.45">
      <c r="E3378" s="32" t="str">
        <f t="shared" si="159"/>
        <v>.0</v>
      </c>
      <c r="F3378" s="32" t="str">
        <f t="shared" si="160"/>
        <v>.0</v>
      </c>
      <c r="G3378" s="37" t="str">
        <f t="shared" si="161"/>
        <v/>
      </c>
    </row>
    <row r="3379" spans="5:7" x14ac:dyDescent="0.45">
      <c r="E3379" s="32" t="str">
        <f t="shared" si="159"/>
        <v>.0</v>
      </c>
      <c r="F3379" s="32" t="str">
        <f t="shared" si="160"/>
        <v>.0</v>
      </c>
      <c r="G3379" s="37" t="str">
        <f t="shared" si="161"/>
        <v/>
      </c>
    </row>
    <row r="3380" spans="5:7" x14ac:dyDescent="0.45">
      <c r="E3380" s="32" t="str">
        <f t="shared" si="159"/>
        <v>.0</v>
      </c>
      <c r="F3380" s="32" t="str">
        <f t="shared" si="160"/>
        <v>.0</v>
      </c>
      <c r="G3380" s="37" t="str">
        <f t="shared" si="161"/>
        <v/>
      </c>
    </row>
    <row r="3381" spans="5:7" x14ac:dyDescent="0.45">
      <c r="E3381" s="32" t="str">
        <f t="shared" si="159"/>
        <v>.0</v>
      </c>
      <c r="F3381" s="32" t="str">
        <f t="shared" si="160"/>
        <v>.0</v>
      </c>
      <c r="G3381" s="37" t="str">
        <f t="shared" si="161"/>
        <v/>
      </c>
    </row>
    <row r="3382" spans="5:7" x14ac:dyDescent="0.45">
      <c r="E3382" s="32" t="str">
        <f t="shared" si="159"/>
        <v>.0</v>
      </c>
      <c r="F3382" s="32" t="str">
        <f t="shared" si="160"/>
        <v>.0</v>
      </c>
      <c r="G3382" s="37" t="str">
        <f t="shared" si="161"/>
        <v/>
      </c>
    </row>
    <row r="3383" spans="5:7" x14ac:dyDescent="0.45">
      <c r="E3383" s="32" t="str">
        <f t="shared" si="159"/>
        <v>.0</v>
      </c>
      <c r="F3383" s="32" t="str">
        <f t="shared" si="160"/>
        <v>.0</v>
      </c>
      <c r="G3383" s="37" t="str">
        <f t="shared" si="161"/>
        <v/>
      </c>
    </row>
    <row r="3384" spans="5:7" x14ac:dyDescent="0.45">
      <c r="E3384" s="32" t="str">
        <f t="shared" si="159"/>
        <v>.0</v>
      </c>
      <c r="F3384" s="32" t="str">
        <f t="shared" si="160"/>
        <v>.0</v>
      </c>
      <c r="G3384" s="37" t="str">
        <f t="shared" si="161"/>
        <v/>
      </c>
    </row>
    <row r="3385" spans="5:7" x14ac:dyDescent="0.45">
      <c r="E3385" s="32" t="str">
        <f t="shared" si="159"/>
        <v>.0</v>
      </c>
      <c r="F3385" s="32" t="str">
        <f t="shared" si="160"/>
        <v>.0</v>
      </c>
      <c r="G3385" s="37" t="str">
        <f t="shared" si="161"/>
        <v/>
      </c>
    </row>
    <row r="3386" spans="5:7" x14ac:dyDescent="0.45">
      <c r="E3386" s="32" t="str">
        <f t="shared" si="159"/>
        <v>.0</v>
      </c>
      <c r="F3386" s="32" t="str">
        <f t="shared" si="160"/>
        <v>.0</v>
      </c>
      <c r="G3386" s="37" t="str">
        <f t="shared" si="161"/>
        <v/>
      </c>
    </row>
    <row r="3387" spans="5:7" x14ac:dyDescent="0.45">
      <c r="E3387" s="32" t="str">
        <f t="shared" si="159"/>
        <v>.0</v>
      </c>
      <c r="F3387" s="32" t="str">
        <f t="shared" si="160"/>
        <v>.0</v>
      </c>
      <c r="G3387" s="37" t="str">
        <f t="shared" si="161"/>
        <v/>
      </c>
    </row>
    <row r="3388" spans="5:7" x14ac:dyDescent="0.45">
      <c r="E3388" s="32" t="str">
        <f t="shared" si="159"/>
        <v>.0</v>
      </c>
      <c r="F3388" s="32" t="str">
        <f t="shared" si="160"/>
        <v>.0</v>
      </c>
      <c r="G3388" s="37" t="str">
        <f t="shared" si="161"/>
        <v/>
      </c>
    </row>
    <row r="3389" spans="5:7" x14ac:dyDescent="0.45">
      <c r="E3389" s="32" t="str">
        <f t="shared" si="159"/>
        <v>.0</v>
      </c>
      <c r="F3389" s="32" t="str">
        <f t="shared" si="160"/>
        <v>.0</v>
      </c>
      <c r="G3389" s="37" t="str">
        <f t="shared" si="161"/>
        <v/>
      </c>
    </row>
    <row r="3390" spans="5:7" x14ac:dyDescent="0.45">
      <c r="E3390" s="32" t="str">
        <f t="shared" si="159"/>
        <v>.0</v>
      </c>
      <c r="F3390" s="32" t="str">
        <f t="shared" si="160"/>
        <v>.0</v>
      </c>
      <c r="G3390" s="37" t="str">
        <f t="shared" si="161"/>
        <v/>
      </c>
    </row>
    <row r="3391" spans="5:7" x14ac:dyDescent="0.45">
      <c r="E3391" s="32" t="str">
        <f t="shared" si="159"/>
        <v>.0</v>
      </c>
      <c r="F3391" s="32" t="str">
        <f t="shared" si="160"/>
        <v>.0</v>
      </c>
      <c r="G3391" s="37" t="str">
        <f t="shared" si="161"/>
        <v/>
      </c>
    </row>
    <row r="3392" spans="5:7" x14ac:dyDescent="0.45">
      <c r="E3392" s="32" t="str">
        <f t="shared" si="159"/>
        <v>.0</v>
      </c>
      <c r="F3392" s="32" t="str">
        <f t="shared" si="160"/>
        <v>.0</v>
      </c>
      <c r="G3392" s="37" t="str">
        <f t="shared" si="161"/>
        <v/>
      </c>
    </row>
    <row r="3393" spans="5:7" x14ac:dyDescent="0.45">
      <c r="E3393" s="32" t="str">
        <f t="shared" si="159"/>
        <v>.0</v>
      </c>
      <c r="F3393" s="32" t="str">
        <f t="shared" si="160"/>
        <v>.0</v>
      </c>
      <c r="G3393" s="37" t="str">
        <f t="shared" si="161"/>
        <v/>
      </c>
    </row>
    <row r="3394" spans="5:7" x14ac:dyDescent="0.45">
      <c r="E3394" s="32" t="str">
        <f t="shared" si="159"/>
        <v>.0</v>
      </c>
      <c r="F3394" s="32" t="str">
        <f t="shared" si="160"/>
        <v>.0</v>
      </c>
      <c r="G3394" s="37" t="str">
        <f t="shared" si="161"/>
        <v/>
      </c>
    </row>
    <row r="3395" spans="5:7" x14ac:dyDescent="0.45">
      <c r="E3395" s="32" t="str">
        <f t="shared" si="159"/>
        <v>.0</v>
      </c>
      <c r="F3395" s="32" t="str">
        <f t="shared" si="160"/>
        <v>.0</v>
      </c>
      <c r="G3395" s="37" t="str">
        <f t="shared" si="161"/>
        <v/>
      </c>
    </row>
    <row r="3396" spans="5:7" x14ac:dyDescent="0.45">
      <c r="E3396" s="32" t="str">
        <f t="shared" si="159"/>
        <v>.0</v>
      </c>
      <c r="F3396" s="32" t="str">
        <f t="shared" si="160"/>
        <v>.0</v>
      </c>
      <c r="G3396" s="37" t="str">
        <f t="shared" si="161"/>
        <v/>
      </c>
    </row>
    <row r="3397" spans="5:7" x14ac:dyDescent="0.45">
      <c r="E3397" s="32" t="str">
        <f t="shared" si="159"/>
        <v>.0</v>
      </c>
      <c r="F3397" s="32" t="str">
        <f t="shared" si="160"/>
        <v>.0</v>
      </c>
      <c r="G3397" s="37" t="str">
        <f t="shared" si="161"/>
        <v/>
      </c>
    </row>
    <row r="3398" spans="5:7" x14ac:dyDescent="0.45">
      <c r="E3398" s="32" t="str">
        <f t="shared" si="159"/>
        <v>.0</v>
      </c>
      <c r="F3398" s="32" t="str">
        <f t="shared" si="160"/>
        <v>.0</v>
      </c>
      <c r="G3398" s="37" t="str">
        <f t="shared" si="161"/>
        <v/>
      </c>
    </row>
    <row r="3399" spans="5:7" x14ac:dyDescent="0.45">
      <c r="E3399" s="32" t="str">
        <f t="shared" si="159"/>
        <v>.0</v>
      </c>
      <c r="F3399" s="32" t="str">
        <f t="shared" si="160"/>
        <v>.0</v>
      </c>
      <c r="G3399" s="37" t="str">
        <f t="shared" si="161"/>
        <v/>
      </c>
    </row>
    <row r="3400" spans="5:7" x14ac:dyDescent="0.45">
      <c r="E3400" s="32" t="str">
        <f t="shared" si="159"/>
        <v>.0</v>
      </c>
      <c r="F3400" s="32" t="str">
        <f t="shared" si="160"/>
        <v>.0</v>
      </c>
      <c r="G3400" s="37" t="str">
        <f t="shared" si="161"/>
        <v/>
      </c>
    </row>
    <row r="3401" spans="5:7" x14ac:dyDescent="0.45">
      <c r="E3401" s="32" t="str">
        <f t="shared" si="159"/>
        <v>.0</v>
      </c>
      <c r="F3401" s="32" t="str">
        <f t="shared" si="160"/>
        <v>.0</v>
      </c>
      <c r="G3401" s="37" t="str">
        <f t="shared" si="161"/>
        <v/>
      </c>
    </row>
    <row r="3402" spans="5:7" x14ac:dyDescent="0.45">
      <c r="E3402" s="32" t="str">
        <f t="shared" si="159"/>
        <v>.0</v>
      </c>
      <c r="F3402" s="32" t="str">
        <f t="shared" si="160"/>
        <v>.0</v>
      </c>
      <c r="G3402" s="37" t="str">
        <f t="shared" si="161"/>
        <v/>
      </c>
    </row>
    <row r="3403" spans="5:7" x14ac:dyDescent="0.45">
      <c r="E3403" s="32" t="str">
        <f t="shared" si="159"/>
        <v>.0</v>
      </c>
      <c r="F3403" s="32" t="str">
        <f t="shared" si="160"/>
        <v>.0</v>
      </c>
      <c r="G3403" s="37" t="str">
        <f t="shared" si="161"/>
        <v/>
      </c>
    </row>
    <row r="3404" spans="5:7" x14ac:dyDescent="0.45">
      <c r="E3404" s="32" t="str">
        <f t="shared" si="159"/>
        <v>.0</v>
      </c>
      <c r="F3404" s="32" t="str">
        <f t="shared" si="160"/>
        <v>.0</v>
      </c>
      <c r="G3404" s="37" t="str">
        <f t="shared" si="161"/>
        <v/>
      </c>
    </row>
    <row r="3405" spans="5:7" x14ac:dyDescent="0.45">
      <c r="E3405" s="32" t="str">
        <f t="shared" si="159"/>
        <v>.0</v>
      </c>
      <c r="F3405" s="32" t="str">
        <f t="shared" si="160"/>
        <v>.0</v>
      </c>
      <c r="G3405" s="37" t="str">
        <f t="shared" si="161"/>
        <v/>
      </c>
    </row>
    <row r="3406" spans="5:7" x14ac:dyDescent="0.45">
      <c r="E3406" s="32" t="str">
        <f t="shared" si="159"/>
        <v>.0</v>
      </c>
      <c r="F3406" s="32" t="str">
        <f t="shared" si="160"/>
        <v>.0</v>
      </c>
      <c r="G3406" s="37" t="str">
        <f t="shared" si="161"/>
        <v/>
      </c>
    </row>
    <row r="3407" spans="5:7" x14ac:dyDescent="0.45">
      <c r="E3407" s="32" t="str">
        <f t="shared" si="159"/>
        <v>.0</v>
      </c>
      <c r="F3407" s="32" t="str">
        <f t="shared" si="160"/>
        <v>.0</v>
      </c>
      <c r="G3407" s="37" t="str">
        <f t="shared" si="161"/>
        <v/>
      </c>
    </row>
    <row r="3408" spans="5:7" x14ac:dyDescent="0.45">
      <c r="E3408" s="32" t="str">
        <f t="shared" si="159"/>
        <v>.0</v>
      </c>
      <c r="F3408" s="32" t="str">
        <f t="shared" si="160"/>
        <v>.0</v>
      </c>
      <c r="G3408" s="37" t="str">
        <f t="shared" si="161"/>
        <v/>
      </c>
    </row>
    <row r="3409" spans="5:7" x14ac:dyDescent="0.45">
      <c r="E3409" s="32" t="str">
        <f t="shared" si="159"/>
        <v>.0</v>
      </c>
      <c r="F3409" s="32" t="str">
        <f t="shared" si="160"/>
        <v>.0</v>
      </c>
      <c r="G3409" s="37" t="str">
        <f t="shared" si="161"/>
        <v/>
      </c>
    </row>
    <row r="3410" spans="5:7" x14ac:dyDescent="0.45">
      <c r="E3410" s="32" t="str">
        <f t="shared" si="159"/>
        <v>.0</v>
      </c>
      <c r="F3410" s="32" t="str">
        <f t="shared" si="160"/>
        <v>.0</v>
      </c>
      <c r="G3410" s="37" t="str">
        <f t="shared" si="161"/>
        <v/>
      </c>
    </row>
    <row r="3411" spans="5:7" x14ac:dyDescent="0.45">
      <c r="E3411" s="32" t="str">
        <f t="shared" si="159"/>
        <v>.0</v>
      </c>
      <c r="F3411" s="32" t="str">
        <f t="shared" si="160"/>
        <v>.0</v>
      </c>
      <c r="G3411" s="37" t="str">
        <f t="shared" si="161"/>
        <v/>
      </c>
    </row>
    <row r="3412" spans="5:7" x14ac:dyDescent="0.45">
      <c r="E3412" s="32" t="str">
        <f t="shared" si="159"/>
        <v>.0</v>
      </c>
      <c r="F3412" s="32" t="str">
        <f t="shared" si="160"/>
        <v>.0</v>
      </c>
      <c r="G3412" s="37" t="str">
        <f t="shared" si="161"/>
        <v/>
      </c>
    </row>
    <row r="3413" spans="5:7" x14ac:dyDescent="0.45">
      <c r="E3413" s="32" t="str">
        <f t="shared" si="159"/>
        <v>.0</v>
      </c>
      <c r="F3413" s="32" t="str">
        <f t="shared" si="160"/>
        <v>.0</v>
      </c>
      <c r="G3413" s="37" t="str">
        <f t="shared" si="161"/>
        <v/>
      </c>
    </row>
    <row r="3414" spans="5:7" x14ac:dyDescent="0.45">
      <c r="E3414" s="32" t="str">
        <f t="shared" si="159"/>
        <v>.0</v>
      </c>
      <c r="F3414" s="32" t="str">
        <f t="shared" si="160"/>
        <v>.0</v>
      </c>
      <c r="G3414" s="37" t="str">
        <f t="shared" si="161"/>
        <v/>
      </c>
    </row>
    <row r="3415" spans="5:7" x14ac:dyDescent="0.45">
      <c r="E3415" s="32" t="str">
        <f t="shared" si="159"/>
        <v>.0</v>
      </c>
      <c r="F3415" s="32" t="str">
        <f t="shared" si="160"/>
        <v>.0</v>
      </c>
      <c r="G3415" s="37" t="str">
        <f t="shared" si="161"/>
        <v/>
      </c>
    </row>
    <row r="3416" spans="5:7" x14ac:dyDescent="0.45">
      <c r="E3416" s="32" t="str">
        <f t="shared" si="159"/>
        <v>.0</v>
      </c>
      <c r="F3416" s="32" t="str">
        <f t="shared" si="160"/>
        <v>.0</v>
      </c>
      <c r="G3416" s="37" t="str">
        <f t="shared" si="161"/>
        <v/>
      </c>
    </row>
    <row r="3417" spans="5:7" x14ac:dyDescent="0.45">
      <c r="E3417" s="32" t="str">
        <f t="shared" si="159"/>
        <v>.0</v>
      </c>
      <c r="F3417" s="32" t="str">
        <f t="shared" si="160"/>
        <v>.0</v>
      </c>
      <c r="G3417" s="37" t="str">
        <f t="shared" si="161"/>
        <v/>
      </c>
    </row>
    <row r="3418" spans="5:7" x14ac:dyDescent="0.45">
      <c r="E3418" s="32" t="str">
        <f t="shared" si="159"/>
        <v>.0</v>
      </c>
      <c r="F3418" s="32" t="str">
        <f t="shared" si="160"/>
        <v>.0</v>
      </c>
      <c r="G3418" s="37" t="str">
        <f t="shared" si="161"/>
        <v/>
      </c>
    </row>
    <row r="3419" spans="5:7" x14ac:dyDescent="0.45">
      <c r="E3419" s="32" t="str">
        <f t="shared" si="159"/>
        <v>.0</v>
      </c>
      <c r="F3419" s="32" t="str">
        <f t="shared" si="160"/>
        <v>.0</v>
      </c>
      <c r="G3419" s="37" t="str">
        <f t="shared" si="161"/>
        <v/>
      </c>
    </row>
    <row r="3420" spans="5:7" x14ac:dyDescent="0.45">
      <c r="E3420" s="32" t="str">
        <f t="shared" si="159"/>
        <v>.0</v>
      </c>
      <c r="F3420" s="32" t="str">
        <f t="shared" si="160"/>
        <v>.0</v>
      </c>
      <c r="G3420" s="37" t="str">
        <f t="shared" si="161"/>
        <v/>
      </c>
    </row>
    <row r="3421" spans="5:7" x14ac:dyDescent="0.45">
      <c r="E3421" s="32" t="str">
        <f t="shared" si="159"/>
        <v>.0</v>
      </c>
      <c r="F3421" s="32" t="str">
        <f t="shared" si="160"/>
        <v>.0</v>
      </c>
      <c r="G3421" s="37" t="str">
        <f t="shared" si="161"/>
        <v/>
      </c>
    </row>
    <row r="3422" spans="5:7" x14ac:dyDescent="0.45">
      <c r="E3422" s="32" t="str">
        <f t="shared" ref="E3422:E3485" si="162">MID(B3422,3,2)&amp;"."&amp;IF(C3422&lt;10,"0"&amp;C3422,C3422)</f>
        <v>.0</v>
      </c>
      <c r="F3422" s="32" t="str">
        <f t="shared" ref="F3422:F3485" si="163">MID(B3422,3,2)&amp;"."&amp;IF(C3422&lt;10,"0"&amp;C3422,C3422)</f>
        <v>.0</v>
      </c>
      <c r="G3422" s="37" t="str">
        <f t="shared" ref="G3422:G3485" si="164">TEXT(D3422,"#,###,")</f>
        <v/>
      </c>
    </row>
    <row r="3423" spans="5:7" x14ac:dyDescent="0.45">
      <c r="E3423" s="32" t="str">
        <f t="shared" si="162"/>
        <v>.0</v>
      </c>
      <c r="F3423" s="32" t="str">
        <f t="shared" si="163"/>
        <v>.0</v>
      </c>
      <c r="G3423" s="37" t="str">
        <f t="shared" si="164"/>
        <v/>
      </c>
    </row>
    <row r="3424" spans="5:7" x14ac:dyDescent="0.45">
      <c r="E3424" s="32" t="str">
        <f t="shared" si="162"/>
        <v>.0</v>
      </c>
      <c r="F3424" s="32" t="str">
        <f t="shared" si="163"/>
        <v>.0</v>
      </c>
      <c r="G3424" s="37" t="str">
        <f t="shared" si="164"/>
        <v/>
      </c>
    </row>
    <row r="3425" spans="5:7" x14ac:dyDescent="0.45">
      <c r="E3425" s="32" t="str">
        <f t="shared" si="162"/>
        <v>.0</v>
      </c>
      <c r="F3425" s="32" t="str">
        <f t="shared" si="163"/>
        <v>.0</v>
      </c>
      <c r="G3425" s="37" t="str">
        <f t="shared" si="164"/>
        <v/>
      </c>
    </row>
    <row r="3426" spans="5:7" x14ac:dyDescent="0.45">
      <c r="E3426" s="32" t="str">
        <f t="shared" si="162"/>
        <v>.0</v>
      </c>
      <c r="F3426" s="32" t="str">
        <f t="shared" si="163"/>
        <v>.0</v>
      </c>
      <c r="G3426" s="37" t="str">
        <f t="shared" si="164"/>
        <v/>
      </c>
    </row>
    <row r="3427" spans="5:7" x14ac:dyDescent="0.45">
      <c r="E3427" s="32" t="str">
        <f t="shared" si="162"/>
        <v>.0</v>
      </c>
      <c r="F3427" s="32" t="str">
        <f t="shared" si="163"/>
        <v>.0</v>
      </c>
      <c r="G3427" s="37" t="str">
        <f t="shared" si="164"/>
        <v/>
      </c>
    </row>
    <row r="3428" spans="5:7" x14ac:dyDescent="0.45">
      <c r="E3428" s="32" t="str">
        <f t="shared" si="162"/>
        <v>.0</v>
      </c>
      <c r="F3428" s="32" t="str">
        <f t="shared" si="163"/>
        <v>.0</v>
      </c>
      <c r="G3428" s="37" t="str">
        <f t="shared" si="164"/>
        <v/>
      </c>
    </row>
    <row r="3429" spans="5:7" x14ac:dyDescent="0.45">
      <c r="E3429" s="32" t="str">
        <f t="shared" si="162"/>
        <v>.0</v>
      </c>
      <c r="F3429" s="32" t="str">
        <f t="shared" si="163"/>
        <v>.0</v>
      </c>
      <c r="G3429" s="37" t="str">
        <f t="shared" si="164"/>
        <v/>
      </c>
    </row>
    <row r="3430" spans="5:7" x14ac:dyDescent="0.45">
      <c r="E3430" s="32" t="str">
        <f t="shared" si="162"/>
        <v>.0</v>
      </c>
      <c r="F3430" s="32" t="str">
        <f t="shared" si="163"/>
        <v>.0</v>
      </c>
      <c r="G3430" s="37" t="str">
        <f t="shared" si="164"/>
        <v/>
      </c>
    </row>
    <row r="3431" spans="5:7" x14ac:dyDescent="0.45">
      <c r="E3431" s="32" t="str">
        <f t="shared" si="162"/>
        <v>.0</v>
      </c>
      <c r="F3431" s="32" t="str">
        <f t="shared" si="163"/>
        <v>.0</v>
      </c>
      <c r="G3431" s="37" t="str">
        <f t="shared" si="164"/>
        <v/>
      </c>
    </row>
    <row r="3432" spans="5:7" x14ac:dyDescent="0.45">
      <c r="E3432" s="32" t="str">
        <f t="shared" si="162"/>
        <v>.0</v>
      </c>
      <c r="F3432" s="32" t="str">
        <f t="shared" si="163"/>
        <v>.0</v>
      </c>
      <c r="G3432" s="37" t="str">
        <f t="shared" si="164"/>
        <v/>
      </c>
    </row>
    <row r="3433" spans="5:7" x14ac:dyDescent="0.45">
      <c r="E3433" s="32" t="str">
        <f t="shared" si="162"/>
        <v>.0</v>
      </c>
      <c r="F3433" s="32" t="str">
        <f t="shared" si="163"/>
        <v>.0</v>
      </c>
      <c r="G3433" s="37" t="str">
        <f t="shared" si="164"/>
        <v/>
      </c>
    </row>
    <row r="3434" spans="5:7" x14ac:dyDescent="0.45">
      <c r="E3434" s="32" t="str">
        <f t="shared" si="162"/>
        <v>.0</v>
      </c>
      <c r="F3434" s="32" t="str">
        <f t="shared" si="163"/>
        <v>.0</v>
      </c>
      <c r="G3434" s="37" t="str">
        <f t="shared" si="164"/>
        <v/>
      </c>
    </row>
    <row r="3435" spans="5:7" x14ac:dyDescent="0.45">
      <c r="E3435" s="32" t="str">
        <f t="shared" si="162"/>
        <v>.0</v>
      </c>
      <c r="F3435" s="32" t="str">
        <f t="shared" si="163"/>
        <v>.0</v>
      </c>
      <c r="G3435" s="37" t="str">
        <f t="shared" si="164"/>
        <v/>
      </c>
    </row>
    <row r="3436" spans="5:7" x14ac:dyDescent="0.45">
      <c r="E3436" s="32" t="str">
        <f t="shared" si="162"/>
        <v>.0</v>
      </c>
      <c r="F3436" s="32" t="str">
        <f t="shared" si="163"/>
        <v>.0</v>
      </c>
      <c r="G3436" s="37" t="str">
        <f t="shared" si="164"/>
        <v/>
      </c>
    </row>
    <row r="3437" spans="5:7" x14ac:dyDescent="0.45">
      <c r="E3437" s="32" t="str">
        <f t="shared" si="162"/>
        <v>.0</v>
      </c>
      <c r="F3437" s="32" t="str">
        <f t="shared" si="163"/>
        <v>.0</v>
      </c>
      <c r="G3437" s="37" t="str">
        <f t="shared" si="164"/>
        <v/>
      </c>
    </row>
    <row r="3438" spans="5:7" x14ac:dyDescent="0.45">
      <c r="E3438" s="32" t="str">
        <f t="shared" si="162"/>
        <v>.0</v>
      </c>
      <c r="F3438" s="32" t="str">
        <f t="shared" si="163"/>
        <v>.0</v>
      </c>
      <c r="G3438" s="37" t="str">
        <f t="shared" si="164"/>
        <v/>
      </c>
    </row>
    <row r="3439" spans="5:7" x14ac:dyDescent="0.45">
      <c r="E3439" s="32" t="str">
        <f t="shared" si="162"/>
        <v>.0</v>
      </c>
      <c r="F3439" s="32" t="str">
        <f t="shared" si="163"/>
        <v>.0</v>
      </c>
      <c r="G3439" s="37" t="str">
        <f t="shared" si="164"/>
        <v/>
      </c>
    </row>
    <row r="3440" spans="5:7" x14ac:dyDescent="0.45">
      <c r="E3440" s="32" t="str">
        <f t="shared" si="162"/>
        <v>.0</v>
      </c>
      <c r="F3440" s="32" t="str">
        <f t="shared" si="163"/>
        <v>.0</v>
      </c>
      <c r="G3440" s="37" t="str">
        <f t="shared" si="164"/>
        <v/>
      </c>
    </row>
    <row r="3441" spans="5:7" x14ac:dyDescent="0.45">
      <c r="E3441" s="32" t="str">
        <f t="shared" si="162"/>
        <v>.0</v>
      </c>
      <c r="F3441" s="32" t="str">
        <f t="shared" si="163"/>
        <v>.0</v>
      </c>
      <c r="G3441" s="37" t="str">
        <f t="shared" si="164"/>
        <v/>
      </c>
    </row>
    <row r="3442" spans="5:7" x14ac:dyDescent="0.45">
      <c r="E3442" s="32" t="str">
        <f t="shared" si="162"/>
        <v>.0</v>
      </c>
      <c r="F3442" s="32" t="str">
        <f t="shared" si="163"/>
        <v>.0</v>
      </c>
      <c r="G3442" s="37" t="str">
        <f t="shared" si="164"/>
        <v/>
      </c>
    </row>
    <row r="3443" spans="5:7" x14ac:dyDescent="0.45">
      <c r="E3443" s="32" t="str">
        <f t="shared" si="162"/>
        <v>.0</v>
      </c>
      <c r="F3443" s="32" t="str">
        <f t="shared" si="163"/>
        <v>.0</v>
      </c>
      <c r="G3443" s="37" t="str">
        <f t="shared" si="164"/>
        <v/>
      </c>
    </row>
    <row r="3444" spans="5:7" x14ac:dyDescent="0.45">
      <c r="E3444" s="32" t="str">
        <f t="shared" si="162"/>
        <v>.0</v>
      </c>
      <c r="F3444" s="32" t="str">
        <f t="shared" si="163"/>
        <v>.0</v>
      </c>
      <c r="G3444" s="37" t="str">
        <f t="shared" si="164"/>
        <v/>
      </c>
    </row>
    <row r="3445" spans="5:7" x14ac:dyDescent="0.45">
      <c r="E3445" s="32" t="str">
        <f t="shared" si="162"/>
        <v>.0</v>
      </c>
      <c r="F3445" s="32" t="str">
        <f t="shared" si="163"/>
        <v>.0</v>
      </c>
      <c r="G3445" s="37" t="str">
        <f t="shared" si="164"/>
        <v/>
      </c>
    </row>
    <row r="3446" spans="5:7" x14ac:dyDescent="0.45">
      <c r="E3446" s="32" t="str">
        <f t="shared" si="162"/>
        <v>.0</v>
      </c>
      <c r="F3446" s="32" t="str">
        <f t="shared" si="163"/>
        <v>.0</v>
      </c>
      <c r="G3446" s="37" t="str">
        <f t="shared" si="164"/>
        <v/>
      </c>
    </row>
    <row r="3447" spans="5:7" x14ac:dyDescent="0.45">
      <c r="E3447" s="32" t="str">
        <f t="shared" si="162"/>
        <v>.0</v>
      </c>
      <c r="F3447" s="32" t="str">
        <f t="shared" si="163"/>
        <v>.0</v>
      </c>
      <c r="G3447" s="37" t="str">
        <f t="shared" si="164"/>
        <v/>
      </c>
    </row>
    <row r="3448" spans="5:7" x14ac:dyDescent="0.45">
      <c r="E3448" s="32" t="str">
        <f t="shared" si="162"/>
        <v>.0</v>
      </c>
      <c r="F3448" s="32" t="str">
        <f t="shared" si="163"/>
        <v>.0</v>
      </c>
      <c r="G3448" s="37" t="str">
        <f t="shared" si="164"/>
        <v/>
      </c>
    </row>
    <row r="3449" spans="5:7" x14ac:dyDescent="0.45">
      <c r="E3449" s="32" t="str">
        <f t="shared" si="162"/>
        <v>.0</v>
      </c>
      <c r="F3449" s="32" t="str">
        <f t="shared" si="163"/>
        <v>.0</v>
      </c>
      <c r="G3449" s="37" t="str">
        <f t="shared" si="164"/>
        <v/>
      </c>
    </row>
    <row r="3450" spans="5:7" x14ac:dyDescent="0.45">
      <c r="E3450" s="32" t="str">
        <f t="shared" si="162"/>
        <v>.0</v>
      </c>
      <c r="F3450" s="32" t="str">
        <f t="shared" si="163"/>
        <v>.0</v>
      </c>
      <c r="G3450" s="37" t="str">
        <f t="shared" si="164"/>
        <v/>
      </c>
    </row>
    <row r="3451" spans="5:7" x14ac:dyDescent="0.45">
      <c r="E3451" s="32" t="str">
        <f t="shared" si="162"/>
        <v>.0</v>
      </c>
      <c r="F3451" s="32" t="str">
        <f t="shared" si="163"/>
        <v>.0</v>
      </c>
      <c r="G3451" s="37" t="str">
        <f t="shared" si="164"/>
        <v/>
      </c>
    </row>
    <row r="3452" spans="5:7" x14ac:dyDescent="0.45">
      <c r="E3452" s="32" t="str">
        <f t="shared" si="162"/>
        <v>.0</v>
      </c>
      <c r="F3452" s="32" t="str">
        <f t="shared" si="163"/>
        <v>.0</v>
      </c>
      <c r="G3452" s="37" t="str">
        <f t="shared" si="164"/>
        <v/>
      </c>
    </row>
    <row r="3453" spans="5:7" x14ac:dyDescent="0.45">
      <c r="E3453" s="32" t="str">
        <f t="shared" si="162"/>
        <v>.0</v>
      </c>
      <c r="F3453" s="32" t="str">
        <f t="shared" si="163"/>
        <v>.0</v>
      </c>
      <c r="G3453" s="37" t="str">
        <f t="shared" si="164"/>
        <v/>
      </c>
    </row>
    <row r="3454" spans="5:7" x14ac:dyDescent="0.45">
      <c r="E3454" s="32" t="str">
        <f t="shared" si="162"/>
        <v>.0</v>
      </c>
      <c r="F3454" s="32" t="str">
        <f t="shared" si="163"/>
        <v>.0</v>
      </c>
      <c r="G3454" s="37" t="str">
        <f t="shared" si="164"/>
        <v/>
      </c>
    </row>
    <row r="3455" spans="5:7" x14ac:dyDescent="0.45">
      <c r="E3455" s="32" t="str">
        <f t="shared" si="162"/>
        <v>.0</v>
      </c>
      <c r="F3455" s="32" t="str">
        <f t="shared" si="163"/>
        <v>.0</v>
      </c>
      <c r="G3455" s="37" t="str">
        <f t="shared" si="164"/>
        <v/>
      </c>
    </row>
    <row r="3456" spans="5:7" x14ac:dyDescent="0.45">
      <c r="E3456" s="32" t="str">
        <f t="shared" si="162"/>
        <v>.0</v>
      </c>
      <c r="F3456" s="32" t="str">
        <f t="shared" si="163"/>
        <v>.0</v>
      </c>
      <c r="G3456" s="37" t="str">
        <f t="shared" si="164"/>
        <v/>
      </c>
    </row>
    <row r="3457" spans="5:7" x14ac:dyDescent="0.45">
      <c r="E3457" s="32" t="str">
        <f t="shared" si="162"/>
        <v>.0</v>
      </c>
      <c r="F3457" s="32" t="str">
        <f t="shared" si="163"/>
        <v>.0</v>
      </c>
      <c r="G3457" s="37" t="str">
        <f t="shared" si="164"/>
        <v/>
      </c>
    </row>
    <row r="3458" spans="5:7" x14ac:dyDescent="0.45">
      <c r="E3458" s="32" t="str">
        <f t="shared" si="162"/>
        <v>.0</v>
      </c>
      <c r="F3458" s="32" t="str">
        <f t="shared" si="163"/>
        <v>.0</v>
      </c>
      <c r="G3458" s="37" t="str">
        <f t="shared" si="164"/>
        <v/>
      </c>
    </row>
    <row r="3459" spans="5:7" x14ac:dyDescent="0.45">
      <c r="E3459" s="32" t="str">
        <f t="shared" si="162"/>
        <v>.0</v>
      </c>
      <c r="F3459" s="32" t="str">
        <f t="shared" si="163"/>
        <v>.0</v>
      </c>
      <c r="G3459" s="37" t="str">
        <f t="shared" si="164"/>
        <v/>
      </c>
    </row>
    <row r="3460" spans="5:7" x14ac:dyDescent="0.45">
      <c r="E3460" s="32" t="str">
        <f t="shared" si="162"/>
        <v>.0</v>
      </c>
      <c r="F3460" s="32" t="str">
        <f t="shared" si="163"/>
        <v>.0</v>
      </c>
      <c r="G3460" s="37" t="str">
        <f t="shared" si="164"/>
        <v/>
      </c>
    </row>
    <row r="3461" spans="5:7" x14ac:dyDescent="0.45">
      <c r="E3461" s="32" t="str">
        <f t="shared" si="162"/>
        <v>.0</v>
      </c>
      <c r="F3461" s="32" t="str">
        <f t="shared" si="163"/>
        <v>.0</v>
      </c>
      <c r="G3461" s="37" t="str">
        <f t="shared" si="164"/>
        <v/>
      </c>
    </row>
    <row r="3462" spans="5:7" x14ac:dyDescent="0.45">
      <c r="E3462" s="32" t="str">
        <f t="shared" si="162"/>
        <v>.0</v>
      </c>
      <c r="F3462" s="32" t="str">
        <f t="shared" si="163"/>
        <v>.0</v>
      </c>
      <c r="G3462" s="37" t="str">
        <f t="shared" si="164"/>
        <v/>
      </c>
    </row>
    <row r="3463" spans="5:7" x14ac:dyDescent="0.45">
      <c r="E3463" s="32" t="str">
        <f t="shared" si="162"/>
        <v>.0</v>
      </c>
      <c r="F3463" s="32" t="str">
        <f t="shared" si="163"/>
        <v>.0</v>
      </c>
      <c r="G3463" s="37" t="str">
        <f t="shared" si="164"/>
        <v/>
      </c>
    </row>
    <row r="3464" spans="5:7" x14ac:dyDescent="0.45">
      <c r="E3464" s="32" t="str">
        <f t="shared" si="162"/>
        <v>.0</v>
      </c>
      <c r="F3464" s="32" t="str">
        <f t="shared" si="163"/>
        <v>.0</v>
      </c>
      <c r="G3464" s="37" t="str">
        <f t="shared" si="164"/>
        <v/>
      </c>
    </row>
    <row r="3465" spans="5:7" x14ac:dyDescent="0.45">
      <c r="E3465" s="32" t="str">
        <f t="shared" si="162"/>
        <v>.0</v>
      </c>
      <c r="F3465" s="32" t="str">
        <f t="shared" si="163"/>
        <v>.0</v>
      </c>
      <c r="G3465" s="37" t="str">
        <f t="shared" si="164"/>
        <v/>
      </c>
    </row>
    <row r="3466" spans="5:7" x14ac:dyDescent="0.45">
      <c r="E3466" s="32" t="str">
        <f t="shared" si="162"/>
        <v>.0</v>
      </c>
      <c r="F3466" s="32" t="str">
        <f t="shared" si="163"/>
        <v>.0</v>
      </c>
      <c r="G3466" s="37" t="str">
        <f t="shared" si="164"/>
        <v/>
      </c>
    </row>
    <row r="3467" spans="5:7" x14ac:dyDescent="0.45">
      <c r="E3467" s="32" t="str">
        <f t="shared" si="162"/>
        <v>.0</v>
      </c>
      <c r="F3467" s="32" t="str">
        <f t="shared" si="163"/>
        <v>.0</v>
      </c>
      <c r="G3467" s="37" t="str">
        <f t="shared" si="164"/>
        <v/>
      </c>
    </row>
    <row r="3468" spans="5:7" x14ac:dyDescent="0.45">
      <c r="E3468" s="32" t="str">
        <f t="shared" si="162"/>
        <v>.0</v>
      </c>
      <c r="F3468" s="32" t="str">
        <f t="shared" si="163"/>
        <v>.0</v>
      </c>
      <c r="G3468" s="37" t="str">
        <f t="shared" si="164"/>
        <v/>
      </c>
    </row>
    <row r="3469" spans="5:7" x14ac:dyDescent="0.45">
      <c r="E3469" s="32" t="str">
        <f t="shared" si="162"/>
        <v>.0</v>
      </c>
      <c r="F3469" s="32" t="str">
        <f t="shared" si="163"/>
        <v>.0</v>
      </c>
      <c r="G3469" s="37" t="str">
        <f t="shared" si="164"/>
        <v/>
      </c>
    </row>
    <row r="3470" spans="5:7" x14ac:dyDescent="0.45">
      <c r="E3470" s="32" t="str">
        <f t="shared" si="162"/>
        <v>.0</v>
      </c>
      <c r="F3470" s="32" t="str">
        <f t="shared" si="163"/>
        <v>.0</v>
      </c>
      <c r="G3470" s="37" t="str">
        <f t="shared" si="164"/>
        <v/>
      </c>
    </row>
    <row r="3471" spans="5:7" x14ac:dyDescent="0.45">
      <c r="E3471" s="32" t="str">
        <f t="shared" si="162"/>
        <v>.0</v>
      </c>
      <c r="F3471" s="32" t="str">
        <f t="shared" si="163"/>
        <v>.0</v>
      </c>
      <c r="G3471" s="37" t="str">
        <f t="shared" si="164"/>
        <v/>
      </c>
    </row>
    <row r="3472" spans="5:7" x14ac:dyDescent="0.45">
      <c r="E3472" s="32" t="str">
        <f t="shared" si="162"/>
        <v>.0</v>
      </c>
      <c r="F3472" s="32" t="str">
        <f t="shared" si="163"/>
        <v>.0</v>
      </c>
      <c r="G3472" s="37" t="str">
        <f t="shared" si="164"/>
        <v/>
      </c>
    </row>
    <row r="3473" spans="5:7" x14ac:dyDescent="0.45">
      <c r="E3473" s="32" t="str">
        <f t="shared" si="162"/>
        <v>.0</v>
      </c>
      <c r="F3473" s="32" t="str">
        <f t="shared" si="163"/>
        <v>.0</v>
      </c>
      <c r="G3473" s="37" t="str">
        <f t="shared" si="164"/>
        <v/>
      </c>
    </row>
    <row r="3474" spans="5:7" x14ac:dyDescent="0.45">
      <c r="E3474" s="32" t="str">
        <f t="shared" si="162"/>
        <v>.0</v>
      </c>
      <c r="F3474" s="32" t="str">
        <f t="shared" si="163"/>
        <v>.0</v>
      </c>
      <c r="G3474" s="37" t="str">
        <f t="shared" si="164"/>
        <v/>
      </c>
    </row>
    <row r="3475" spans="5:7" x14ac:dyDescent="0.45">
      <c r="E3475" s="32" t="str">
        <f t="shared" si="162"/>
        <v>.0</v>
      </c>
      <c r="F3475" s="32" t="str">
        <f t="shared" si="163"/>
        <v>.0</v>
      </c>
      <c r="G3475" s="37" t="str">
        <f t="shared" si="164"/>
        <v/>
      </c>
    </row>
    <row r="3476" spans="5:7" x14ac:dyDescent="0.45">
      <c r="E3476" s="32" t="str">
        <f t="shared" si="162"/>
        <v>.0</v>
      </c>
      <c r="F3476" s="32" t="str">
        <f t="shared" si="163"/>
        <v>.0</v>
      </c>
      <c r="G3476" s="37" t="str">
        <f t="shared" si="164"/>
        <v/>
      </c>
    </row>
    <row r="3477" spans="5:7" x14ac:dyDescent="0.45">
      <c r="E3477" s="32" t="str">
        <f t="shared" si="162"/>
        <v>.0</v>
      </c>
      <c r="F3477" s="32" t="str">
        <f t="shared" si="163"/>
        <v>.0</v>
      </c>
      <c r="G3477" s="37" t="str">
        <f t="shared" si="164"/>
        <v/>
      </c>
    </row>
    <row r="3478" spans="5:7" x14ac:dyDescent="0.45">
      <c r="E3478" s="32" t="str">
        <f t="shared" si="162"/>
        <v>.0</v>
      </c>
      <c r="F3478" s="32" t="str">
        <f t="shared" si="163"/>
        <v>.0</v>
      </c>
      <c r="G3478" s="37" t="str">
        <f t="shared" si="164"/>
        <v/>
      </c>
    </row>
    <row r="3479" spans="5:7" x14ac:dyDescent="0.45">
      <c r="E3479" s="32" t="str">
        <f t="shared" si="162"/>
        <v>.0</v>
      </c>
      <c r="F3479" s="32" t="str">
        <f t="shared" si="163"/>
        <v>.0</v>
      </c>
      <c r="G3479" s="37" t="str">
        <f t="shared" si="164"/>
        <v/>
      </c>
    </row>
    <row r="3480" spans="5:7" x14ac:dyDescent="0.45">
      <c r="E3480" s="32" t="str">
        <f t="shared" si="162"/>
        <v>.0</v>
      </c>
      <c r="F3480" s="32" t="str">
        <f t="shared" si="163"/>
        <v>.0</v>
      </c>
      <c r="G3480" s="37" t="str">
        <f t="shared" si="164"/>
        <v/>
      </c>
    </row>
    <row r="3481" spans="5:7" x14ac:dyDescent="0.45">
      <c r="E3481" s="32" t="str">
        <f t="shared" si="162"/>
        <v>.0</v>
      </c>
      <c r="F3481" s="32" t="str">
        <f t="shared" si="163"/>
        <v>.0</v>
      </c>
      <c r="G3481" s="37" t="str">
        <f t="shared" si="164"/>
        <v/>
      </c>
    </row>
    <row r="3482" spans="5:7" x14ac:dyDescent="0.45">
      <c r="E3482" s="32" t="str">
        <f t="shared" si="162"/>
        <v>.0</v>
      </c>
      <c r="F3482" s="32" t="str">
        <f t="shared" si="163"/>
        <v>.0</v>
      </c>
      <c r="G3482" s="37" t="str">
        <f t="shared" si="164"/>
        <v/>
      </c>
    </row>
    <row r="3483" spans="5:7" x14ac:dyDescent="0.45">
      <c r="E3483" s="32" t="str">
        <f t="shared" si="162"/>
        <v>.0</v>
      </c>
      <c r="F3483" s="32" t="str">
        <f t="shared" si="163"/>
        <v>.0</v>
      </c>
      <c r="G3483" s="37" t="str">
        <f t="shared" si="164"/>
        <v/>
      </c>
    </row>
    <row r="3484" spans="5:7" x14ac:dyDescent="0.45">
      <c r="E3484" s="32" t="str">
        <f t="shared" si="162"/>
        <v>.0</v>
      </c>
      <c r="F3484" s="32" t="str">
        <f t="shared" si="163"/>
        <v>.0</v>
      </c>
      <c r="G3484" s="37" t="str">
        <f t="shared" si="164"/>
        <v/>
      </c>
    </row>
    <row r="3485" spans="5:7" x14ac:dyDescent="0.45">
      <c r="E3485" s="32" t="str">
        <f t="shared" si="162"/>
        <v>.0</v>
      </c>
      <c r="F3485" s="32" t="str">
        <f t="shared" si="163"/>
        <v>.0</v>
      </c>
      <c r="G3485" s="37" t="str">
        <f t="shared" si="164"/>
        <v/>
      </c>
    </row>
    <row r="3486" spans="5:7" x14ac:dyDescent="0.45">
      <c r="E3486" s="32" t="str">
        <f t="shared" ref="E3486:E3549" si="165">MID(B3486,3,2)&amp;"."&amp;IF(C3486&lt;10,"0"&amp;C3486,C3486)</f>
        <v>.0</v>
      </c>
      <c r="F3486" s="32" t="str">
        <f t="shared" ref="F3486:F3549" si="166">MID(B3486,3,2)&amp;"."&amp;IF(C3486&lt;10,"0"&amp;C3486,C3486)</f>
        <v>.0</v>
      </c>
      <c r="G3486" s="37" t="str">
        <f t="shared" ref="G3486:G3549" si="167">TEXT(D3486,"#,###,")</f>
        <v/>
      </c>
    </row>
    <row r="3487" spans="5:7" x14ac:dyDescent="0.45">
      <c r="E3487" s="32" t="str">
        <f t="shared" si="165"/>
        <v>.0</v>
      </c>
      <c r="F3487" s="32" t="str">
        <f t="shared" si="166"/>
        <v>.0</v>
      </c>
      <c r="G3487" s="37" t="str">
        <f t="shared" si="167"/>
        <v/>
      </c>
    </row>
    <row r="3488" spans="5:7" x14ac:dyDescent="0.45">
      <c r="E3488" s="32" t="str">
        <f t="shared" si="165"/>
        <v>.0</v>
      </c>
      <c r="F3488" s="32" t="str">
        <f t="shared" si="166"/>
        <v>.0</v>
      </c>
      <c r="G3488" s="37" t="str">
        <f t="shared" si="167"/>
        <v/>
      </c>
    </row>
    <row r="3489" spans="5:7" x14ac:dyDescent="0.45">
      <c r="E3489" s="32" t="str">
        <f t="shared" si="165"/>
        <v>.0</v>
      </c>
      <c r="F3489" s="32" t="str">
        <f t="shared" si="166"/>
        <v>.0</v>
      </c>
      <c r="G3489" s="37" t="str">
        <f t="shared" si="167"/>
        <v/>
      </c>
    </row>
    <row r="3490" spans="5:7" x14ac:dyDescent="0.45">
      <c r="E3490" s="32" t="str">
        <f t="shared" si="165"/>
        <v>.0</v>
      </c>
      <c r="F3490" s="32" t="str">
        <f t="shared" si="166"/>
        <v>.0</v>
      </c>
      <c r="G3490" s="37" t="str">
        <f t="shared" si="167"/>
        <v/>
      </c>
    </row>
    <row r="3491" spans="5:7" x14ac:dyDescent="0.45">
      <c r="E3491" s="32" t="str">
        <f t="shared" si="165"/>
        <v>.0</v>
      </c>
      <c r="F3491" s="32" t="str">
        <f t="shared" si="166"/>
        <v>.0</v>
      </c>
      <c r="G3491" s="37" t="str">
        <f t="shared" si="167"/>
        <v/>
      </c>
    </row>
    <row r="3492" spans="5:7" x14ac:dyDescent="0.45">
      <c r="E3492" s="32" t="str">
        <f t="shared" si="165"/>
        <v>.0</v>
      </c>
      <c r="F3492" s="32" t="str">
        <f t="shared" si="166"/>
        <v>.0</v>
      </c>
      <c r="G3492" s="37" t="str">
        <f t="shared" si="167"/>
        <v/>
      </c>
    </row>
    <row r="3493" spans="5:7" x14ac:dyDescent="0.45">
      <c r="E3493" s="32" t="str">
        <f t="shared" si="165"/>
        <v>.0</v>
      </c>
      <c r="F3493" s="32" t="str">
        <f t="shared" si="166"/>
        <v>.0</v>
      </c>
      <c r="G3493" s="37" t="str">
        <f t="shared" si="167"/>
        <v/>
      </c>
    </row>
    <row r="3494" spans="5:7" x14ac:dyDescent="0.45">
      <c r="E3494" s="32" t="str">
        <f t="shared" si="165"/>
        <v>.0</v>
      </c>
      <c r="F3494" s="32" t="str">
        <f t="shared" si="166"/>
        <v>.0</v>
      </c>
      <c r="G3494" s="37" t="str">
        <f t="shared" si="167"/>
        <v/>
      </c>
    </row>
    <row r="3495" spans="5:7" x14ac:dyDescent="0.45">
      <c r="E3495" s="32" t="str">
        <f t="shared" si="165"/>
        <v>.0</v>
      </c>
      <c r="F3495" s="32" t="str">
        <f t="shared" si="166"/>
        <v>.0</v>
      </c>
      <c r="G3495" s="37" t="str">
        <f t="shared" si="167"/>
        <v/>
      </c>
    </row>
    <row r="3496" spans="5:7" x14ac:dyDescent="0.45">
      <c r="E3496" s="32" t="str">
        <f t="shared" si="165"/>
        <v>.0</v>
      </c>
      <c r="F3496" s="32" t="str">
        <f t="shared" si="166"/>
        <v>.0</v>
      </c>
      <c r="G3496" s="37" t="str">
        <f t="shared" si="167"/>
        <v/>
      </c>
    </row>
    <row r="3497" spans="5:7" x14ac:dyDescent="0.45">
      <c r="E3497" s="32" t="str">
        <f t="shared" si="165"/>
        <v>.0</v>
      </c>
      <c r="F3497" s="32" t="str">
        <f t="shared" si="166"/>
        <v>.0</v>
      </c>
      <c r="G3497" s="37" t="str">
        <f t="shared" si="167"/>
        <v/>
      </c>
    </row>
    <row r="3498" spans="5:7" x14ac:dyDescent="0.45">
      <c r="E3498" s="32" t="str">
        <f t="shared" si="165"/>
        <v>.0</v>
      </c>
      <c r="F3498" s="32" t="str">
        <f t="shared" si="166"/>
        <v>.0</v>
      </c>
      <c r="G3498" s="37" t="str">
        <f t="shared" si="167"/>
        <v/>
      </c>
    </row>
    <row r="3499" spans="5:7" x14ac:dyDescent="0.45">
      <c r="E3499" s="32" t="str">
        <f t="shared" si="165"/>
        <v>.0</v>
      </c>
      <c r="F3499" s="32" t="str">
        <f t="shared" si="166"/>
        <v>.0</v>
      </c>
      <c r="G3499" s="37" t="str">
        <f t="shared" si="167"/>
        <v/>
      </c>
    </row>
    <row r="3500" spans="5:7" x14ac:dyDescent="0.45">
      <c r="E3500" s="32" t="str">
        <f t="shared" si="165"/>
        <v>.0</v>
      </c>
      <c r="F3500" s="32" t="str">
        <f t="shared" si="166"/>
        <v>.0</v>
      </c>
      <c r="G3500" s="37" t="str">
        <f t="shared" si="167"/>
        <v/>
      </c>
    </row>
    <row r="3501" spans="5:7" x14ac:dyDescent="0.45">
      <c r="E3501" s="32" t="str">
        <f t="shared" si="165"/>
        <v>.0</v>
      </c>
      <c r="F3501" s="32" t="str">
        <f t="shared" si="166"/>
        <v>.0</v>
      </c>
      <c r="G3501" s="37" t="str">
        <f t="shared" si="167"/>
        <v/>
      </c>
    </row>
    <row r="3502" spans="5:7" x14ac:dyDescent="0.45">
      <c r="E3502" s="32" t="str">
        <f t="shared" si="165"/>
        <v>.0</v>
      </c>
      <c r="F3502" s="32" t="str">
        <f t="shared" si="166"/>
        <v>.0</v>
      </c>
      <c r="G3502" s="37" t="str">
        <f t="shared" si="167"/>
        <v/>
      </c>
    </row>
    <row r="3503" spans="5:7" x14ac:dyDescent="0.45">
      <c r="E3503" s="32" t="str">
        <f t="shared" si="165"/>
        <v>.0</v>
      </c>
      <c r="F3503" s="32" t="str">
        <f t="shared" si="166"/>
        <v>.0</v>
      </c>
      <c r="G3503" s="37" t="str">
        <f t="shared" si="167"/>
        <v/>
      </c>
    </row>
    <row r="3504" spans="5:7" x14ac:dyDescent="0.45">
      <c r="E3504" s="32" t="str">
        <f t="shared" si="165"/>
        <v>.0</v>
      </c>
      <c r="F3504" s="32" t="str">
        <f t="shared" si="166"/>
        <v>.0</v>
      </c>
      <c r="G3504" s="37" t="str">
        <f t="shared" si="167"/>
        <v/>
      </c>
    </row>
    <row r="3505" spans="5:7" x14ac:dyDescent="0.45">
      <c r="E3505" s="32" t="str">
        <f t="shared" si="165"/>
        <v>.0</v>
      </c>
      <c r="F3505" s="32" t="str">
        <f t="shared" si="166"/>
        <v>.0</v>
      </c>
      <c r="G3505" s="37" t="str">
        <f t="shared" si="167"/>
        <v/>
      </c>
    </row>
    <row r="3506" spans="5:7" x14ac:dyDescent="0.45">
      <c r="E3506" s="32" t="str">
        <f t="shared" si="165"/>
        <v>.0</v>
      </c>
      <c r="F3506" s="32" t="str">
        <f t="shared" si="166"/>
        <v>.0</v>
      </c>
      <c r="G3506" s="37" t="str">
        <f t="shared" si="167"/>
        <v/>
      </c>
    </row>
    <row r="3507" spans="5:7" x14ac:dyDescent="0.45">
      <c r="E3507" s="32" t="str">
        <f t="shared" si="165"/>
        <v>.0</v>
      </c>
      <c r="F3507" s="32" t="str">
        <f t="shared" si="166"/>
        <v>.0</v>
      </c>
      <c r="G3507" s="37" t="str">
        <f t="shared" si="167"/>
        <v/>
      </c>
    </row>
    <row r="3508" spans="5:7" x14ac:dyDescent="0.45">
      <c r="E3508" s="32" t="str">
        <f t="shared" si="165"/>
        <v>.0</v>
      </c>
      <c r="F3508" s="32" t="str">
        <f t="shared" si="166"/>
        <v>.0</v>
      </c>
      <c r="G3508" s="37" t="str">
        <f t="shared" si="167"/>
        <v/>
      </c>
    </row>
    <row r="3509" spans="5:7" x14ac:dyDescent="0.45">
      <c r="E3509" s="32" t="str">
        <f t="shared" si="165"/>
        <v>.0</v>
      </c>
      <c r="F3509" s="32" t="str">
        <f t="shared" si="166"/>
        <v>.0</v>
      </c>
      <c r="G3509" s="37" t="str">
        <f t="shared" si="167"/>
        <v/>
      </c>
    </row>
    <row r="3510" spans="5:7" x14ac:dyDescent="0.45">
      <c r="E3510" s="32" t="str">
        <f t="shared" si="165"/>
        <v>.0</v>
      </c>
      <c r="F3510" s="32" t="str">
        <f t="shared" si="166"/>
        <v>.0</v>
      </c>
      <c r="G3510" s="37" t="str">
        <f t="shared" si="167"/>
        <v/>
      </c>
    </row>
    <row r="3511" spans="5:7" x14ac:dyDescent="0.45">
      <c r="E3511" s="32" t="str">
        <f t="shared" si="165"/>
        <v>.0</v>
      </c>
      <c r="F3511" s="32" t="str">
        <f t="shared" si="166"/>
        <v>.0</v>
      </c>
      <c r="G3511" s="37" t="str">
        <f t="shared" si="167"/>
        <v/>
      </c>
    </row>
    <row r="3512" spans="5:7" x14ac:dyDescent="0.45">
      <c r="E3512" s="32" t="str">
        <f t="shared" si="165"/>
        <v>.0</v>
      </c>
      <c r="F3512" s="32" t="str">
        <f t="shared" si="166"/>
        <v>.0</v>
      </c>
      <c r="G3512" s="37" t="str">
        <f t="shared" si="167"/>
        <v/>
      </c>
    </row>
    <row r="3513" spans="5:7" x14ac:dyDescent="0.45">
      <c r="E3513" s="32" t="str">
        <f t="shared" si="165"/>
        <v>.0</v>
      </c>
      <c r="F3513" s="32" t="str">
        <f t="shared" si="166"/>
        <v>.0</v>
      </c>
      <c r="G3513" s="37" t="str">
        <f t="shared" si="167"/>
        <v/>
      </c>
    </row>
    <row r="3514" spans="5:7" x14ac:dyDescent="0.45">
      <c r="E3514" s="32" t="str">
        <f t="shared" si="165"/>
        <v>.0</v>
      </c>
      <c r="F3514" s="32" t="str">
        <f t="shared" si="166"/>
        <v>.0</v>
      </c>
      <c r="G3514" s="37" t="str">
        <f t="shared" si="167"/>
        <v/>
      </c>
    </row>
    <row r="3515" spans="5:7" x14ac:dyDescent="0.45">
      <c r="E3515" s="32" t="str">
        <f t="shared" si="165"/>
        <v>.0</v>
      </c>
      <c r="F3515" s="32" t="str">
        <f t="shared" si="166"/>
        <v>.0</v>
      </c>
      <c r="G3515" s="37" t="str">
        <f t="shared" si="167"/>
        <v/>
      </c>
    </row>
    <row r="3516" spans="5:7" x14ac:dyDescent="0.45">
      <c r="E3516" s="32" t="str">
        <f t="shared" si="165"/>
        <v>.0</v>
      </c>
      <c r="F3516" s="32" t="str">
        <f t="shared" si="166"/>
        <v>.0</v>
      </c>
      <c r="G3516" s="37" t="str">
        <f t="shared" si="167"/>
        <v/>
      </c>
    </row>
    <row r="3517" spans="5:7" x14ac:dyDescent="0.45">
      <c r="E3517" s="32" t="str">
        <f t="shared" si="165"/>
        <v>.0</v>
      </c>
      <c r="F3517" s="32" t="str">
        <f t="shared" si="166"/>
        <v>.0</v>
      </c>
      <c r="G3517" s="37" t="str">
        <f t="shared" si="167"/>
        <v/>
      </c>
    </row>
    <row r="3518" spans="5:7" x14ac:dyDescent="0.45">
      <c r="E3518" s="32" t="str">
        <f t="shared" si="165"/>
        <v>.0</v>
      </c>
      <c r="F3518" s="32" t="str">
        <f t="shared" si="166"/>
        <v>.0</v>
      </c>
      <c r="G3518" s="37" t="str">
        <f t="shared" si="167"/>
        <v/>
      </c>
    </row>
    <row r="3519" spans="5:7" x14ac:dyDescent="0.45">
      <c r="E3519" s="32" t="str">
        <f t="shared" si="165"/>
        <v>.0</v>
      </c>
      <c r="F3519" s="32" t="str">
        <f t="shared" si="166"/>
        <v>.0</v>
      </c>
      <c r="G3519" s="37" t="str">
        <f t="shared" si="167"/>
        <v/>
      </c>
    </row>
    <row r="3520" spans="5:7" x14ac:dyDescent="0.45">
      <c r="E3520" s="32" t="str">
        <f t="shared" si="165"/>
        <v>.0</v>
      </c>
      <c r="F3520" s="32" t="str">
        <f t="shared" si="166"/>
        <v>.0</v>
      </c>
      <c r="G3520" s="37" t="str">
        <f t="shared" si="167"/>
        <v/>
      </c>
    </row>
    <row r="3521" spans="5:7" x14ac:dyDescent="0.45">
      <c r="E3521" s="32" t="str">
        <f t="shared" si="165"/>
        <v>.0</v>
      </c>
      <c r="F3521" s="32" t="str">
        <f t="shared" si="166"/>
        <v>.0</v>
      </c>
      <c r="G3521" s="37" t="str">
        <f t="shared" si="167"/>
        <v/>
      </c>
    </row>
    <row r="3522" spans="5:7" x14ac:dyDescent="0.45">
      <c r="E3522" s="32" t="str">
        <f t="shared" si="165"/>
        <v>.0</v>
      </c>
      <c r="F3522" s="32" t="str">
        <f t="shared" si="166"/>
        <v>.0</v>
      </c>
      <c r="G3522" s="37" t="str">
        <f t="shared" si="167"/>
        <v/>
      </c>
    </row>
    <row r="3523" spans="5:7" x14ac:dyDescent="0.45">
      <c r="E3523" s="32" t="str">
        <f t="shared" si="165"/>
        <v>.0</v>
      </c>
      <c r="F3523" s="32" t="str">
        <f t="shared" si="166"/>
        <v>.0</v>
      </c>
      <c r="G3523" s="37" t="str">
        <f t="shared" si="167"/>
        <v/>
      </c>
    </row>
    <row r="3524" spans="5:7" x14ac:dyDescent="0.45">
      <c r="E3524" s="32" t="str">
        <f t="shared" si="165"/>
        <v>.0</v>
      </c>
      <c r="F3524" s="32" t="str">
        <f t="shared" si="166"/>
        <v>.0</v>
      </c>
      <c r="G3524" s="37" t="str">
        <f t="shared" si="167"/>
        <v/>
      </c>
    </row>
    <row r="3525" spans="5:7" x14ac:dyDescent="0.45">
      <c r="E3525" s="32" t="str">
        <f t="shared" si="165"/>
        <v>.0</v>
      </c>
      <c r="F3525" s="32" t="str">
        <f t="shared" si="166"/>
        <v>.0</v>
      </c>
      <c r="G3525" s="37" t="str">
        <f t="shared" si="167"/>
        <v/>
      </c>
    </row>
    <row r="3526" spans="5:7" x14ac:dyDescent="0.45">
      <c r="E3526" s="32" t="str">
        <f t="shared" si="165"/>
        <v>.0</v>
      </c>
      <c r="F3526" s="32" t="str">
        <f t="shared" si="166"/>
        <v>.0</v>
      </c>
      <c r="G3526" s="37" t="str">
        <f t="shared" si="167"/>
        <v/>
      </c>
    </row>
    <row r="3527" spans="5:7" x14ac:dyDescent="0.45">
      <c r="E3527" s="32" t="str">
        <f t="shared" si="165"/>
        <v>.0</v>
      </c>
      <c r="F3527" s="32" t="str">
        <f t="shared" si="166"/>
        <v>.0</v>
      </c>
      <c r="G3527" s="37" t="str">
        <f t="shared" si="167"/>
        <v/>
      </c>
    </row>
    <row r="3528" spans="5:7" x14ac:dyDescent="0.45">
      <c r="E3528" s="32" t="str">
        <f t="shared" si="165"/>
        <v>.0</v>
      </c>
      <c r="F3528" s="32" t="str">
        <f t="shared" si="166"/>
        <v>.0</v>
      </c>
      <c r="G3528" s="37" t="str">
        <f t="shared" si="167"/>
        <v/>
      </c>
    </row>
    <row r="3529" spans="5:7" x14ac:dyDescent="0.45">
      <c r="E3529" s="32" t="str">
        <f t="shared" si="165"/>
        <v>.0</v>
      </c>
      <c r="F3529" s="32" t="str">
        <f t="shared" si="166"/>
        <v>.0</v>
      </c>
      <c r="G3529" s="37" t="str">
        <f t="shared" si="167"/>
        <v/>
      </c>
    </row>
    <row r="3530" spans="5:7" x14ac:dyDescent="0.45">
      <c r="E3530" s="32" t="str">
        <f t="shared" si="165"/>
        <v>.0</v>
      </c>
      <c r="F3530" s="32" t="str">
        <f t="shared" si="166"/>
        <v>.0</v>
      </c>
      <c r="G3530" s="37" t="str">
        <f t="shared" si="167"/>
        <v/>
      </c>
    </row>
    <row r="3531" spans="5:7" x14ac:dyDescent="0.45">
      <c r="E3531" s="32" t="str">
        <f t="shared" si="165"/>
        <v>.0</v>
      </c>
      <c r="F3531" s="32" t="str">
        <f t="shared" si="166"/>
        <v>.0</v>
      </c>
      <c r="G3531" s="37" t="str">
        <f t="shared" si="167"/>
        <v/>
      </c>
    </row>
    <row r="3532" spans="5:7" x14ac:dyDescent="0.45">
      <c r="E3532" s="32" t="str">
        <f t="shared" si="165"/>
        <v>.0</v>
      </c>
      <c r="F3532" s="32" t="str">
        <f t="shared" si="166"/>
        <v>.0</v>
      </c>
      <c r="G3532" s="37" t="str">
        <f t="shared" si="167"/>
        <v/>
      </c>
    </row>
    <row r="3533" spans="5:7" x14ac:dyDescent="0.45">
      <c r="E3533" s="32" t="str">
        <f t="shared" si="165"/>
        <v>.0</v>
      </c>
      <c r="F3533" s="32" t="str">
        <f t="shared" si="166"/>
        <v>.0</v>
      </c>
      <c r="G3533" s="37" t="str">
        <f t="shared" si="167"/>
        <v/>
      </c>
    </row>
    <row r="3534" spans="5:7" x14ac:dyDescent="0.45">
      <c r="E3534" s="32" t="str">
        <f t="shared" si="165"/>
        <v>.0</v>
      </c>
      <c r="F3534" s="32" t="str">
        <f t="shared" si="166"/>
        <v>.0</v>
      </c>
      <c r="G3534" s="37" t="str">
        <f t="shared" si="167"/>
        <v/>
      </c>
    </row>
    <row r="3535" spans="5:7" x14ac:dyDescent="0.45">
      <c r="E3535" s="32" t="str">
        <f t="shared" si="165"/>
        <v>.0</v>
      </c>
      <c r="F3535" s="32" t="str">
        <f t="shared" si="166"/>
        <v>.0</v>
      </c>
      <c r="G3535" s="37" t="str">
        <f t="shared" si="167"/>
        <v/>
      </c>
    </row>
    <row r="3536" spans="5:7" x14ac:dyDescent="0.45">
      <c r="E3536" s="32" t="str">
        <f t="shared" si="165"/>
        <v>.0</v>
      </c>
      <c r="F3536" s="32" t="str">
        <f t="shared" si="166"/>
        <v>.0</v>
      </c>
      <c r="G3536" s="37" t="str">
        <f t="shared" si="167"/>
        <v/>
      </c>
    </row>
    <row r="3537" spans="5:7" x14ac:dyDescent="0.45">
      <c r="E3537" s="32" t="str">
        <f t="shared" si="165"/>
        <v>.0</v>
      </c>
      <c r="F3537" s="32" t="str">
        <f t="shared" si="166"/>
        <v>.0</v>
      </c>
      <c r="G3537" s="37" t="str">
        <f t="shared" si="167"/>
        <v/>
      </c>
    </row>
    <row r="3538" spans="5:7" x14ac:dyDescent="0.45">
      <c r="E3538" s="32" t="str">
        <f t="shared" si="165"/>
        <v>.0</v>
      </c>
      <c r="F3538" s="32" t="str">
        <f t="shared" si="166"/>
        <v>.0</v>
      </c>
      <c r="G3538" s="37" t="str">
        <f t="shared" si="167"/>
        <v/>
      </c>
    </row>
    <row r="3539" spans="5:7" x14ac:dyDescent="0.45">
      <c r="E3539" s="32" t="str">
        <f t="shared" si="165"/>
        <v>.0</v>
      </c>
      <c r="F3539" s="32" t="str">
        <f t="shared" si="166"/>
        <v>.0</v>
      </c>
      <c r="G3539" s="37" t="str">
        <f t="shared" si="167"/>
        <v/>
      </c>
    </row>
    <row r="3540" spans="5:7" x14ac:dyDescent="0.45">
      <c r="E3540" s="32" t="str">
        <f t="shared" si="165"/>
        <v>.0</v>
      </c>
      <c r="F3540" s="32" t="str">
        <f t="shared" si="166"/>
        <v>.0</v>
      </c>
      <c r="G3540" s="37" t="str">
        <f t="shared" si="167"/>
        <v/>
      </c>
    </row>
    <row r="3541" spans="5:7" x14ac:dyDescent="0.45">
      <c r="E3541" s="32" t="str">
        <f t="shared" si="165"/>
        <v>.0</v>
      </c>
      <c r="F3541" s="32" t="str">
        <f t="shared" si="166"/>
        <v>.0</v>
      </c>
      <c r="G3541" s="37" t="str">
        <f t="shared" si="167"/>
        <v/>
      </c>
    </row>
    <row r="3542" spans="5:7" x14ac:dyDescent="0.45">
      <c r="E3542" s="32" t="str">
        <f t="shared" si="165"/>
        <v>.0</v>
      </c>
      <c r="F3542" s="32" t="str">
        <f t="shared" si="166"/>
        <v>.0</v>
      </c>
      <c r="G3542" s="37" t="str">
        <f t="shared" si="167"/>
        <v/>
      </c>
    </row>
    <row r="3543" spans="5:7" x14ac:dyDescent="0.45">
      <c r="E3543" s="32" t="str">
        <f t="shared" si="165"/>
        <v>.0</v>
      </c>
      <c r="F3543" s="32" t="str">
        <f t="shared" si="166"/>
        <v>.0</v>
      </c>
      <c r="G3543" s="37" t="str">
        <f t="shared" si="167"/>
        <v/>
      </c>
    </row>
    <row r="3544" spans="5:7" x14ac:dyDescent="0.45">
      <c r="E3544" s="32" t="str">
        <f t="shared" si="165"/>
        <v>.0</v>
      </c>
      <c r="F3544" s="32" t="str">
        <f t="shared" si="166"/>
        <v>.0</v>
      </c>
      <c r="G3544" s="37" t="str">
        <f t="shared" si="167"/>
        <v/>
      </c>
    </row>
    <row r="3545" spans="5:7" x14ac:dyDescent="0.45">
      <c r="E3545" s="32" t="str">
        <f t="shared" si="165"/>
        <v>.0</v>
      </c>
      <c r="F3545" s="32" t="str">
        <f t="shared" si="166"/>
        <v>.0</v>
      </c>
      <c r="G3545" s="37" t="str">
        <f t="shared" si="167"/>
        <v/>
      </c>
    </row>
    <row r="3546" spans="5:7" x14ac:dyDescent="0.45">
      <c r="E3546" s="32" t="str">
        <f t="shared" si="165"/>
        <v>.0</v>
      </c>
      <c r="F3546" s="32" t="str">
        <f t="shared" si="166"/>
        <v>.0</v>
      </c>
      <c r="G3546" s="37" t="str">
        <f t="shared" si="167"/>
        <v/>
      </c>
    </row>
    <row r="3547" spans="5:7" x14ac:dyDescent="0.45">
      <c r="E3547" s="32" t="str">
        <f t="shared" si="165"/>
        <v>.0</v>
      </c>
      <c r="F3547" s="32" t="str">
        <f t="shared" si="166"/>
        <v>.0</v>
      </c>
      <c r="G3547" s="37" t="str">
        <f t="shared" si="167"/>
        <v/>
      </c>
    </row>
    <row r="3548" spans="5:7" x14ac:dyDescent="0.45">
      <c r="E3548" s="32" t="str">
        <f t="shared" si="165"/>
        <v>.0</v>
      </c>
      <c r="F3548" s="32" t="str">
        <f t="shared" si="166"/>
        <v>.0</v>
      </c>
      <c r="G3548" s="37" t="str">
        <f t="shared" si="167"/>
        <v/>
      </c>
    </row>
    <row r="3549" spans="5:7" x14ac:dyDescent="0.45">
      <c r="E3549" s="32" t="str">
        <f t="shared" si="165"/>
        <v>.0</v>
      </c>
      <c r="F3549" s="32" t="str">
        <f t="shared" si="166"/>
        <v>.0</v>
      </c>
      <c r="G3549" s="37" t="str">
        <f t="shared" si="167"/>
        <v/>
      </c>
    </row>
    <row r="3550" spans="5:7" x14ac:dyDescent="0.45">
      <c r="E3550" s="32" t="str">
        <f t="shared" ref="E3550:E3613" si="168">MID(B3550,3,2)&amp;"."&amp;IF(C3550&lt;10,"0"&amp;C3550,C3550)</f>
        <v>.0</v>
      </c>
      <c r="F3550" s="32" t="str">
        <f t="shared" ref="F3550:F3613" si="169">MID(B3550,3,2)&amp;"."&amp;IF(C3550&lt;10,"0"&amp;C3550,C3550)</f>
        <v>.0</v>
      </c>
      <c r="G3550" s="37" t="str">
        <f t="shared" ref="G3550:G3613" si="170">TEXT(D3550,"#,###,")</f>
        <v/>
      </c>
    </row>
    <row r="3551" spans="5:7" x14ac:dyDescent="0.45">
      <c r="E3551" s="32" t="str">
        <f t="shared" si="168"/>
        <v>.0</v>
      </c>
      <c r="F3551" s="32" t="str">
        <f t="shared" si="169"/>
        <v>.0</v>
      </c>
      <c r="G3551" s="37" t="str">
        <f t="shared" si="170"/>
        <v/>
      </c>
    </row>
    <row r="3552" spans="5:7" x14ac:dyDescent="0.45">
      <c r="E3552" s="32" t="str">
        <f t="shared" si="168"/>
        <v>.0</v>
      </c>
      <c r="F3552" s="32" t="str">
        <f t="shared" si="169"/>
        <v>.0</v>
      </c>
      <c r="G3552" s="37" t="str">
        <f t="shared" si="170"/>
        <v/>
      </c>
    </row>
    <row r="3553" spans="5:7" x14ac:dyDescent="0.45">
      <c r="E3553" s="32" t="str">
        <f t="shared" si="168"/>
        <v>.0</v>
      </c>
      <c r="F3553" s="32" t="str">
        <f t="shared" si="169"/>
        <v>.0</v>
      </c>
      <c r="G3553" s="37" t="str">
        <f t="shared" si="170"/>
        <v/>
      </c>
    </row>
    <row r="3554" spans="5:7" x14ac:dyDescent="0.45">
      <c r="E3554" s="32" t="str">
        <f t="shared" si="168"/>
        <v>.0</v>
      </c>
      <c r="F3554" s="32" t="str">
        <f t="shared" si="169"/>
        <v>.0</v>
      </c>
      <c r="G3554" s="37" t="str">
        <f t="shared" si="170"/>
        <v/>
      </c>
    </row>
    <row r="3555" spans="5:7" x14ac:dyDescent="0.45">
      <c r="E3555" s="32" t="str">
        <f t="shared" si="168"/>
        <v>.0</v>
      </c>
      <c r="F3555" s="32" t="str">
        <f t="shared" si="169"/>
        <v>.0</v>
      </c>
      <c r="G3555" s="37" t="str">
        <f t="shared" si="170"/>
        <v/>
      </c>
    </row>
    <row r="3556" spans="5:7" x14ac:dyDescent="0.45">
      <c r="E3556" s="32" t="str">
        <f t="shared" si="168"/>
        <v>.0</v>
      </c>
      <c r="F3556" s="32" t="str">
        <f t="shared" si="169"/>
        <v>.0</v>
      </c>
      <c r="G3556" s="37" t="str">
        <f t="shared" si="170"/>
        <v/>
      </c>
    </row>
    <row r="3557" spans="5:7" x14ac:dyDescent="0.45">
      <c r="E3557" s="32" t="str">
        <f t="shared" si="168"/>
        <v>.0</v>
      </c>
      <c r="F3557" s="32" t="str">
        <f t="shared" si="169"/>
        <v>.0</v>
      </c>
      <c r="G3557" s="37" t="str">
        <f t="shared" si="170"/>
        <v/>
      </c>
    </row>
    <row r="3558" spans="5:7" x14ac:dyDescent="0.45">
      <c r="E3558" s="32" t="str">
        <f t="shared" si="168"/>
        <v>.0</v>
      </c>
      <c r="F3558" s="32" t="str">
        <f t="shared" si="169"/>
        <v>.0</v>
      </c>
      <c r="G3558" s="37" t="str">
        <f t="shared" si="170"/>
        <v/>
      </c>
    </row>
    <row r="3559" spans="5:7" x14ac:dyDescent="0.45">
      <c r="E3559" s="32" t="str">
        <f t="shared" si="168"/>
        <v>.0</v>
      </c>
      <c r="F3559" s="32" t="str">
        <f t="shared" si="169"/>
        <v>.0</v>
      </c>
      <c r="G3559" s="37" t="str">
        <f t="shared" si="170"/>
        <v/>
      </c>
    </row>
    <row r="3560" spans="5:7" x14ac:dyDescent="0.45">
      <c r="E3560" s="32" t="str">
        <f t="shared" si="168"/>
        <v>.0</v>
      </c>
      <c r="F3560" s="32" t="str">
        <f t="shared" si="169"/>
        <v>.0</v>
      </c>
      <c r="G3560" s="37" t="str">
        <f t="shared" si="170"/>
        <v/>
      </c>
    </row>
    <row r="3561" spans="5:7" x14ac:dyDescent="0.45">
      <c r="E3561" s="32" t="str">
        <f t="shared" si="168"/>
        <v>.0</v>
      </c>
      <c r="F3561" s="32" t="str">
        <f t="shared" si="169"/>
        <v>.0</v>
      </c>
      <c r="G3561" s="37" t="str">
        <f t="shared" si="170"/>
        <v/>
      </c>
    </row>
    <row r="3562" spans="5:7" x14ac:dyDescent="0.45">
      <c r="E3562" s="32" t="str">
        <f t="shared" si="168"/>
        <v>.0</v>
      </c>
      <c r="F3562" s="32" t="str">
        <f t="shared" si="169"/>
        <v>.0</v>
      </c>
      <c r="G3562" s="37" t="str">
        <f t="shared" si="170"/>
        <v/>
      </c>
    </row>
    <row r="3563" spans="5:7" x14ac:dyDescent="0.45">
      <c r="E3563" s="32" t="str">
        <f t="shared" si="168"/>
        <v>.0</v>
      </c>
      <c r="F3563" s="32" t="str">
        <f t="shared" si="169"/>
        <v>.0</v>
      </c>
      <c r="G3563" s="37" t="str">
        <f t="shared" si="170"/>
        <v/>
      </c>
    </row>
    <row r="3564" spans="5:7" x14ac:dyDescent="0.45">
      <c r="E3564" s="32" t="str">
        <f t="shared" si="168"/>
        <v>.0</v>
      </c>
      <c r="F3564" s="32" t="str">
        <f t="shared" si="169"/>
        <v>.0</v>
      </c>
      <c r="G3564" s="37" t="str">
        <f t="shared" si="170"/>
        <v/>
      </c>
    </row>
    <row r="3565" spans="5:7" x14ac:dyDescent="0.45">
      <c r="E3565" s="32" t="str">
        <f t="shared" si="168"/>
        <v>.0</v>
      </c>
      <c r="F3565" s="32" t="str">
        <f t="shared" si="169"/>
        <v>.0</v>
      </c>
      <c r="G3565" s="37" t="str">
        <f t="shared" si="170"/>
        <v/>
      </c>
    </row>
    <row r="3566" spans="5:7" x14ac:dyDescent="0.45">
      <c r="E3566" s="32" t="str">
        <f t="shared" si="168"/>
        <v>.0</v>
      </c>
      <c r="F3566" s="32" t="str">
        <f t="shared" si="169"/>
        <v>.0</v>
      </c>
      <c r="G3566" s="37" t="str">
        <f t="shared" si="170"/>
        <v/>
      </c>
    </row>
    <row r="3567" spans="5:7" x14ac:dyDescent="0.45">
      <c r="E3567" s="32" t="str">
        <f t="shared" si="168"/>
        <v>.0</v>
      </c>
      <c r="F3567" s="32" t="str">
        <f t="shared" si="169"/>
        <v>.0</v>
      </c>
      <c r="G3567" s="37" t="str">
        <f t="shared" si="170"/>
        <v/>
      </c>
    </row>
    <row r="3568" spans="5:7" x14ac:dyDescent="0.45">
      <c r="E3568" s="32" t="str">
        <f t="shared" si="168"/>
        <v>.0</v>
      </c>
      <c r="F3568" s="32" t="str">
        <f t="shared" si="169"/>
        <v>.0</v>
      </c>
      <c r="G3568" s="37" t="str">
        <f t="shared" si="170"/>
        <v/>
      </c>
    </row>
    <row r="3569" spans="5:7" x14ac:dyDescent="0.45">
      <c r="E3569" s="32" t="str">
        <f t="shared" si="168"/>
        <v>.0</v>
      </c>
      <c r="F3569" s="32" t="str">
        <f t="shared" si="169"/>
        <v>.0</v>
      </c>
      <c r="G3569" s="37" t="str">
        <f t="shared" si="170"/>
        <v/>
      </c>
    </row>
    <row r="3570" spans="5:7" x14ac:dyDescent="0.45">
      <c r="E3570" s="32" t="str">
        <f t="shared" si="168"/>
        <v>.0</v>
      </c>
      <c r="F3570" s="32" t="str">
        <f t="shared" si="169"/>
        <v>.0</v>
      </c>
      <c r="G3570" s="37" t="str">
        <f t="shared" si="170"/>
        <v/>
      </c>
    </row>
    <row r="3571" spans="5:7" x14ac:dyDescent="0.45">
      <c r="E3571" s="32" t="str">
        <f t="shared" si="168"/>
        <v>.0</v>
      </c>
      <c r="F3571" s="32" t="str">
        <f t="shared" si="169"/>
        <v>.0</v>
      </c>
      <c r="G3571" s="37" t="str">
        <f t="shared" si="170"/>
        <v/>
      </c>
    </row>
    <row r="3572" spans="5:7" x14ac:dyDescent="0.45">
      <c r="E3572" s="32" t="str">
        <f t="shared" si="168"/>
        <v>.0</v>
      </c>
      <c r="F3572" s="32" t="str">
        <f t="shared" si="169"/>
        <v>.0</v>
      </c>
      <c r="G3572" s="37" t="str">
        <f t="shared" si="170"/>
        <v/>
      </c>
    </row>
    <row r="3573" spans="5:7" x14ac:dyDescent="0.45">
      <c r="E3573" s="32" t="str">
        <f t="shared" si="168"/>
        <v>.0</v>
      </c>
      <c r="F3573" s="32" t="str">
        <f t="shared" si="169"/>
        <v>.0</v>
      </c>
      <c r="G3573" s="37" t="str">
        <f t="shared" si="170"/>
        <v/>
      </c>
    </row>
    <row r="3574" spans="5:7" x14ac:dyDescent="0.45">
      <c r="E3574" s="32" t="str">
        <f t="shared" si="168"/>
        <v>.0</v>
      </c>
      <c r="F3574" s="32" t="str">
        <f t="shared" si="169"/>
        <v>.0</v>
      </c>
      <c r="G3574" s="37" t="str">
        <f t="shared" si="170"/>
        <v/>
      </c>
    </row>
    <row r="3575" spans="5:7" x14ac:dyDescent="0.45">
      <c r="E3575" s="32" t="str">
        <f t="shared" si="168"/>
        <v>.0</v>
      </c>
      <c r="F3575" s="32" t="str">
        <f t="shared" si="169"/>
        <v>.0</v>
      </c>
      <c r="G3575" s="37" t="str">
        <f t="shared" si="170"/>
        <v/>
      </c>
    </row>
    <row r="3576" spans="5:7" x14ac:dyDescent="0.45">
      <c r="E3576" s="32" t="str">
        <f t="shared" si="168"/>
        <v>.0</v>
      </c>
      <c r="F3576" s="32" t="str">
        <f t="shared" si="169"/>
        <v>.0</v>
      </c>
      <c r="G3576" s="37" t="str">
        <f t="shared" si="170"/>
        <v/>
      </c>
    </row>
    <row r="3577" spans="5:7" x14ac:dyDescent="0.45">
      <c r="E3577" s="32" t="str">
        <f t="shared" si="168"/>
        <v>.0</v>
      </c>
      <c r="F3577" s="32" t="str">
        <f t="shared" si="169"/>
        <v>.0</v>
      </c>
      <c r="G3577" s="37" t="str">
        <f t="shared" si="170"/>
        <v/>
      </c>
    </row>
    <row r="3578" spans="5:7" x14ac:dyDescent="0.45">
      <c r="E3578" s="32" t="str">
        <f t="shared" si="168"/>
        <v>.0</v>
      </c>
      <c r="F3578" s="32" t="str">
        <f t="shared" si="169"/>
        <v>.0</v>
      </c>
      <c r="G3578" s="37" t="str">
        <f t="shared" si="170"/>
        <v/>
      </c>
    </row>
    <row r="3579" spans="5:7" x14ac:dyDescent="0.45">
      <c r="E3579" s="32" t="str">
        <f t="shared" si="168"/>
        <v>.0</v>
      </c>
      <c r="F3579" s="32" t="str">
        <f t="shared" si="169"/>
        <v>.0</v>
      </c>
      <c r="G3579" s="37" t="str">
        <f t="shared" si="170"/>
        <v/>
      </c>
    </row>
    <row r="3580" spans="5:7" x14ac:dyDescent="0.45">
      <c r="E3580" s="32" t="str">
        <f t="shared" si="168"/>
        <v>.0</v>
      </c>
      <c r="F3580" s="32" t="str">
        <f t="shared" si="169"/>
        <v>.0</v>
      </c>
      <c r="G3580" s="37" t="str">
        <f t="shared" si="170"/>
        <v/>
      </c>
    </row>
    <row r="3581" spans="5:7" x14ac:dyDescent="0.45">
      <c r="E3581" s="32" t="str">
        <f t="shared" si="168"/>
        <v>.0</v>
      </c>
      <c r="F3581" s="32" t="str">
        <f t="shared" si="169"/>
        <v>.0</v>
      </c>
      <c r="G3581" s="37" t="str">
        <f t="shared" si="170"/>
        <v/>
      </c>
    </row>
    <row r="3582" spans="5:7" x14ac:dyDescent="0.45">
      <c r="E3582" s="32" t="str">
        <f t="shared" si="168"/>
        <v>.0</v>
      </c>
      <c r="F3582" s="32" t="str">
        <f t="shared" si="169"/>
        <v>.0</v>
      </c>
      <c r="G3582" s="37" t="str">
        <f t="shared" si="170"/>
        <v/>
      </c>
    </row>
    <row r="3583" spans="5:7" x14ac:dyDescent="0.45">
      <c r="E3583" s="32" t="str">
        <f t="shared" si="168"/>
        <v>.0</v>
      </c>
      <c r="F3583" s="32" t="str">
        <f t="shared" si="169"/>
        <v>.0</v>
      </c>
      <c r="G3583" s="37" t="str">
        <f t="shared" si="170"/>
        <v/>
      </c>
    </row>
    <row r="3584" spans="5:7" x14ac:dyDescent="0.45">
      <c r="E3584" s="32" t="str">
        <f t="shared" si="168"/>
        <v>.0</v>
      </c>
      <c r="F3584" s="32" t="str">
        <f t="shared" si="169"/>
        <v>.0</v>
      </c>
      <c r="G3584" s="37" t="str">
        <f t="shared" si="170"/>
        <v/>
      </c>
    </row>
    <row r="3585" spans="5:7" x14ac:dyDescent="0.45">
      <c r="E3585" s="32" t="str">
        <f t="shared" si="168"/>
        <v>.0</v>
      </c>
      <c r="F3585" s="32" t="str">
        <f t="shared" si="169"/>
        <v>.0</v>
      </c>
      <c r="G3585" s="37" t="str">
        <f t="shared" si="170"/>
        <v/>
      </c>
    </row>
    <row r="3586" spans="5:7" x14ac:dyDescent="0.45">
      <c r="E3586" s="32" t="str">
        <f t="shared" si="168"/>
        <v>.0</v>
      </c>
      <c r="F3586" s="32" t="str">
        <f t="shared" si="169"/>
        <v>.0</v>
      </c>
      <c r="G3586" s="37" t="str">
        <f t="shared" si="170"/>
        <v/>
      </c>
    </row>
    <row r="3587" spans="5:7" x14ac:dyDescent="0.45">
      <c r="E3587" s="32" t="str">
        <f t="shared" si="168"/>
        <v>.0</v>
      </c>
      <c r="F3587" s="32" t="str">
        <f t="shared" si="169"/>
        <v>.0</v>
      </c>
      <c r="G3587" s="37" t="str">
        <f t="shared" si="170"/>
        <v/>
      </c>
    </row>
    <row r="3588" spans="5:7" x14ac:dyDescent="0.45">
      <c r="E3588" s="32" t="str">
        <f t="shared" si="168"/>
        <v>.0</v>
      </c>
      <c r="F3588" s="32" t="str">
        <f t="shared" si="169"/>
        <v>.0</v>
      </c>
      <c r="G3588" s="37" t="str">
        <f t="shared" si="170"/>
        <v/>
      </c>
    </row>
    <row r="3589" spans="5:7" x14ac:dyDescent="0.45">
      <c r="E3589" s="32" t="str">
        <f t="shared" si="168"/>
        <v>.0</v>
      </c>
      <c r="F3589" s="32" t="str">
        <f t="shared" si="169"/>
        <v>.0</v>
      </c>
      <c r="G3589" s="37" t="str">
        <f t="shared" si="170"/>
        <v/>
      </c>
    </row>
    <row r="3590" spans="5:7" x14ac:dyDescent="0.45">
      <c r="E3590" s="32" t="str">
        <f t="shared" si="168"/>
        <v>.0</v>
      </c>
      <c r="F3590" s="32" t="str">
        <f t="shared" si="169"/>
        <v>.0</v>
      </c>
      <c r="G3590" s="37" t="str">
        <f t="shared" si="170"/>
        <v/>
      </c>
    </row>
    <row r="3591" spans="5:7" x14ac:dyDescent="0.45">
      <c r="E3591" s="32" t="str">
        <f t="shared" si="168"/>
        <v>.0</v>
      </c>
      <c r="F3591" s="32" t="str">
        <f t="shared" si="169"/>
        <v>.0</v>
      </c>
      <c r="G3591" s="37" t="str">
        <f t="shared" si="170"/>
        <v/>
      </c>
    </row>
    <row r="3592" spans="5:7" x14ac:dyDescent="0.45">
      <c r="E3592" s="32" t="str">
        <f t="shared" si="168"/>
        <v>.0</v>
      </c>
      <c r="F3592" s="32" t="str">
        <f t="shared" si="169"/>
        <v>.0</v>
      </c>
      <c r="G3592" s="37" t="str">
        <f t="shared" si="170"/>
        <v/>
      </c>
    </row>
    <row r="3593" spans="5:7" x14ac:dyDescent="0.45">
      <c r="E3593" s="32" t="str">
        <f t="shared" si="168"/>
        <v>.0</v>
      </c>
      <c r="F3593" s="32" t="str">
        <f t="shared" si="169"/>
        <v>.0</v>
      </c>
      <c r="G3593" s="37" t="str">
        <f t="shared" si="170"/>
        <v/>
      </c>
    </row>
    <row r="3594" spans="5:7" x14ac:dyDescent="0.45">
      <c r="E3594" s="32" t="str">
        <f t="shared" si="168"/>
        <v>.0</v>
      </c>
      <c r="F3594" s="32" t="str">
        <f t="shared" si="169"/>
        <v>.0</v>
      </c>
      <c r="G3594" s="37" t="str">
        <f t="shared" si="170"/>
        <v/>
      </c>
    </row>
    <row r="3595" spans="5:7" x14ac:dyDescent="0.45">
      <c r="E3595" s="32" t="str">
        <f t="shared" si="168"/>
        <v>.0</v>
      </c>
      <c r="F3595" s="32" t="str">
        <f t="shared" si="169"/>
        <v>.0</v>
      </c>
      <c r="G3595" s="37" t="str">
        <f t="shared" si="170"/>
        <v/>
      </c>
    </row>
    <row r="3596" spans="5:7" x14ac:dyDescent="0.45">
      <c r="E3596" s="32" t="str">
        <f t="shared" si="168"/>
        <v>.0</v>
      </c>
      <c r="F3596" s="32" t="str">
        <f t="shared" si="169"/>
        <v>.0</v>
      </c>
      <c r="G3596" s="37" t="str">
        <f t="shared" si="170"/>
        <v/>
      </c>
    </row>
    <row r="3597" spans="5:7" x14ac:dyDescent="0.45">
      <c r="E3597" s="32" t="str">
        <f t="shared" si="168"/>
        <v>.0</v>
      </c>
      <c r="F3597" s="32" t="str">
        <f t="shared" si="169"/>
        <v>.0</v>
      </c>
      <c r="G3597" s="37" t="str">
        <f t="shared" si="170"/>
        <v/>
      </c>
    </row>
    <row r="3598" spans="5:7" x14ac:dyDescent="0.45">
      <c r="E3598" s="32" t="str">
        <f t="shared" si="168"/>
        <v>.0</v>
      </c>
      <c r="F3598" s="32" t="str">
        <f t="shared" si="169"/>
        <v>.0</v>
      </c>
      <c r="G3598" s="37" t="str">
        <f t="shared" si="170"/>
        <v/>
      </c>
    </row>
    <row r="3599" spans="5:7" x14ac:dyDescent="0.45">
      <c r="E3599" s="32" t="str">
        <f t="shared" si="168"/>
        <v>.0</v>
      </c>
      <c r="F3599" s="32" t="str">
        <f t="shared" si="169"/>
        <v>.0</v>
      </c>
      <c r="G3599" s="37" t="str">
        <f t="shared" si="170"/>
        <v/>
      </c>
    </row>
    <row r="3600" spans="5:7" x14ac:dyDescent="0.45">
      <c r="E3600" s="32" t="str">
        <f t="shared" si="168"/>
        <v>.0</v>
      </c>
      <c r="F3600" s="32" t="str">
        <f t="shared" si="169"/>
        <v>.0</v>
      </c>
      <c r="G3600" s="37" t="str">
        <f t="shared" si="170"/>
        <v/>
      </c>
    </row>
    <row r="3601" spans="5:7" x14ac:dyDescent="0.45">
      <c r="E3601" s="32" t="str">
        <f t="shared" si="168"/>
        <v>.0</v>
      </c>
      <c r="F3601" s="32" t="str">
        <f t="shared" si="169"/>
        <v>.0</v>
      </c>
      <c r="G3601" s="37" t="str">
        <f t="shared" si="170"/>
        <v/>
      </c>
    </row>
    <row r="3602" spans="5:7" x14ac:dyDescent="0.45">
      <c r="E3602" s="32" t="str">
        <f t="shared" si="168"/>
        <v>.0</v>
      </c>
      <c r="F3602" s="32" t="str">
        <f t="shared" si="169"/>
        <v>.0</v>
      </c>
      <c r="G3602" s="37" t="str">
        <f t="shared" si="170"/>
        <v/>
      </c>
    </row>
    <row r="3603" spans="5:7" x14ac:dyDescent="0.45">
      <c r="E3603" s="32" t="str">
        <f t="shared" si="168"/>
        <v>.0</v>
      </c>
      <c r="F3603" s="32" t="str">
        <f t="shared" si="169"/>
        <v>.0</v>
      </c>
      <c r="G3603" s="37" t="str">
        <f t="shared" si="170"/>
        <v/>
      </c>
    </row>
    <row r="3604" spans="5:7" x14ac:dyDescent="0.45">
      <c r="E3604" s="32" t="str">
        <f t="shared" si="168"/>
        <v>.0</v>
      </c>
      <c r="F3604" s="32" t="str">
        <f t="shared" si="169"/>
        <v>.0</v>
      </c>
      <c r="G3604" s="37" t="str">
        <f t="shared" si="170"/>
        <v/>
      </c>
    </row>
    <row r="3605" spans="5:7" x14ac:dyDescent="0.45">
      <c r="E3605" s="32" t="str">
        <f t="shared" si="168"/>
        <v>.0</v>
      </c>
      <c r="F3605" s="32" t="str">
        <f t="shared" si="169"/>
        <v>.0</v>
      </c>
      <c r="G3605" s="37" t="str">
        <f t="shared" si="170"/>
        <v/>
      </c>
    </row>
    <row r="3606" spans="5:7" x14ac:dyDescent="0.45">
      <c r="E3606" s="32" t="str">
        <f t="shared" si="168"/>
        <v>.0</v>
      </c>
      <c r="F3606" s="32" t="str">
        <f t="shared" si="169"/>
        <v>.0</v>
      </c>
      <c r="G3606" s="37" t="str">
        <f t="shared" si="170"/>
        <v/>
      </c>
    </row>
    <row r="3607" spans="5:7" x14ac:dyDescent="0.45">
      <c r="E3607" s="32" t="str">
        <f t="shared" si="168"/>
        <v>.0</v>
      </c>
      <c r="F3607" s="32" t="str">
        <f t="shared" si="169"/>
        <v>.0</v>
      </c>
      <c r="G3607" s="37" t="str">
        <f t="shared" si="170"/>
        <v/>
      </c>
    </row>
    <row r="3608" spans="5:7" x14ac:dyDescent="0.45">
      <c r="E3608" s="32" t="str">
        <f t="shared" si="168"/>
        <v>.0</v>
      </c>
      <c r="F3608" s="32" t="str">
        <f t="shared" si="169"/>
        <v>.0</v>
      </c>
      <c r="G3608" s="37" t="str">
        <f t="shared" si="170"/>
        <v/>
      </c>
    </row>
    <row r="3609" spans="5:7" x14ac:dyDescent="0.45">
      <c r="E3609" s="32" t="str">
        <f t="shared" si="168"/>
        <v>.0</v>
      </c>
      <c r="F3609" s="32" t="str">
        <f t="shared" si="169"/>
        <v>.0</v>
      </c>
      <c r="G3609" s="37" t="str">
        <f t="shared" si="170"/>
        <v/>
      </c>
    </row>
    <row r="3610" spans="5:7" x14ac:dyDescent="0.45">
      <c r="E3610" s="32" t="str">
        <f t="shared" si="168"/>
        <v>.0</v>
      </c>
      <c r="F3610" s="32" t="str">
        <f t="shared" si="169"/>
        <v>.0</v>
      </c>
      <c r="G3610" s="37" t="str">
        <f t="shared" si="170"/>
        <v/>
      </c>
    </row>
    <row r="3611" spans="5:7" x14ac:dyDescent="0.45">
      <c r="E3611" s="32" t="str">
        <f t="shared" si="168"/>
        <v>.0</v>
      </c>
      <c r="F3611" s="32" t="str">
        <f t="shared" si="169"/>
        <v>.0</v>
      </c>
      <c r="G3611" s="37" t="str">
        <f t="shared" si="170"/>
        <v/>
      </c>
    </row>
    <row r="3612" spans="5:7" x14ac:dyDescent="0.45">
      <c r="E3612" s="32" t="str">
        <f t="shared" si="168"/>
        <v>.0</v>
      </c>
      <c r="F3612" s="32" t="str">
        <f t="shared" si="169"/>
        <v>.0</v>
      </c>
      <c r="G3612" s="37" t="str">
        <f t="shared" si="170"/>
        <v/>
      </c>
    </row>
    <row r="3613" spans="5:7" x14ac:dyDescent="0.45">
      <c r="E3613" s="32" t="str">
        <f t="shared" si="168"/>
        <v>.0</v>
      </c>
      <c r="F3613" s="32" t="str">
        <f t="shared" si="169"/>
        <v>.0</v>
      </c>
      <c r="G3613" s="37" t="str">
        <f t="shared" si="170"/>
        <v/>
      </c>
    </row>
    <row r="3614" spans="5:7" x14ac:dyDescent="0.45">
      <c r="E3614" s="32" t="str">
        <f t="shared" ref="E3614:E3677" si="171">MID(B3614,3,2)&amp;"."&amp;IF(C3614&lt;10,"0"&amp;C3614,C3614)</f>
        <v>.0</v>
      </c>
      <c r="F3614" s="32" t="str">
        <f t="shared" ref="F3614:F3677" si="172">MID(B3614,3,2)&amp;"."&amp;IF(C3614&lt;10,"0"&amp;C3614,C3614)</f>
        <v>.0</v>
      </c>
      <c r="G3614" s="37" t="str">
        <f t="shared" ref="G3614:G3677" si="173">TEXT(D3614,"#,###,")</f>
        <v/>
      </c>
    </row>
    <row r="3615" spans="5:7" x14ac:dyDescent="0.45">
      <c r="E3615" s="32" t="str">
        <f t="shared" si="171"/>
        <v>.0</v>
      </c>
      <c r="F3615" s="32" t="str">
        <f t="shared" si="172"/>
        <v>.0</v>
      </c>
      <c r="G3615" s="37" t="str">
        <f t="shared" si="173"/>
        <v/>
      </c>
    </row>
    <row r="3616" spans="5:7" x14ac:dyDescent="0.45">
      <c r="E3616" s="32" t="str">
        <f t="shared" si="171"/>
        <v>.0</v>
      </c>
      <c r="F3616" s="32" t="str">
        <f t="shared" si="172"/>
        <v>.0</v>
      </c>
      <c r="G3616" s="37" t="str">
        <f t="shared" si="173"/>
        <v/>
      </c>
    </row>
    <row r="3617" spans="5:7" x14ac:dyDescent="0.45">
      <c r="E3617" s="32" t="str">
        <f t="shared" si="171"/>
        <v>.0</v>
      </c>
      <c r="F3617" s="32" t="str">
        <f t="shared" si="172"/>
        <v>.0</v>
      </c>
      <c r="G3617" s="37" t="str">
        <f t="shared" si="173"/>
        <v/>
      </c>
    </row>
    <row r="3618" spans="5:7" x14ac:dyDescent="0.45">
      <c r="E3618" s="32" t="str">
        <f t="shared" si="171"/>
        <v>.0</v>
      </c>
      <c r="F3618" s="32" t="str">
        <f t="shared" si="172"/>
        <v>.0</v>
      </c>
      <c r="G3618" s="37" t="str">
        <f t="shared" si="173"/>
        <v/>
      </c>
    </row>
    <row r="3619" spans="5:7" x14ac:dyDescent="0.45">
      <c r="E3619" s="32" t="str">
        <f t="shared" si="171"/>
        <v>.0</v>
      </c>
      <c r="F3619" s="32" t="str">
        <f t="shared" si="172"/>
        <v>.0</v>
      </c>
      <c r="G3619" s="37" t="str">
        <f t="shared" si="173"/>
        <v/>
      </c>
    </row>
    <row r="3620" spans="5:7" x14ac:dyDescent="0.45">
      <c r="E3620" s="32" t="str">
        <f t="shared" si="171"/>
        <v>.0</v>
      </c>
      <c r="F3620" s="32" t="str">
        <f t="shared" si="172"/>
        <v>.0</v>
      </c>
      <c r="G3620" s="37" t="str">
        <f t="shared" si="173"/>
        <v/>
      </c>
    </row>
    <row r="3621" spans="5:7" x14ac:dyDescent="0.45">
      <c r="E3621" s="32" t="str">
        <f t="shared" si="171"/>
        <v>.0</v>
      </c>
      <c r="F3621" s="32" t="str">
        <f t="shared" si="172"/>
        <v>.0</v>
      </c>
      <c r="G3621" s="37" t="str">
        <f t="shared" si="173"/>
        <v/>
      </c>
    </row>
    <row r="3622" spans="5:7" x14ac:dyDescent="0.45">
      <c r="E3622" s="32" t="str">
        <f t="shared" si="171"/>
        <v>.0</v>
      </c>
      <c r="F3622" s="32" t="str">
        <f t="shared" si="172"/>
        <v>.0</v>
      </c>
      <c r="G3622" s="37" t="str">
        <f t="shared" si="173"/>
        <v/>
      </c>
    </row>
    <row r="3623" spans="5:7" x14ac:dyDescent="0.45">
      <c r="E3623" s="32" t="str">
        <f t="shared" si="171"/>
        <v>.0</v>
      </c>
      <c r="F3623" s="32" t="str">
        <f t="shared" si="172"/>
        <v>.0</v>
      </c>
      <c r="G3623" s="37" t="str">
        <f t="shared" si="173"/>
        <v/>
      </c>
    </row>
    <row r="3624" spans="5:7" x14ac:dyDescent="0.45">
      <c r="E3624" s="32" t="str">
        <f t="shared" si="171"/>
        <v>.0</v>
      </c>
      <c r="F3624" s="32" t="str">
        <f t="shared" si="172"/>
        <v>.0</v>
      </c>
      <c r="G3624" s="37" t="str">
        <f t="shared" si="173"/>
        <v/>
      </c>
    </row>
    <row r="3625" spans="5:7" x14ac:dyDescent="0.45">
      <c r="E3625" s="32" t="str">
        <f t="shared" si="171"/>
        <v>.0</v>
      </c>
      <c r="F3625" s="32" t="str">
        <f t="shared" si="172"/>
        <v>.0</v>
      </c>
      <c r="G3625" s="37" t="str">
        <f t="shared" si="173"/>
        <v/>
      </c>
    </row>
    <row r="3626" spans="5:7" x14ac:dyDescent="0.45">
      <c r="E3626" s="32" t="str">
        <f t="shared" si="171"/>
        <v>.0</v>
      </c>
      <c r="F3626" s="32" t="str">
        <f t="shared" si="172"/>
        <v>.0</v>
      </c>
      <c r="G3626" s="37" t="str">
        <f t="shared" si="173"/>
        <v/>
      </c>
    </row>
    <row r="3627" spans="5:7" x14ac:dyDescent="0.45">
      <c r="E3627" s="32" t="str">
        <f t="shared" si="171"/>
        <v>.0</v>
      </c>
      <c r="F3627" s="32" t="str">
        <f t="shared" si="172"/>
        <v>.0</v>
      </c>
      <c r="G3627" s="37" t="str">
        <f t="shared" si="173"/>
        <v/>
      </c>
    </row>
    <row r="3628" spans="5:7" x14ac:dyDescent="0.45">
      <c r="E3628" s="32" t="str">
        <f t="shared" si="171"/>
        <v>.0</v>
      </c>
      <c r="F3628" s="32" t="str">
        <f t="shared" si="172"/>
        <v>.0</v>
      </c>
      <c r="G3628" s="37" t="str">
        <f t="shared" si="173"/>
        <v/>
      </c>
    </row>
    <row r="3629" spans="5:7" x14ac:dyDescent="0.45">
      <c r="E3629" s="32" t="str">
        <f t="shared" si="171"/>
        <v>.0</v>
      </c>
      <c r="F3629" s="32" t="str">
        <f t="shared" si="172"/>
        <v>.0</v>
      </c>
      <c r="G3629" s="37" t="str">
        <f t="shared" si="173"/>
        <v/>
      </c>
    </row>
    <row r="3630" spans="5:7" x14ac:dyDescent="0.45">
      <c r="E3630" s="32" t="str">
        <f t="shared" si="171"/>
        <v>.0</v>
      </c>
      <c r="F3630" s="32" t="str">
        <f t="shared" si="172"/>
        <v>.0</v>
      </c>
      <c r="G3630" s="37" t="str">
        <f t="shared" si="173"/>
        <v/>
      </c>
    </row>
    <row r="3631" spans="5:7" x14ac:dyDescent="0.45">
      <c r="E3631" s="32" t="str">
        <f t="shared" si="171"/>
        <v>.0</v>
      </c>
      <c r="F3631" s="32" t="str">
        <f t="shared" si="172"/>
        <v>.0</v>
      </c>
      <c r="G3631" s="37" t="str">
        <f t="shared" si="173"/>
        <v/>
      </c>
    </row>
    <row r="3632" spans="5:7" x14ac:dyDescent="0.45">
      <c r="E3632" s="32" t="str">
        <f t="shared" si="171"/>
        <v>.0</v>
      </c>
      <c r="F3632" s="32" t="str">
        <f t="shared" si="172"/>
        <v>.0</v>
      </c>
      <c r="G3632" s="37" t="str">
        <f t="shared" si="173"/>
        <v/>
      </c>
    </row>
    <row r="3633" spans="5:7" x14ac:dyDescent="0.45">
      <c r="E3633" s="32" t="str">
        <f t="shared" si="171"/>
        <v>.0</v>
      </c>
      <c r="F3633" s="32" t="str">
        <f t="shared" si="172"/>
        <v>.0</v>
      </c>
      <c r="G3633" s="37" t="str">
        <f t="shared" si="173"/>
        <v/>
      </c>
    </row>
    <row r="3634" spans="5:7" x14ac:dyDescent="0.45">
      <c r="E3634" s="32" t="str">
        <f t="shared" si="171"/>
        <v>.0</v>
      </c>
      <c r="F3634" s="32" t="str">
        <f t="shared" si="172"/>
        <v>.0</v>
      </c>
      <c r="G3634" s="37" t="str">
        <f t="shared" si="173"/>
        <v/>
      </c>
    </row>
    <row r="3635" spans="5:7" x14ac:dyDescent="0.45">
      <c r="E3635" s="32" t="str">
        <f t="shared" si="171"/>
        <v>.0</v>
      </c>
      <c r="F3635" s="32" t="str">
        <f t="shared" si="172"/>
        <v>.0</v>
      </c>
      <c r="G3635" s="37" t="str">
        <f t="shared" si="173"/>
        <v/>
      </c>
    </row>
    <row r="3636" spans="5:7" x14ac:dyDescent="0.45">
      <c r="E3636" s="32" t="str">
        <f t="shared" si="171"/>
        <v>.0</v>
      </c>
      <c r="F3636" s="32" t="str">
        <f t="shared" si="172"/>
        <v>.0</v>
      </c>
      <c r="G3636" s="37" t="str">
        <f t="shared" si="173"/>
        <v/>
      </c>
    </row>
    <row r="3637" spans="5:7" x14ac:dyDescent="0.45">
      <c r="E3637" s="32" t="str">
        <f t="shared" si="171"/>
        <v>.0</v>
      </c>
      <c r="F3637" s="32" t="str">
        <f t="shared" si="172"/>
        <v>.0</v>
      </c>
      <c r="G3637" s="37" t="str">
        <f t="shared" si="173"/>
        <v/>
      </c>
    </row>
    <row r="3638" spans="5:7" x14ac:dyDescent="0.45">
      <c r="E3638" s="32" t="str">
        <f t="shared" si="171"/>
        <v>.0</v>
      </c>
      <c r="F3638" s="32" t="str">
        <f t="shared" si="172"/>
        <v>.0</v>
      </c>
      <c r="G3638" s="37" t="str">
        <f t="shared" si="173"/>
        <v/>
      </c>
    </row>
    <row r="3639" spans="5:7" x14ac:dyDescent="0.45">
      <c r="E3639" s="32" t="str">
        <f t="shared" si="171"/>
        <v>.0</v>
      </c>
      <c r="F3639" s="32" t="str">
        <f t="shared" si="172"/>
        <v>.0</v>
      </c>
      <c r="G3639" s="37" t="str">
        <f t="shared" si="173"/>
        <v/>
      </c>
    </row>
    <row r="3640" spans="5:7" x14ac:dyDescent="0.45">
      <c r="E3640" s="32" t="str">
        <f t="shared" si="171"/>
        <v>.0</v>
      </c>
      <c r="F3640" s="32" t="str">
        <f t="shared" si="172"/>
        <v>.0</v>
      </c>
      <c r="G3640" s="37" t="str">
        <f t="shared" si="173"/>
        <v/>
      </c>
    </row>
    <row r="3641" spans="5:7" x14ac:dyDescent="0.45">
      <c r="E3641" s="32" t="str">
        <f t="shared" si="171"/>
        <v>.0</v>
      </c>
      <c r="F3641" s="32" t="str">
        <f t="shared" si="172"/>
        <v>.0</v>
      </c>
      <c r="G3641" s="37" t="str">
        <f t="shared" si="173"/>
        <v/>
      </c>
    </row>
    <row r="3642" spans="5:7" x14ac:dyDescent="0.45">
      <c r="E3642" s="32" t="str">
        <f t="shared" si="171"/>
        <v>.0</v>
      </c>
      <c r="F3642" s="32" t="str">
        <f t="shared" si="172"/>
        <v>.0</v>
      </c>
      <c r="G3642" s="37" t="str">
        <f t="shared" si="173"/>
        <v/>
      </c>
    </row>
    <row r="3643" spans="5:7" x14ac:dyDescent="0.45">
      <c r="E3643" s="32" t="str">
        <f t="shared" si="171"/>
        <v>.0</v>
      </c>
      <c r="F3643" s="32" t="str">
        <f t="shared" si="172"/>
        <v>.0</v>
      </c>
      <c r="G3643" s="37" t="str">
        <f t="shared" si="173"/>
        <v/>
      </c>
    </row>
    <row r="3644" spans="5:7" x14ac:dyDescent="0.45">
      <c r="E3644" s="32" t="str">
        <f t="shared" si="171"/>
        <v>.0</v>
      </c>
      <c r="F3644" s="32" t="str">
        <f t="shared" si="172"/>
        <v>.0</v>
      </c>
      <c r="G3644" s="37" t="str">
        <f t="shared" si="173"/>
        <v/>
      </c>
    </row>
    <row r="3645" spans="5:7" x14ac:dyDescent="0.45">
      <c r="E3645" s="32" t="str">
        <f t="shared" si="171"/>
        <v>.0</v>
      </c>
      <c r="F3645" s="32" t="str">
        <f t="shared" si="172"/>
        <v>.0</v>
      </c>
      <c r="G3645" s="37" t="str">
        <f t="shared" si="173"/>
        <v/>
      </c>
    </row>
    <row r="3646" spans="5:7" x14ac:dyDescent="0.45">
      <c r="E3646" s="32" t="str">
        <f t="shared" si="171"/>
        <v>.0</v>
      </c>
      <c r="F3646" s="32" t="str">
        <f t="shared" si="172"/>
        <v>.0</v>
      </c>
      <c r="G3646" s="37" t="str">
        <f t="shared" si="173"/>
        <v/>
      </c>
    </row>
    <row r="3647" spans="5:7" x14ac:dyDescent="0.45">
      <c r="E3647" s="32" t="str">
        <f t="shared" si="171"/>
        <v>.0</v>
      </c>
      <c r="F3647" s="32" t="str">
        <f t="shared" si="172"/>
        <v>.0</v>
      </c>
      <c r="G3647" s="37" t="str">
        <f t="shared" si="173"/>
        <v/>
      </c>
    </row>
    <row r="3648" spans="5:7" x14ac:dyDescent="0.45">
      <c r="E3648" s="32" t="str">
        <f t="shared" si="171"/>
        <v>.0</v>
      </c>
      <c r="F3648" s="32" t="str">
        <f t="shared" si="172"/>
        <v>.0</v>
      </c>
      <c r="G3648" s="37" t="str">
        <f t="shared" si="173"/>
        <v/>
      </c>
    </row>
    <row r="3649" spans="5:7" x14ac:dyDescent="0.45">
      <c r="E3649" s="32" t="str">
        <f t="shared" si="171"/>
        <v>.0</v>
      </c>
      <c r="F3649" s="32" t="str">
        <f t="shared" si="172"/>
        <v>.0</v>
      </c>
      <c r="G3649" s="37" t="str">
        <f t="shared" si="173"/>
        <v/>
      </c>
    </row>
    <row r="3650" spans="5:7" x14ac:dyDescent="0.45">
      <c r="E3650" s="32" t="str">
        <f t="shared" si="171"/>
        <v>.0</v>
      </c>
      <c r="F3650" s="32" t="str">
        <f t="shared" si="172"/>
        <v>.0</v>
      </c>
      <c r="G3650" s="37" t="str">
        <f t="shared" si="173"/>
        <v/>
      </c>
    </row>
    <row r="3651" spans="5:7" x14ac:dyDescent="0.45">
      <c r="E3651" s="32" t="str">
        <f t="shared" si="171"/>
        <v>.0</v>
      </c>
      <c r="F3651" s="32" t="str">
        <f t="shared" si="172"/>
        <v>.0</v>
      </c>
      <c r="G3651" s="37" t="str">
        <f t="shared" si="173"/>
        <v/>
      </c>
    </row>
    <row r="3652" spans="5:7" x14ac:dyDescent="0.45">
      <c r="E3652" s="32" t="str">
        <f t="shared" si="171"/>
        <v>.0</v>
      </c>
      <c r="F3652" s="32" t="str">
        <f t="shared" si="172"/>
        <v>.0</v>
      </c>
      <c r="G3652" s="37" t="str">
        <f t="shared" si="173"/>
        <v/>
      </c>
    </row>
    <row r="3653" spans="5:7" x14ac:dyDescent="0.45">
      <c r="E3653" s="32" t="str">
        <f t="shared" si="171"/>
        <v>.0</v>
      </c>
      <c r="F3653" s="32" t="str">
        <f t="shared" si="172"/>
        <v>.0</v>
      </c>
      <c r="G3653" s="37" t="str">
        <f t="shared" si="173"/>
        <v/>
      </c>
    </row>
    <row r="3654" spans="5:7" x14ac:dyDescent="0.45">
      <c r="E3654" s="32" t="str">
        <f t="shared" si="171"/>
        <v>.0</v>
      </c>
      <c r="F3654" s="32" t="str">
        <f t="shared" si="172"/>
        <v>.0</v>
      </c>
      <c r="G3654" s="37" t="str">
        <f t="shared" si="173"/>
        <v/>
      </c>
    </row>
    <row r="3655" spans="5:7" x14ac:dyDescent="0.45">
      <c r="E3655" s="32" t="str">
        <f t="shared" si="171"/>
        <v>.0</v>
      </c>
      <c r="F3655" s="32" t="str">
        <f t="shared" si="172"/>
        <v>.0</v>
      </c>
      <c r="G3655" s="37" t="str">
        <f t="shared" si="173"/>
        <v/>
      </c>
    </row>
    <row r="3656" spans="5:7" x14ac:dyDescent="0.45">
      <c r="E3656" s="32" t="str">
        <f t="shared" si="171"/>
        <v>.0</v>
      </c>
      <c r="F3656" s="32" t="str">
        <f t="shared" si="172"/>
        <v>.0</v>
      </c>
      <c r="G3656" s="37" t="str">
        <f t="shared" si="173"/>
        <v/>
      </c>
    </row>
    <row r="3657" spans="5:7" x14ac:dyDescent="0.45">
      <c r="E3657" s="32" t="str">
        <f t="shared" si="171"/>
        <v>.0</v>
      </c>
      <c r="F3657" s="32" t="str">
        <f t="shared" si="172"/>
        <v>.0</v>
      </c>
      <c r="G3657" s="37" t="str">
        <f t="shared" si="173"/>
        <v/>
      </c>
    </row>
    <row r="3658" spans="5:7" x14ac:dyDescent="0.45">
      <c r="E3658" s="32" t="str">
        <f t="shared" si="171"/>
        <v>.0</v>
      </c>
      <c r="F3658" s="32" t="str">
        <f t="shared" si="172"/>
        <v>.0</v>
      </c>
      <c r="G3658" s="37" t="str">
        <f t="shared" si="173"/>
        <v/>
      </c>
    </row>
    <row r="3659" spans="5:7" x14ac:dyDescent="0.45">
      <c r="E3659" s="32" t="str">
        <f t="shared" si="171"/>
        <v>.0</v>
      </c>
      <c r="F3659" s="32" t="str">
        <f t="shared" si="172"/>
        <v>.0</v>
      </c>
      <c r="G3659" s="37" t="str">
        <f t="shared" si="173"/>
        <v/>
      </c>
    </row>
    <row r="3660" spans="5:7" x14ac:dyDescent="0.45">
      <c r="E3660" s="32" t="str">
        <f t="shared" si="171"/>
        <v>.0</v>
      </c>
      <c r="F3660" s="32" t="str">
        <f t="shared" si="172"/>
        <v>.0</v>
      </c>
      <c r="G3660" s="37" t="str">
        <f t="shared" si="173"/>
        <v/>
      </c>
    </row>
    <row r="3661" spans="5:7" x14ac:dyDescent="0.45">
      <c r="E3661" s="32" t="str">
        <f t="shared" si="171"/>
        <v>.0</v>
      </c>
      <c r="F3661" s="32" t="str">
        <f t="shared" si="172"/>
        <v>.0</v>
      </c>
      <c r="G3661" s="37" t="str">
        <f t="shared" si="173"/>
        <v/>
      </c>
    </row>
    <row r="3662" spans="5:7" x14ac:dyDescent="0.45">
      <c r="E3662" s="32" t="str">
        <f t="shared" si="171"/>
        <v>.0</v>
      </c>
      <c r="F3662" s="32" t="str">
        <f t="shared" si="172"/>
        <v>.0</v>
      </c>
      <c r="G3662" s="37" t="str">
        <f t="shared" si="173"/>
        <v/>
      </c>
    </row>
    <row r="3663" spans="5:7" x14ac:dyDescent="0.45">
      <c r="E3663" s="32" t="str">
        <f t="shared" si="171"/>
        <v>.0</v>
      </c>
      <c r="F3663" s="32" t="str">
        <f t="shared" si="172"/>
        <v>.0</v>
      </c>
      <c r="G3663" s="37" t="str">
        <f t="shared" si="173"/>
        <v/>
      </c>
    </row>
    <row r="3664" spans="5:7" x14ac:dyDescent="0.45">
      <c r="E3664" s="32" t="str">
        <f t="shared" si="171"/>
        <v>.0</v>
      </c>
      <c r="F3664" s="32" t="str">
        <f t="shared" si="172"/>
        <v>.0</v>
      </c>
      <c r="G3664" s="37" t="str">
        <f t="shared" si="173"/>
        <v/>
      </c>
    </row>
    <row r="3665" spans="5:7" x14ac:dyDescent="0.45">
      <c r="E3665" s="32" t="str">
        <f t="shared" si="171"/>
        <v>.0</v>
      </c>
      <c r="F3665" s="32" t="str">
        <f t="shared" si="172"/>
        <v>.0</v>
      </c>
      <c r="G3665" s="37" t="str">
        <f t="shared" si="173"/>
        <v/>
      </c>
    </row>
    <row r="3666" spans="5:7" x14ac:dyDescent="0.45">
      <c r="E3666" s="32" t="str">
        <f t="shared" si="171"/>
        <v>.0</v>
      </c>
      <c r="F3666" s="32" t="str">
        <f t="shared" si="172"/>
        <v>.0</v>
      </c>
      <c r="G3666" s="37" t="str">
        <f t="shared" si="173"/>
        <v/>
      </c>
    </row>
    <row r="3667" spans="5:7" x14ac:dyDescent="0.45">
      <c r="E3667" s="32" t="str">
        <f t="shared" si="171"/>
        <v>.0</v>
      </c>
      <c r="F3667" s="32" t="str">
        <f t="shared" si="172"/>
        <v>.0</v>
      </c>
      <c r="G3667" s="37" t="str">
        <f t="shared" si="173"/>
        <v/>
      </c>
    </row>
    <row r="3668" spans="5:7" x14ac:dyDescent="0.45">
      <c r="E3668" s="32" t="str">
        <f t="shared" si="171"/>
        <v>.0</v>
      </c>
      <c r="F3668" s="32" t="str">
        <f t="shared" si="172"/>
        <v>.0</v>
      </c>
      <c r="G3668" s="37" t="str">
        <f t="shared" si="173"/>
        <v/>
      </c>
    </row>
    <row r="3669" spans="5:7" x14ac:dyDescent="0.45">
      <c r="E3669" s="32" t="str">
        <f t="shared" si="171"/>
        <v>.0</v>
      </c>
      <c r="F3669" s="32" t="str">
        <f t="shared" si="172"/>
        <v>.0</v>
      </c>
      <c r="G3669" s="37" t="str">
        <f t="shared" si="173"/>
        <v/>
      </c>
    </row>
    <row r="3670" spans="5:7" x14ac:dyDescent="0.45">
      <c r="E3670" s="32" t="str">
        <f t="shared" si="171"/>
        <v>.0</v>
      </c>
      <c r="F3670" s="32" t="str">
        <f t="shared" si="172"/>
        <v>.0</v>
      </c>
      <c r="G3670" s="37" t="str">
        <f t="shared" si="173"/>
        <v/>
      </c>
    </row>
    <row r="3671" spans="5:7" x14ac:dyDescent="0.45">
      <c r="E3671" s="32" t="str">
        <f t="shared" si="171"/>
        <v>.0</v>
      </c>
      <c r="F3671" s="32" t="str">
        <f t="shared" si="172"/>
        <v>.0</v>
      </c>
      <c r="G3671" s="37" t="str">
        <f t="shared" si="173"/>
        <v/>
      </c>
    </row>
    <row r="3672" spans="5:7" x14ac:dyDescent="0.45">
      <c r="E3672" s="32" t="str">
        <f t="shared" si="171"/>
        <v>.0</v>
      </c>
      <c r="F3672" s="32" t="str">
        <f t="shared" si="172"/>
        <v>.0</v>
      </c>
      <c r="G3672" s="37" t="str">
        <f t="shared" si="173"/>
        <v/>
      </c>
    </row>
    <row r="3673" spans="5:7" x14ac:dyDescent="0.45">
      <c r="E3673" s="32" t="str">
        <f t="shared" si="171"/>
        <v>.0</v>
      </c>
      <c r="F3673" s="32" t="str">
        <f t="shared" si="172"/>
        <v>.0</v>
      </c>
      <c r="G3673" s="37" t="str">
        <f t="shared" si="173"/>
        <v/>
      </c>
    </row>
    <row r="3674" spans="5:7" x14ac:dyDescent="0.45">
      <c r="E3674" s="32" t="str">
        <f t="shared" si="171"/>
        <v>.0</v>
      </c>
      <c r="F3674" s="32" t="str">
        <f t="shared" si="172"/>
        <v>.0</v>
      </c>
      <c r="G3674" s="37" t="str">
        <f t="shared" si="173"/>
        <v/>
      </c>
    </row>
    <row r="3675" spans="5:7" x14ac:dyDescent="0.45">
      <c r="E3675" s="32" t="str">
        <f t="shared" si="171"/>
        <v>.0</v>
      </c>
      <c r="F3675" s="32" t="str">
        <f t="shared" si="172"/>
        <v>.0</v>
      </c>
      <c r="G3675" s="37" t="str">
        <f t="shared" si="173"/>
        <v/>
      </c>
    </row>
    <row r="3676" spans="5:7" x14ac:dyDescent="0.45">
      <c r="E3676" s="32" t="str">
        <f t="shared" si="171"/>
        <v>.0</v>
      </c>
      <c r="F3676" s="32" t="str">
        <f t="shared" si="172"/>
        <v>.0</v>
      </c>
      <c r="G3676" s="37" t="str">
        <f t="shared" si="173"/>
        <v/>
      </c>
    </row>
    <row r="3677" spans="5:7" x14ac:dyDescent="0.45">
      <c r="E3677" s="32" t="str">
        <f t="shared" si="171"/>
        <v>.0</v>
      </c>
      <c r="F3677" s="32" t="str">
        <f t="shared" si="172"/>
        <v>.0</v>
      </c>
      <c r="G3677" s="37" t="str">
        <f t="shared" si="173"/>
        <v/>
      </c>
    </row>
    <row r="3678" spans="5:7" x14ac:dyDescent="0.45">
      <c r="E3678" s="32" t="str">
        <f t="shared" ref="E3678:E3741" si="174">MID(B3678,3,2)&amp;"."&amp;IF(C3678&lt;10,"0"&amp;C3678,C3678)</f>
        <v>.0</v>
      </c>
      <c r="F3678" s="32" t="str">
        <f t="shared" ref="F3678:F3741" si="175">MID(B3678,3,2)&amp;"."&amp;IF(C3678&lt;10,"0"&amp;C3678,C3678)</f>
        <v>.0</v>
      </c>
      <c r="G3678" s="37" t="str">
        <f t="shared" ref="G3678:G3741" si="176">TEXT(D3678,"#,###,")</f>
        <v/>
      </c>
    </row>
    <row r="3679" spans="5:7" x14ac:dyDescent="0.45">
      <c r="E3679" s="32" t="str">
        <f t="shared" si="174"/>
        <v>.0</v>
      </c>
      <c r="F3679" s="32" t="str">
        <f t="shared" si="175"/>
        <v>.0</v>
      </c>
      <c r="G3679" s="37" t="str">
        <f t="shared" si="176"/>
        <v/>
      </c>
    </row>
    <row r="3680" spans="5:7" x14ac:dyDescent="0.45">
      <c r="E3680" s="32" t="str">
        <f t="shared" si="174"/>
        <v>.0</v>
      </c>
      <c r="F3680" s="32" t="str">
        <f t="shared" si="175"/>
        <v>.0</v>
      </c>
      <c r="G3680" s="37" t="str">
        <f t="shared" si="176"/>
        <v/>
      </c>
    </row>
    <row r="3681" spans="5:7" x14ac:dyDescent="0.45">
      <c r="E3681" s="32" t="str">
        <f t="shared" si="174"/>
        <v>.0</v>
      </c>
      <c r="F3681" s="32" t="str">
        <f t="shared" si="175"/>
        <v>.0</v>
      </c>
      <c r="G3681" s="37" t="str">
        <f t="shared" si="176"/>
        <v/>
      </c>
    </row>
    <row r="3682" spans="5:7" x14ac:dyDescent="0.45">
      <c r="E3682" s="32" t="str">
        <f t="shared" si="174"/>
        <v>.0</v>
      </c>
      <c r="F3682" s="32" t="str">
        <f t="shared" si="175"/>
        <v>.0</v>
      </c>
      <c r="G3682" s="37" t="str">
        <f t="shared" si="176"/>
        <v/>
      </c>
    </row>
    <row r="3683" spans="5:7" x14ac:dyDescent="0.45">
      <c r="E3683" s="32" t="str">
        <f t="shared" si="174"/>
        <v>.0</v>
      </c>
      <c r="F3683" s="32" t="str">
        <f t="shared" si="175"/>
        <v>.0</v>
      </c>
      <c r="G3683" s="37" t="str">
        <f t="shared" si="176"/>
        <v/>
      </c>
    </row>
    <row r="3684" spans="5:7" x14ac:dyDescent="0.45">
      <c r="E3684" s="32" t="str">
        <f t="shared" si="174"/>
        <v>.0</v>
      </c>
      <c r="F3684" s="32" t="str">
        <f t="shared" si="175"/>
        <v>.0</v>
      </c>
      <c r="G3684" s="37" t="str">
        <f t="shared" si="176"/>
        <v/>
      </c>
    </row>
    <row r="3685" spans="5:7" x14ac:dyDescent="0.45">
      <c r="E3685" s="32" t="str">
        <f t="shared" si="174"/>
        <v>.0</v>
      </c>
      <c r="F3685" s="32" t="str">
        <f t="shared" si="175"/>
        <v>.0</v>
      </c>
      <c r="G3685" s="37" t="str">
        <f t="shared" si="176"/>
        <v/>
      </c>
    </row>
    <row r="3686" spans="5:7" x14ac:dyDescent="0.45">
      <c r="E3686" s="32" t="str">
        <f t="shared" si="174"/>
        <v>.0</v>
      </c>
      <c r="F3686" s="32" t="str">
        <f t="shared" si="175"/>
        <v>.0</v>
      </c>
      <c r="G3686" s="37" t="str">
        <f t="shared" si="176"/>
        <v/>
      </c>
    </row>
    <row r="3687" spans="5:7" x14ac:dyDescent="0.45">
      <c r="E3687" s="32" t="str">
        <f t="shared" si="174"/>
        <v>.0</v>
      </c>
      <c r="F3687" s="32" t="str">
        <f t="shared" si="175"/>
        <v>.0</v>
      </c>
      <c r="G3687" s="37" t="str">
        <f t="shared" si="176"/>
        <v/>
      </c>
    </row>
    <row r="3688" spans="5:7" x14ac:dyDescent="0.45">
      <c r="E3688" s="32" t="str">
        <f t="shared" si="174"/>
        <v>.0</v>
      </c>
      <c r="F3688" s="32" t="str">
        <f t="shared" si="175"/>
        <v>.0</v>
      </c>
      <c r="G3688" s="37" t="str">
        <f t="shared" si="176"/>
        <v/>
      </c>
    </row>
    <row r="3689" spans="5:7" x14ac:dyDescent="0.45">
      <c r="E3689" s="32" t="str">
        <f t="shared" si="174"/>
        <v>.0</v>
      </c>
      <c r="F3689" s="32" t="str">
        <f t="shared" si="175"/>
        <v>.0</v>
      </c>
      <c r="G3689" s="37" t="str">
        <f t="shared" si="176"/>
        <v/>
      </c>
    </row>
    <row r="3690" spans="5:7" x14ac:dyDescent="0.45">
      <c r="E3690" s="32" t="str">
        <f t="shared" si="174"/>
        <v>.0</v>
      </c>
      <c r="F3690" s="32" t="str">
        <f t="shared" si="175"/>
        <v>.0</v>
      </c>
      <c r="G3690" s="37" t="str">
        <f t="shared" si="176"/>
        <v/>
      </c>
    </row>
    <row r="3691" spans="5:7" x14ac:dyDescent="0.45">
      <c r="E3691" s="32" t="str">
        <f t="shared" si="174"/>
        <v>.0</v>
      </c>
      <c r="F3691" s="32" t="str">
        <f t="shared" si="175"/>
        <v>.0</v>
      </c>
      <c r="G3691" s="37" t="str">
        <f t="shared" si="176"/>
        <v/>
      </c>
    </row>
    <row r="3692" spans="5:7" x14ac:dyDescent="0.45">
      <c r="E3692" s="32" t="str">
        <f t="shared" si="174"/>
        <v>.0</v>
      </c>
      <c r="F3692" s="32" t="str">
        <f t="shared" si="175"/>
        <v>.0</v>
      </c>
      <c r="G3692" s="37" t="str">
        <f t="shared" si="176"/>
        <v/>
      </c>
    </row>
    <row r="3693" spans="5:7" x14ac:dyDescent="0.45">
      <c r="E3693" s="32" t="str">
        <f t="shared" si="174"/>
        <v>.0</v>
      </c>
      <c r="F3693" s="32" t="str">
        <f t="shared" si="175"/>
        <v>.0</v>
      </c>
      <c r="G3693" s="37" t="str">
        <f t="shared" si="176"/>
        <v/>
      </c>
    </row>
    <row r="3694" spans="5:7" x14ac:dyDescent="0.45">
      <c r="E3694" s="32" t="str">
        <f t="shared" si="174"/>
        <v>.0</v>
      </c>
      <c r="F3694" s="32" t="str">
        <f t="shared" si="175"/>
        <v>.0</v>
      </c>
      <c r="G3694" s="37" t="str">
        <f t="shared" si="176"/>
        <v/>
      </c>
    </row>
    <row r="3695" spans="5:7" x14ac:dyDescent="0.45">
      <c r="E3695" s="32" t="str">
        <f t="shared" si="174"/>
        <v>.0</v>
      </c>
      <c r="F3695" s="32" t="str">
        <f t="shared" si="175"/>
        <v>.0</v>
      </c>
      <c r="G3695" s="37" t="str">
        <f t="shared" si="176"/>
        <v/>
      </c>
    </row>
    <row r="3696" spans="5:7" x14ac:dyDescent="0.45">
      <c r="E3696" s="32" t="str">
        <f t="shared" si="174"/>
        <v>.0</v>
      </c>
      <c r="F3696" s="32" t="str">
        <f t="shared" si="175"/>
        <v>.0</v>
      </c>
      <c r="G3696" s="37" t="str">
        <f t="shared" si="176"/>
        <v/>
      </c>
    </row>
    <row r="3697" spans="5:7" x14ac:dyDescent="0.45">
      <c r="E3697" s="32" t="str">
        <f t="shared" si="174"/>
        <v>.0</v>
      </c>
      <c r="F3697" s="32" t="str">
        <f t="shared" si="175"/>
        <v>.0</v>
      </c>
      <c r="G3697" s="37" t="str">
        <f t="shared" si="176"/>
        <v/>
      </c>
    </row>
    <row r="3698" spans="5:7" x14ac:dyDescent="0.45">
      <c r="E3698" s="32" t="str">
        <f t="shared" si="174"/>
        <v>.0</v>
      </c>
      <c r="F3698" s="32" t="str">
        <f t="shared" si="175"/>
        <v>.0</v>
      </c>
      <c r="G3698" s="37" t="str">
        <f t="shared" si="176"/>
        <v/>
      </c>
    </row>
    <row r="3699" spans="5:7" x14ac:dyDescent="0.45">
      <c r="E3699" s="32" t="str">
        <f t="shared" si="174"/>
        <v>.0</v>
      </c>
      <c r="F3699" s="32" t="str">
        <f t="shared" si="175"/>
        <v>.0</v>
      </c>
      <c r="G3699" s="37" t="str">
        <f t="shared" si="176"/>
        <v/>
      </c>
    </row>
    <row r="3700" spans="5:7" x14ac:dyDescent="0.45">
      <c r="E3700" s="32" t="str">
        <f t="shared" si="174"/>
        <v>.0</v>
      </c>
      <c r="F3700" s="32" t="str">
        <f t="shared" si="175"/>
        <v>.0</v>
      </c>
      <c r="G3700" s="37" t="str">
        <f t="shared" si="176"/>
        <v/>
      </c>
    </row>
    <row r="3701" spans="5:7" x14ac:dyDescent="0.45">
      <c r="E3701" s="32" t="str">
        <f t="shared" si="174"/>
        <v>.0</v>
      </c>
      <c r="F3701" s="32" t="str">
        <f t="shared" si="175"/>
        <v>.0</v>
      </c>
      <c r="G3701" s="37" t="str">
        <f t="shared" si="176"/>
        <v/>
      </c>
    </row>
    <row r="3702" spans="5:7" x14ac:dyDescent="0.45">
      <c r="E3702" s="32" t="str">
        <f t="shared" si="174"/>
        <v>.0</v>
      </c>
      <c r="F3702" s="32" t="str">
        <f t="shared" si="175"/>
        <v>.0</v>
      </c>
      <c r="G3702" s="37" t="str">
        <f t="shared" si="176"/>
        <v/>
      </c>
    </row>
    <row r="3703" spans="5:7" x14ac:dyDescent="0.45">
      <c r="E3703" s="32" t="str">
        <f t="shared" si="174"/>
        <v>.0</v>
      </c>
      <c r="F3703" s="32" t="str">
        <f t="shared" si="175"/>
        <v>.0</v>
      </c>
      <c r="G3703" s="37" t="str">
        <f t="shared" si="176"/>
        <v/>
      </c>
    </row>
    <row r="3704" spans="5:7" x14ac:dyDescent="0.45">
      <c r="E3704" s="32" t="str">
        <f t="shared" si="174"/>
        <v>.0</v>
      </c>
      <c r="F3704" s="32" t="str">
        <f t="shared" si="175"/>
        <v>.0</v>
      </c>
      <c r="G3704" s="37" t="str">
        <f t="shared" si="176"/>
        <v/>
      </c>
    </row>
    <row r="3705" spans="5:7" x14ac:dyDescent="0.45">
      <c r="E3705" s="32" t="str">
        <f t="shared" si="174"/>
        <v>.0</v>
      </c>
      <c r="F3705" s="32" t="str">
        <f t="shared" si="175"/>
        <v>.0</v>
      </c>
      <c r="G3705" s="37" t="str">
        <f t="shared" si="176"/>
        <v/>
      </c>
    </row>
    <row r="3706" spans="5:7" x14ac:dyDescent="0.45">
      <c r="E3706" s="32" t="str">
        <f t="shared" si="174"/>
        <v>.0</v>
      </c>
      <c r="F3706" s="32" t="str">
        <f t="shared" si="175"/>
        <v>.0</v>
      </c>
      <c r="G3706" s="37" t="str">
        <f t="shared" si="176"/>
        <v/>
      </c>
    </row>
    <row r="3707" spans="5:7" x14ac:dyDescent="0.45">
      <c r="E3707" s="32" t="str">
        <f t="shared" si="174"/>
        <v>.0</v>
      </c>
      <c r="F3707" s="32" t="str">
        <f t="shared" si="175"/>
        <v>.0</v>
      </c>
      <c r="G3707" s="37" t="str">
        <f t="shared" si="176"/>
        <v/>
      </c>
    </row>
    <row r="3708" spans="5:7" x14ac:dyDescent="0.45">
      <c r="E3708" s="32" t="str">
        <f t="shared" si="174"/>
        <v>.0</v>
      </c>
      <c r="F3708" s="32" t="str">
        <f t="shared" si="175"/>
        <v>.0</v>
      </c>
      <c r="G3708" s="37" t="str">
        <f t="shared" si="176"/>
        <v/>
      </c>
    </row>
    <row r="3709" spans="5:7" x14ac:dyDescent="0.45">
      <c r="E3709" s="32" t="str">
        <f t="shared" si="174"/>
        <v>.0</v>
      </c>
      <c r="F3709" s="32" t="str">
        <f t="shared" si="175"/>
        <v>.0</v>
      </c>
      <c r="G3709" s="37" t="str">
        <f t="shared" si="176"/>
        <v/>
      </c>
    </row>
    <row r="3710" spans="5:7" x14ac:dyDescent="0.45">
      <c r="E3710" s="32" t="str">
        <f t="shared" si="174"/>
        <v>.0</v>
      </c>
      <c r="F3710" s="32" t="str">
        <f t="shared" si="175"/>
        <v>.0</v>
      </c>
      <c r="G3710" s="37" t="str">
        <f t="shared" si="176"/>
        <v/>
      </c>
    </row>
    <row r="3711" spans="5:7" x14ac:dyDescent="0.45">
      <c r="E3711" s="32" t="str">
        <f t="shared" si="174"/>
        <v>.0</v>
      </c>
      <c r="F3711" s="32" t="str">
        <f t="shared" si="175"/>
        <v>.0</v>
      </c>
      <c r="G3711" s="37" t="str">
        <f t="shared" si="176"/>
        <v/>
      </c>
    </row>
    <row r="3712" spans="5:7" x14ac:dyDescent="0.45">
      <c r="E3712" s="32" t="str">
        <f t="shared" si="174"/>
        <v>.0</v>
      </c>
      <c r="F3712" s="32" t="str">
        <f t="shared" si="175"/>
        <v>.0</v>
      </c>
      <c r="G3712" s="37" t="str">
        <f t="shared" si="176"/>
        <v/>
      </c>
    </row>
    <row r="3713" spans="5:7" x14ac:dyDescent="0.45">
      <c r="E3713" s="32" t="str">
        <f t="shared" si="174"/>
        <v>.0</v>
      </c>
      <c r="F3713" s="32" t="str">
        <f t="shared" si="175"/>
        <v>.0</v>
      </c>
      <c r="G3713" s="37" t="str">
        <f t="shared" si="176"/>
        <v/>
      </c>
    </row>
    <row r="3714" spans="5:7" x14ac:dyDescent="0.45">
      <c r="E3714" s="32" t="str">
        <f t="shared" si="174"/>
        <v>.0</v>
      </c>
      <c r="F3714" s="32" t="str">
        <f t="shared" si="175"/>
        <v>.0</v>
      </c>
      <c r="G3714" s="37" t="str">
        <f t="shared" si="176"/>
        <v/>
      </c>
    </row>
    <row r="3715" spans="5:7" x14ac:dyDescent="0.45">
      <c r="E3715" s="32" t="str">
        <f t="shared" si="174"/>
        <v>.0</v>
      </c>
      <c r="F3715" s="32" t="str">
        <f t="shared" si="175"/>
        <v>.0</v>
      </c>
      <c r="G3715" s="37" t="str">
        <f t="shared" si="176"/>
        <v/>
      </c>
    </row>
    <row r="3716" spans="5:7" x14ac:dyDescent="0.45">
      <c r="E3716" s="32" t="str">
        <f t="shared" si="174"/>
        <v>.0</v>
      </c>
      <c r="F3716" s="32" t="str">
        <f t="shared" si="175"/>
        <v>.0</v>
      </c>
      <c r="G3716" s="37" t="str">
        <f t="shared" si="176"/>
        <v/>
      </c>
    </row>
    <row r="3717" spans="5:7" x14ac:dyDescent="0.45">
      <c r="E3717" s="32" t="str">
        <f t="shared" si="174"/>
        <v>.0</v>
      </c>
      <c r="F3717" s="32" t="str">
        <f t="shared" si="175"/>
        <v>.0</v>
      </c>
      <c r="G3717" s="37" t="str">
        <f t="shared" si="176"/>
        <v/>
      </c>
    </row>
    <row r="3718" spans="5:7" x14ac:dyDescent="0.45">
      <c r="E3718" s="32" t="str">
        <f t="shared" si="174"/>
        <v>.0</v>
      </c>
      <c r="F3718" s="32" t="str">
        <f t="shared" si="175"/>
        <v>.0</v>
      </c>
      <c r="G3718" s="37" t="str">
        <f t="shared" si="176"/>
        <v/>
      </c>
    </row>
    <row r="3719" spans="5:7" x14ac:dyDescent="0.45">
      <c r="E3719" s="32" t="str">
        <f t="shared" si="174"/>
        <v>.0</v>
      </c>
      <c r="F3719" s="32" t="str">
        <f t="shared" si="175"/>
        <v>.0</v>
      </c>
      <c r="G3719" s="37" t="str">
        <f t="shared" si="176"/>
        <v/>
      </c>
    </row>
    <row r="3720" spans="5:7" x14ac:dyDescent="0.45">
      <c r="E3720" s="32" t="str">
        <f t="shared" si="174"/>
        <v>.0</v>
      </c>
      <c r="F3720" s="32" t="str">
        <f t="shared" si="175"/>
        <v>.0</v>
      </c>
      <c r="G3720" s="37" t="str">
        <f t="shared" si="176"/>
        <v/>
      </c>
    </row>
    <row r="3721" spans="5:7" x14ac:dyDescent="0.45">
      <c r="E3721" s="32" t="str">
        <f t="shared" si="174"/>
        <v>.0</v>
      </c>
      <c r="F3721" s="32" t="str">
        <f t="shared" si="175"/>
        <v>.0</v>
      </c>
      <c r="G3721" s="37" t="str">
        <f t="shared" si="176"/>
        <v/>
      </c>
    </row>
    <row r="3722" spans="5:7" x14ac:dyDescent="0.45">
      <c r="E3722" s="32" t="str">
        <f t="shared" si="174"/>
        <v>.0</v>
      </c>
      <c r="F3722" s="32" t="str">
        <f t="shared" si="175"/>
        <v>.0</v>
      </c>
      <c r="G3722" s="37" t="str">
        <f t="shared" si="176"/>
        <v/>
      </c>
    </row>
    <row r="3723" spans="5:7" x14ac:dyDescent="0.45">
      <c r="E3723" s="32" t="str">
        <f t="shared" si="174"/>
        <v>.0</v>
      </c>
      <c r="F3723" s="32" t="str">
        <f t="shared" si="175"/>
        <v>.0</v>
      </c>
      <c r="G3723" s="37" t="str">
        <f t="shared" si="176"/>
        <v/>
      </c>
    </row>
    <row r="3724" spans="5:7" x14ac:dyDescent="0.45">
      <c r="E3724" s="32" t="str">
        <f t="shared" si="174"/>
        <v>.0</v>
      </c>
      <c r="F3724" s="32" t="str">
        <f t="shared" si="175"/>
        <v>.0</v>
      </c>
      <c r="G3724" s="37" t="str">
        <f t="shared" si="176"/>
        <v/>
      </c>
    </row>
    <row r="3725" spans="5:7" x14ac:dyDescent="0.45">
      <c r="E3725" s="32" t="str">
        <f t="shared" si="174"/>
        <v>.0</v>
      </c>
      <c r="F3725" s="32" t="str">
        <f t="shared" si="175"/>
        <v>.0</v>
      </c>
      <c r="G3725" s="37" t="str">
        <f t="shared" si="176"/>
        <v/>
      </c>
    </row>
    <row r="3726" spans="5:7" x14ac:dyDescent="0.45">
      <c r="E3726" s="32" t="str">
        <f t="shared" si="174"/>
        <v>.0</v>
      </c>
      <c r="F3726" s="32" t="str">
        <f t="shared" si="175"/>
        <v>.0</v>
      </c>
      <c r="G3726" s="37" t="str">
        <f t="shared" si="176"/>
        <v/>
      </c>
    </row>
    <row r="3727" spans="5:7" x14ac:dyDescent="0.45">
      <c r="E3727" s="32" t="str">
        <f t="shared" si="174"/>
        <v>.0</v>
      </c>
      <c r="F3727" s="32" t="str">
        <f t="shared" si="175"/>
        <v>.0</v>
      </c>
      <c r="G3727" s="37" t="str">
        <f t="shared" si="176"/>
        <v/>
      </c>
    </row>
    <row r="3728" spans="5:7" x14ac:dyDescent="0.45">
      <c r="E3728" s="32" t="str">
        <f t="shared" si="174"/>
        <v>.0</v>
      </c>
      <c r="F3728" s="32" t="str">
        <f t="shared" si="175"/>
        <v>.0</v>
      </c>
      <c r="G3728" s="37" t="str">
        <f t="shared" si="176"/>
        <v/>
      </c>
    </row>
    <row r="3729" spans="5:7" x14ac:dyDescent="0.45">
      <c r="E3729" s="32" t="str">
        <f t="shared" si="174"/>
        <v>.0</v>
      </c>
      <c r="F3729" s="32" t="str">
        <f t="shared" si="175"/>
        <v>.0</v>
      </c>
      <c r="G3729" s="37" t="str">
        <f t="shared" si="176"/>
        <v/>
      </c>
    </row>
    <row r="3730" spans="5:7" x14ac:dyDescent="0.45">
      <c r="E3730" s="32" t="str">
        <f t="shared" si="174"/>
        <v>.0</v>
      </c>
      <c r="F3730" s="32" t="str">
        <f t="shared" si="175"/>
        <v>.0</v>
      </c>
      <c r="G3730" s="37" t="str">
        <f t="shared" si="176"/>
        <v/>
      </c>
    </row>
    <row r="3731" spans="5:7" x14ac:dyDescent="0.45">
      <c r="E3731" s="32" t="str">
        <f t="shared" si="174"/>
        <v>.0</v>
      </c>
      <c r="F3731" s="32" t="str">
        <f t="shared" si="175"/>
        <v>.0</v>
      </c>
      <c r="G3731" s="37" t="str">
        <f t="shared" si="176"/>
        <v/>
      </c>
    </row>
    <row r="3732" spans="5:7" x14ac:dyDescent="0.45">
      <c r="E3732" s="32" t="str">
        <f t="shared" si="174"/>
        <v>.0</v>
      </c>
      <c r="F3732" s="32" t="str">
        <f t="shared" si="175"/>
        <v>.0</v>
      </c>
      <c r="G3732" s="37" t="str">
        <f t="shared" si="176"/>
        <v/>
      </c>
    </row>
    <row r="3733" spans="5:7" x14ac:dyDescent="0.45">
      <c r="E3733" s="32" t="str">
        <f t="shared" si="174"/>
        <v>.0</v>
      </c>
      <c r="F3733" s="32" t="str">
        <f t="shared" si="175"/>
        <v>.0</v>
      </c>
      <c r="G3733" s="37" t="str">
        <f t="shared" si="176"/>
        <v/>
      </c>
    </row>
    <row r="3734" spans="5:7" x14ac:dyDescent="0.45">
      <c r="E3734" s="32" t="str">
        <f t="shared" si="174"/>
        <v>.0</v>
      </c>
      <c r="F3734" s="32" t="str">
        <f t="shared" si="175"/>
        <v>.0</v>
      </c>
      <c r="G3734" s="37" t="str">
        <f t="shared" si="176"/>
        <v/>
      </c>
    </row>
    <row r="3735" spans="5:7" x14ac:dyDescent="0.45">
      <c r="E3735" s="32" t="str">
        <f t="shared" si="174"/>
        <v>.0</v>
      </c>
      <c r="F3735" s="32" t="str">
        <f t="shared" si="175"/>
        <v>.0</v>
      </c>
      <c r="G3735" s="37" t="str">
        <f t="shared" si="176"/>
        <v/>
      </c>
    </row>
    <row r="3736" spans="5:7" x14ac:dyDescent="0.45">
      <c r="E3736" s="32" t="str">
        <f t="shared" si="174"/>
        <v>.0</v>
      </c>
      <c r="F3736" s="32" t="str">
        <f t="shared" si="175"/>
        <v>.0</v>
      </c>
      <c r="G3736" s="37" t="str">
        <f t="shared" si="176"/>
        <v/>
      </c>
    </row>
    <row r="3737" spans="5:7" x14ac:dyDescent="0.45">
      <c r="E3737" s="32" t="str">
        <f t="shared" si="174"/>
        <v>.0</v>
      </c>
      <c r="F3737" s="32" t="str">
        <f t="shared" si="175"/>
        <v>.0</v>
      </c>
      <c r="G3737" s="37" t="str">
        <f t="shared" si="176"/>
        <v/>
      </c>
    </row>
    <row r="3738" spans="5:7" x14ac:dyDescent="0.45">
      <c r="E3738" s="32" t="str">
        <f t="shared" si="174"/>
        <v>.0</v>
      </c>
      <c r="F3738" s="32" t="str">
        <f t="shared" si="175"/>
        <v>.0</v>
      </c>
      <c r="G3738" s="37" t="str">
        <f t="shared" si="176"/>
        <v/>
      </c>
    </row>
    <row r="3739" spans="5:7" x14ac:dyDescent="0.45">
      <c r="E3739" s="32" t="str">
        <f t="shared" si="174"/>
        <v>.0</v>
      </c>
      <c r="F3739" s="32" t="str">
        <f t="shared" si="175"/>
        <v>.0</v>
      </c>
      <c r="G3739" s="37" t="str">
        <f t="shared" si="176"/>
        <v/>
      </c>
    </row>
    <row r="3740" spans="5:7" x14ac:dyDescent="0.45">
      <c r="E3740" s="32" t="str">
        <f t="shared" si="174"/>
        <v>.0</v>
      </c>
      <c r="F3740" s="32" t="str">
        <f t="shared" si="175"/>
        <v>.0</v>
      </c>
      <c r="G3740" s="37" t="str">
        <f t="shared" si="176"/>
        <v/>
      </c>
    </row>
    <row r="3741" spans="5:7" x14ac:dyDescent="0.45">
      <c r="E3741" s="32" t="str">
        <f t="shared" si="174"/>
        <v>.0</v>
      </c>
      <c r="F3741" s="32" t="str">
        <f t="shared" si="175"/>
        <v>.0</v>
      </c>
      <c r="G3741" s="37" t="str">
        <f t="shared" si="176"/>
        <v/>
      </c>
    </row>
    <row r="3742" spans="5:7" x14ac:dyDescent="0.45">
      <c r="E3742" s="32" t="str">
        <f t="shared" ref="E3742:E3805" si="177">MID(B3742,3,2)&amp;"."&amp;IF(C3742&lt;10,"0"&amp;C3742,C3742)</f>
        <v>.0</v>
      </c>
      <c r="F3742" s="32" t="str">
        <f t="shared" ref="F3742:F3805" si="178">MID(B3742,3,2)&amp;"."&amp;IF(C3742&lt;10,"0"&amp;C3742,C3742)</f>
        <v>.0</v>
      </c>
      <c r="G3742" s="37" t="str">
        <f t="shared" ref="G3742:G3805" si="179">TEXT(D3742,"#,###,")</f>
        <v/>
      </c>
    </row>
    <row r="3743" spans="5:7" x14ac:dyDescent="0.45">
      <c r="E3743" s="32" t="str">
        <f t="shared" si="177"/>
        <v>.0</v>
      </c>
      <c r="F3743" s="32" t="str">
        <f t="shared" si="178"/>
        <v>.0</v>
      </c>
      <c r="G3743" s="37" t="str">
        <f t="shared" si="179"/>
        <v/>
      </c>
    </row>
    <row r="3744" spans="5:7" x14ac:dyDescent="0.45">
      <c r="E3744" s="32" t="str">
        <f t="shared" si="177"/>
        <v>.0</v>
      </c>
      <c r="F3744" s="32" t="str">
        <f t="shared" si="178"/>
        <v>.0</v>
      </c>
      <c r="G3744" s="37" t="str">
        <f t="shared" si="179"/>
        <v/>
      </c>
    </row>
    <row r="3745" spans="5:7" x14ac:dyDescent="0.45">
      <c r="E3745" s="32" t="str">
        <f t="shared" si="177"/>
        <v>.0</v>
      </c>
      <c r="F3745" s="32" t="str">
        <f t="shared" si="178"/>
        <v>.0</v>
      </c>
      <c r="G3745" s="37" t="str">
        <f t="shared" si="179"/>
        <v/>
      </c>
    </row>
    <row r="3746" spans="5:7" x14ac:dyDescent="0.45">
      <c r="E3746" s="32" t="str">
        <f t="shared" si="177"/>
        <v>.0</v>
      </c>
      <c r="F3746" s="32" t="str">
        <f t="shared" si="178"/>
        <v>.0</v>
      </c>
      <c r="G3746" s="37" t="str">
        <f t="shared" si="179"/>
        <v/>
      </c>
    </row>
    <row r="3747" spans="5:7" x14ac:dyDescent="0.45">
      <c r="E3747" s="32" t="str">
        <f t="shared" si="177"/>
        <v>.0</v>
      </c>
      <c r="F3747" s="32" t="str">
        <f t="shared" si="178"/>
        <v>.0</v>
      </c>
      <c r="G3747" s="37" t="str">
        <f t="shared" si="179"/>
        <v/>
      </c>
    </row>
    <row r="3748" spans="5:7" x14ac:dyDescent="0.45">
      <c r="E3748" s="32" t="str">
        <f t="shared" si="177"/>
        <v>.0</v>
      </c>
      <c r="F3748" s="32" t="str">
        <f t="shared" si="178"/>
        <v>.0</v>
      </c>
      <c r="G3748" s="37" t="str">
        <f t="shared" si="179"/>
        <v/>
      </c>
    </row>
    <row r="3749" spans="5:7" x14ac:dyDescent="0.45">
      <c r="E3749" s="32" t="str">
        <f t="shared" si="177"/>
        <v>.0</v>
      </c>
      <c r="F3749" s="32" t="str">
        <f t="shared" si="178"/>
        <v>.0</v>
      </c>
      <c r="G3749" s="37" t="str">
        <f t="shared" si="179"/>
        <v/>
      </c>
    </row>
    <row r="3750" spans="5:7" x14ac:dyDescent="0.45">
      <c r="E3750" s="32" t="str">
        <f t="shared" si="177"/>
        <v>.0</v>
      </c>
      <c r="F3750" s="32" t="str">
        <f t="shared" si="178"/>
        <v>.0</v>
      </c>
      <c r="G3750" s="37" t="str">
        <f t="shared" si="179"/>
        <v/>
      </c>
    </row>
    <row r="3751" spans="5:7" x14ac:dyDescent="0.45">
      <c r="E3751" s="32" t="str">
        <f t="shared" si="177"/>
        <v>.0</v>
      </c>
      <c r="F3751" s="32" t="str">
        <f t="shared" si="178"/>
        <v>.0</v>
      </c>
      <c r="G3751" s="37" t="str">
        <f t="shared" si="179"/>
        <v/>
      </c>
    </row>
    <row r="3752" spans="5:7" x14ac:dyDescent="0.45">
      <c r="E3752" s="32" t="str">
        <f t="shared" si="177"/>
        <v>.0</v>
      </c>
      <c r="F3752" s="32" t="str">
        <f t="shared" si="178"/>
        <v>.0</v>
      </c>
      <c r="G3752" s="37" t="str">
        <f t="shared" si="179"/>
        <v/>
      </c>
    </row>
    <row r="3753" spans="5:7" x14ac:dyDescent="0.45">
      <c r="E3753" s="32" t="str">
        <f t="shared" si="177"/>
        <v>.0</v>
      </c>
      <c r="F3753" s="32" t="str">
        <f t="shared" si="178"/>
        <v>.0</v>
      </c>
      <c r="G3753" s="37" t="str">
        <f t="shared" si="179"/>
        <v/>
      </c>
    </row>
    <row r="3754" spans="5:7" x14ac:dyDescent="0.45">
      <c r="E3754" s="32" t="str">
        <f t="shared" si="177"/>
        <v>.0</v>
      </c>
      <c r="F3754" s="32" t="str">
        <f t="shared" si="178"/>
        <v>.0</v>
      </c>
      <c r="G3754" s="37" t="str">
        <f t="shared" si="179"/>
        <v/>
      </c>
    </row>
    <row r="3755" spans="5:7" x14ac:dyDescent="0.45">
      <c r="E3755" s="32" t="str">
        <f t="shared" si="177"/>
        <v>.0</v>
      </c>
      <c r="F3755" s="32" t="str">
        <f t="shared" si="178"/>
        <v>.0</v>
      </c>
      <c r="G3755" s="37" t="str">
        <f t="shared" si="179"/>
        <v/>
      </c>
    </row>
    <row r="3756" spans="5:7" x14ac:dyDescent="0.45">
      <c r="E3756" s="32" t="str">
        <f t="shared" si="177"/>
        <v>.0</v>
      </c>
      <c r="F3756" s="32" t="str">
        <f t="shared" si="178"/>
        <v>.0</v>
      </c>
      <c r="G3756" s="37" t="str">
        <f t="shared" si="179"/>
        <v/>
      </c>
    </row>
    <row r="3757" spans="5:7" x14ac:dyDescent="0.45">
      <c r="E3757" s="32" t="str">
        <f t="shared" si="177"/>
        <v>.0</v>
      </c>
      <c r="F3757" s="32" t="str">
        <f t="shared" si="178"/>
        <v>.0</v>
      </c>
      <c r="G3757" s="37" t="str">
        <f t="shared" si="179"/>
        <v/>
      </c>
    </row>
    <row r="3758" spans="5:7" x14ac:dyDescent="0.45">
      <c r="E3758" s="32" t="str">
        <f t="shared" si="177"/>
        <v>.0</v>
      </c>
      <c r="F3758" s="32" t="str">
        <f t="shared" si="178"/>
        <v>.0</v>
      </c>
      <c r="G3758" s="37" t="str">
        <f t="shared" si="179"/>
        <v/>
      </c>
    </row>
    <row r="3759" spans="5:7" x14ac:dyDescent="0.45">
      <c r="E3759" s="32" t="str">
        <f t="shared" si="177"/>
        <v>.0</v>
      </c>
      <c r="F3759" s="32" t="str">
        <f t="shared" si="178"/>
        <v>.0</v>
      </c>
      <c r="G3759" s="37" t="str">
        <f t="shared" si="179"/>
        <v/>
      </c>
    </row>
    <row r="3760" spans="5:7" x14ac:dyDescent="0.45">
      <c r="E3760" s="32" t="str">
        <f t="shared" si="177"/>
        <v>.0</v>
      </c>
      <c r="F3760" s="32" t="str">
        <f t="shared" si="178"/>
        <v>.0</v>
      </c>
      <c r="G3760" s="37" t="str">
        <f t="shared" si="179"/>
        <v/>
      </c>
    </row>
    <row r="3761" spans="5:7" x14ac:dyDescent="0.45">
      <c r="E3761" s="32" t="str">
        <f t="shared" si="177"/>
        <v>.0</v>
      </c>
      <c r="F3761" s="32" t="str">
        <f t="shared" si="178"/>
        <v>.0</v>
      </c>
      <c r="G3761" s="37" t="str">
        <f t="shared" si="179"/>
        <v/>
      </c>
    </row>
    <row r="3762" spans="5:7" x14ac:dyDescent="0.45">
      <c r="E3762" s="32" t="str">
        <f t="shared" si="177"/>
        <v>.0</v>
      </c>
      <c r="F3762" s="32" t="str">
        <f t="shared" si="178"/>
        <v>.0</v>
      </c>
      <c r="G3762" s="37" t="str">
        <f t="shared" si="179"/>
        <v/>
      </c>
    </row>
    <row r="3763" spans="5:7" x14ac:dyDescent="0.45">
      <c r="E3763" s="32" t="str">
        <f t="shared" si="177"/>
        <v>.0</v>
      </c>
      <c r="F3763" s="32" t="str">
        <f t="shared" si="178"/>
        <v>.0</v>
      </c>
      <c r="G3763" s="37" t="str">
        <f t="shared" si="179"/>
        <v/>
      </c>
    </row>
    <row r="3764" spans="5:7" x14ac:dyDescent="0.45">
      <c r="E3764" s="32" t="str">
        <f t="shared" si="177"/>
        <v>.0</v>
      </c>
      <c r="F3764" s="32" t="str">
        <f t="shared" si="178"/>
        <v>.0</v>
      </c>
      <c r="G3764" s="37" t="str">
        <f t="shared" si="179"/>
        <v/>
      </c>
    </row>
    <row r="3765" spans="5:7" x14ac:dyDescent="0.45">
      <c r="E3765" s="32" t="str">
        <f t="shared" si="177"/>
        <v>.0</v>
      </c>
      <c r="F3765" s="32" t="str">
        <f t="shared" si="178"/>
        <v>.0</v>
      </c>
      <c r="G3765" s="37" t="str">
        <f t="shared" si="179"/>
        <v/>
      </c>
    </row>
    <row r="3766" spans="5:7" x14ac:dyDescent="0.45">
      <c r="E3766" s="32" t="str">
        <f t="shared" si="177"/>
        <v>.0</v>
      </c>
      <c r="F3766" s="32" t="str">
        <f t="shared" si="178"/>
        <v>.0</v>
      </c>
      <c r="G3766" s="37" t="str">
        <f t="shared" si="179"/>
        <v/>
      </c>
    </row>
    <row r="3767" spans="5:7" x14ac:dyDescent="0.45">
      <c r="E3767" s="32" t="str">
        <f t="shared" si="177"/>
        <v>.0</v>
      </c>
      <c r="F3767" s="32" t="str">
        <f t="shared" si="178"/>
        <v>.0</v>
      </c>
      <c r="G3767" s="37" t="str">
        <f t="shared" si="179"/>
        <v/>
      </c>
    </row>
    <row r="3768" spans="5:7" x14ac:dyDescent="0.45">
      <c r="E3768" s="32" t="str">
        <f t="shared" si="177"/>
        <v>.0</v>
      </c>
      <c r="F3768" s="32" t="str">
        <f t="shared" si="178"/>
        <v>.0</v>
      </c>
      <c r="G3768" s="37" t="str">
        <f t="shared" si="179"/>
        <v/>
      </c>
    </row>
    <row r="3769" spans="5:7" x14ac:dyDescent="0.45">
      <c r="E3769" s="32" t="str">
        <f t="shared" si="177"/>
        <v>.0</v>
      </c>
      <c r="F3769" s="32" t="str">
        <f t="shared" si="178"/>
        <v>.0</v>
      </c>
      <c r="G3769" s="37" t="str">
        <f t="shared" si="179"/>
        <v/>
      </c>
    </row>
    <row r="3770" spans="5:7" x14ac:dyDescent="0.45">
      <c r="E3770" s="32" t="str">
        <f t="shared" si="177"/>
        <v>.0</v>
      </c>
      <c r="F3770" s="32" t="str">
        <f t="shared" si="178"/>
        <v>.0</v>
      </c>
      <c r="G3770" s="37" t="str">
        <f t="shared" si="179"/>
        <v/>
      </c>
    </row>
    <row r="3771" spans="5:7" x14ac:dyDescent="0.45">
      <c r="E3771" s="32" t="str">
        <f t="shared" si="177"/>
        <v>.0</v>
      </c>
      <c r="F3771" s="32" t="str">
        <f t="shared" si="178"/>
        <v>.0</v>
      </c>
      <c r="G3771" s="37" t="str">
        <f t="shared" si="179"/>
        <v/>
      </c>
    </row>
    <row r="3772" spans="5:7" x14ac:dyDescent="0.45">
      <c r="E3772" s="32" t="str">
        <f t="shared" si="177"/>
        <v>.0</v>
      </c>
      <c r="F3772" s="32" t="str">
        <f t="shared" si="178"/>
        <v>.0</v>
      </c>
      <c r="G3772" s="37" t="str">
        <f t="shared" si="179"/>
        <v/>
      </c>
    </row>
    <row r="3773" spans="5:7" x14ac:dyDescent="0.45">
      <c r="E3773" s="32" t="str">
        <f t="shared" si="177"/>
        <v>.0</v>
      </c>
      <c r="F3773" s="32" t="str">
        <f t="shared" si="178"/>
        <v>.0</v>
      </c>
      <c r="G3773" s="37" t="str">
        <f t="shared" si="179"/>
        <v/>
      </c>
    </row>
    <row r="3774" spans="5:7" x14ac:dyDescent="0.45">
      <c r="E3774" s="32" t="str">
        <f t="shared" si="177"/>
        <v>.0</v>
      </c>
      <c r="F3774" s="32" t="str">
        <f t="shared" si="178"/>
        <v>.0</v>
      </c>
      <c r="G3774" s="37" t="str">
        <f t="shared" si="179"/>
        <v/>
      </c>
    </row>
    <row r="3775" spans="5:7" x14ac:dyDescent="0.45">
      <c r="E3775" s="32" t="str">
        <f t="shared" si="177"/>
        <v>.0</v>
      </c>
      <c r="F3775" s="32" t="str">
        <f t="shared" si="178"/>
        <v>.0</v>
      </c>
      <c r="G3775" s="37" t="str">
        <f t="shared" si="179"/>
        <v/>
      </c>
    </row>
    <row r="3776" spans="5:7" x14ac:dyDescent="0.45">
      <c r="E3776" s="32" t="str">
        <f t="shared" si="177"/>
        <v>.0</v>
      </c>
      <c r="F3776" s="32" t="str">
        <f t="shared" si="178"/>
        <v>.0</v>
      </c>
      <c r="G3776" s="37" t="str">
        <f t="shared" si="179"/>
        <v/>
      </c>
    </row>
    <row r="3777" spans="5:7" x14ac:dyDescent="0.45">
      <c r="E3777" s="32" t="str">
        <f t="shared" si="177"/>
        <v>.0</v>
      </c>
      <c r="F3777" s="32" t="str">
        <f t="shared" si="178"/>
        <v>.0</v>
      </c>
      <c r="G3777" s="37" t="str">
        <f t="shared" si="179"/>
        <v/>
      </c>
    </row>
    <row r="3778" spans="5:7" x14ac:dyDescent="0.45">
      <c r="E3778" s="32" t="str">
        <f t="shared" si="177"/>
        <v>.0</v>
      </c>
      <c r="F3778" s="32" t="str">
        <f t="shared" si="178"/>
        <v>.0</v>
      </c>
      <c r="G3778" s="37" t="str">
        <f t="shared" si="179"/>
        <v/>
      </c>
    </row>
    <row r="3779" spans="5:7" x14ac:dyDescent="0.45">
      <c r="E3779" s="32" t="str">
        <f t="shared" si="177"/>
        <v>.0</v>
      </c>
      <c r="F3779" s="32" t="str">
        <f t="shared" si="178"/>
        <v>.0</v>
      </c>
      <c r="G3779" s="37" t="str">
        <f t="shared" si="179"/>
        <v/>
      </c>
    </row>
    <row r="3780" spans="5:7" x14ac:dyDescent="0.45">
      <c r="E3780" s="32" t="str">
        <f t="shared" si="177"/>
        <v>.0</v>
      </c>
      <c r="F3780" s="32" t="str">
        <f t="shared" si="178"/>
        <v>.0</v>
      </c>
      <c r="G3780" s="37" t="str">
        <f t="shared" si="179"/>
        <v/>
      </c>
    </row>
    <row r="3781" spans="5:7" x14ac:dyDescent="0.45">
      <c r="E3781" s="32" t="str">
        <f t="shared" si="177"/>
        <v>.0</v>
      </c>
      <c r="F3781" s="32" t="str">
        <f t="shared" si="178"/>
        <v>.0</v>
      </c>
      <c r="G3781" s="37" t="str">
        <f t="shared" si="179"/>
        <v/>
      </c>
    </row>
    <row r="3782" spans="5:7" x14ac:dyDescent="0.45">
      <c r="E3782" s="32" t="str">
        <f t="shared" si="177"/>
        <v>.0</v>
      </c>
      <c r="F3782" s="32" t="str">
        <f t="shared" si="178"/>
        <v>.0</v>
      </c>
      <c r="G3782" s="37" t="str">
        <f t="shared" si="179"/>
        <v/>
      </c>
    </row>
    <row r="3783" spans="5:7" x14ac:dyDescent="0.45">
      <c r="E3783" s="32" t="str">
        <f t="shared" si="177"/>
        <v>.0</v>
      </c>
      <c r="F3783" s="32" t="str">
        <f t="shared" si="178"/>
        <v>.0</v>
      </c>
      <c r="G3783" s="37" t="str">
        <f t="shared" si="179"/>
        <v/>
      </c>
    </row>
    <row r="3784" spans="5:7" x14ac:dyDescent="0.45">
      <c r="E3784" s="32" t="str">
        <f t="shared" si="177"/>
        <v>.0</v>
      </c>
      <c r="F3784" s="32" t="str">
        <f t="shared" si="178"/>
        <v>.0</v>
      </c>
      <c r="G3784" s="37" t="str">
        <f t="shared" si="179"/>
        <v/>
      </c>
    </row>
    <row r="3785" spans="5:7" x14ac:dyDescent="0.45">
      <c r="E3785" s="32" t="str">
        <f t="shared" si="177"/>
        <v>.0</v>
      </c>
      <c r="F3785" s="32" t="str">
        <f t="shared" si="178"/>
        <v>.0</v>
      </c>
      <c r="G3785" s="37" t="str">
        <f t="shared" si="179"/>
        <v/>
      </c>
    </row>
    <row r="3786" spans="5:7" x14ac:dyDescent="0.45">
      <c r="E3786" s="32" t="str">
        <f t="shared" si="177"/>
        <v>.0</v>
      </c>
      <c r="F3786" s="32" t="str">
        <f t="shared" si="178"/>
        <v>.0</v>
      </c>
      <c r="G3786" s="37" t="str">
        <f t="shared" si="179"/>
        <v/>
      </c>
    </row>
    <row r="3787" spans="5:7" x14ac:dyDescent="0.45">
      <c r="E3787" s="32" t="str">
        <f t="shared" si="177"/>
        <v>.0</v>
      </c>
      <c r="F3787" s="32" t="str">
        <f t="shared" si="178"/>
        <v>.0</v>
      </c>
      <c r="G3787" s="37" t="str">
        <f t="shared" si="179"/>
        <v/>
      </c>
    </row>
    <row r="3788" spans="5:7" x14ac:dyDescent="0.45">
      <c r="E3788" s="32" t="str">
        <f t="shared" si="177"/>
        <v>.0</v>
      </c>
      <c r="F3788" s="32" t="str">
        <f t="shared" si="178"/>
        <v>.0</v>
      </c>
      <c r="G3788" s="37" t="str">
        <f t="shared" si="179"/>
        <v/>
      </c>
    </row>
    <row r="3789" spans="5:7" x14ac:dyDescent="0.45">
      <c r="E3789" s="32" t="str">
        <f t="shared" si="177"/>
        <v>.0</v>
      </c>
      <c r="F3789" s="32" t="str">
        <f t="shared" si="178"/>
        <v>.0</v>
      </c>
      <c r="G3789" s="37" t="str">
        <f t="shared" si="179"/>
        <v/>
      </c>
    </row>
    <row r="3790" spans="5:7" x14ac:dyDescent="0.45">
      <c r="E3790" s="32" t="str">
        <f t="shared" si="177"/>
        <v>.0</v>
      </c>
      <c r="F3790" s="32" t="str">
        <f t="shared" si="178"/>
        <v>.0</v>
      </c>
      <c r="G3790" s="37" t="str">
        <f t="shared" si="179"/>
        <v/>
      </c>
    </row>
    <row r="3791" spans="5:7" x14ac:dyDescent="0.45">
      <c r="E3791" s="32" t="str">
        <f t="shared" si="177"/>
        <v>.0</v>
      </c>
      <c r="F3791" s="32" t="str">
        <f t="shared" si="178"/>
        <v>.0</v>
      </c>
      <c r="G3791" s="37" t="str">
        <f t="shared" si="179"/>
        <v/>
      </c>
    </row>
    <row r="3792" spans="5:7" x14ac:dyDescent="0.45">
      <c r="E3792" s="32" t="str">
        <f t="shared" si="177"/>
        <v>.0</v>
      </c>
      <c r="F3792" s="32" t="str">
        <f t="shared" si="178"/>
        <v>.0</v>
      </c>
      <c r="G3792" s="37" t="str">
        <f t="shared" si="179"/>
        <v/>
      </c>
    </row>
    <row r="3793" spans="5:7" x14ac:dyDescent="0.45">
      <c r="E3793" s="32" t="str">
        <f t="shared" si="177"/>
        <v>.0</v>
      </c>
      <c r="F3793" s="32" t="str">
        <f t="shared" si="178"/>
        <v>.0</v>
      </c>
      <c r="G3793" s="37" t="str">
        <f t="shared" si="179"/>
        <v/>
      </c>
    </row>
    <row r="3794" spans="5:7" x14ac:dyDescent="0.45">
      <c r="E3794" s="32" t="str">
        <f t="shared" si="177"/>
        <v>.0</v>
      </c>
      <c r="F3794" s="32" t="str">
        <f t="shared" si="178"/>
        <v>.0</v>
      </c>
      <c r="G3794" s="37" t="str">
        <f t="shared" si="179"/>
        <v/>
      </c>
    </row>
    <row r="3795" spans="5:7" x14ac:dyDescent="0.45">
      <c r="E3795" s="32" t="str">
        <f t="shared" si="177"/>
        <v>.0</v>
      </c>
      <c r="F3795" s="32" t="str">
        <f t="shared" si="178"/>
        <v>.0</v>
      </c>
      <c r="G3795" s="37" t="str">
        <f t="shared" si="179"/>
        <v/>
      </c>
    </row>
    <row r="3796" spans="5:7" x14ac:dyDescent="0.45">
      <c r="E3796" s="32" t="str">
        <f t="shared" si="177"/>
        <v>.0</v>
      </c>
      <c r="F3796" s="32" t="str">
        <f t="shared" si="178"/>
        <v>.0</v>
      </c>
      <c r="G3796" s="37" t="str">
        <f t="shared" si="179"/>
        <v/>
      </c>
    </row>
    <row r="3797" spans="5:7" x14ac:dyDescent="0.45">
      <c r="E3797" s="32" t="str">
        <f t="shared" si="177"/>
        <v>.0</v>
      </c>
      <c r="F3797" s="32" t="str">
        <f t="shared" si="178"/>
        <v>.0</v>
      </c>
      <c r="G3797" s="37" t="str">
        <f t="shared" si="179"/>
        <v/>
      </c>
    </row>
    <row r="3798" spans="5:7" x14ac:dyDescent="0.45">
      <c r="E3798" s="32" t="str">
        <f t="shared" si="177"/>
        <v>.0</v>
      </c>
      <c r="F3798" s="32" t="str">
        <f t="shared" si="178"/>
        <v>.0</v>
      </c>
      <c r="G3798" s="37" t="str">
        <f t="shared" si="179"/>
        <v/>
      </c>
    </row>
    <row r="3799" spans="5:7" x14ac:dyDescent="0.45">
      <c r="E3799" s="32" t="str">
        <f t="shared" si="177"/>
        <v>.0</v>
      </c>
      <c r="F3799" s="32" t="str">
        <f t="shared" si="178"/>
        <v>.0</v>
      </c>
      <c r="G3799" s="37" t="str">
        <f t="shared" si="179"/>
        <v/>
      </c>
    </row>
    <row r="3800" spans="5:7" x14ac:dyDescent="0.45">
      <c r="E3800" s="32" t="str">
        <f t="shared" si="177"/>
        <v>.0</v>
      </c>
      <c r="F3800" s="32" t="str">
        <f t="shared" si="178"/>
        <v>.0</v>
      </c>
      <c r="G3800" s="37" t="str">
        <f t="shared" si="179"/>
        <v/>
      </c>
    </row>
    <row r="3801" spans="5:7" x14ac:dyDescent="0.45">
      <c r="E3801" s="32" t="str">
        <f t="shared" si="177"/>
        <v>.0</v>
      </c>
      <c r="F3801" s="32" t="str">
        <f t="shared" si="178"/>
        <v>.0</v>
      </c>
      <c r="G3801" s="37" t="str">
        <f t="shared" si="179"/>
        <v/>
      </c>
    </row>
    <row r="3802" spans="5:7" x14ac:dyDescent="0.45">
      <c r="E3802" s="32" t="str">
        <f t="shared" si="177"/>
        <v>.0</v>
      </c>
      <c r="F3802" s="32" t="str">
        <f t="shared" si="178"/>
        <v>.0</v>
      </c>
      <c r="G3802" s="37" t="str">
        <f t="shared" si="179"/>
        <v/>
      </c>
    </row>
    <row r="3803" spans="5:7" x14ac:dyDescent="0.45">
      <c r="E3803" s="32" t="str">
        <f t="shared" si="177"/>
        <v>.0</v>
      </c>
      <c r="F3803" s="32" t="str">
        <f t="shared" si="178"/>
        <v>.0</v>
      </c>
      <c r="G3803" s="37" t="str">
        <f t="shared" si="179"/>
        <v/>
      </c>
    </row>
    <row r="3804" spans="5:7" x14ac:dyDescent="0.45">
      <c r="E3804" s="32" t="str">
        <f t="shared" si="177"/>
        <v>.0</v>
      </c>
      <c r="F3804" s="32" t="str">
        <f t="shared" si="178"/>
        <v>.0</v>
      </c>
      <c r="G3804" s="37" t="str">
        <f t="shared" si="179"/>
        <v/>
      </c>
    </row>
    <row r="3805" spans="5:7" x14ac:dyDescent="0.45">
      <c r="E3805" s="32" t="str">
        <f t="shared" si="177"/>
        <v>.0</v>
      </c>
      <c r="F3805" s="32" t="str">
        <f t="shared" si="178"/>
        <v>.0</v>
      </c>
      <c r="G3805" s="37" t="str">
        <f t="shared" si="179"/>
        <v/>
      </c>
    </row>
    <row r="3806" spans="5:7" x14ac:dyDescent="0.45">
      <c r="E3806" s="32" t="str">
        <f t="shared" ref="E3806:E3869" si="180">MID(B3806,3,2)&amp;"."&amp;IF(C3806&lt;10,"0"&amp;C3806,C3806)</f>
        <v>.0</v>
      </c>
      <c r="F3806" s="32" t="str">
        <f t="shared" ref="F3806:F3869" si="181">MID(B3806,3,2)&amp;"."&amp;IF(C3806&lt;10,"0"&amp;C3806,C3806)</f>
        <v>.0</v>
      </c>
      <c r="G3806" s="37" t="str">
        <f t="shared" ref="G3806:G3869" si="182">TEXT(D3806,"#,###,")</f>
        <v/>
      </c>
    </row>
    <row r="3807" spans="5:7" x14ac:dyDescent="0.45">
      <c r="E3807" s="32" t="str">
        <f t="shared" si="180"/>
        <v>.0</v>
      </c>
      <c r="F3807" s="32" t="str">
        <f t="shared" si="181"/>
        <v>.0</v>
      </c>
      <c r="G3807" s="37" t="str">
        <f t="shared" si="182"/>
        <v/>
      </c>
    </row>
    <row r="3808" spans="5:7" x14ac:dyDescent="0.45">
      <c r="E3808" s="32" t="str">
        <f t="shared" si="180"/>
        <v>.0</v>
      </c>
      <c r="F3808" s="32" t="str">
        <f t="shared" si="181"/>
        <v>.0</v>
      </c>
      <c r="G3808" s="37" t="str">
        <f t="shared" si="182"/>
        <v/>
      </c>
    </row>
    <row r="3809" spans="5:7" x14ac:dyDescent="0.45">
      <c r="E3809" s="32" t="str">
        <f t="shared" si="180"/>
        <v>.0</v>
      </c>
      <c r="F3809" s="32" t="str">
        <f t="shared" si="181"/>
        <v>.0</v>
      </c>
      <c r="G3809" s="37" t="str">
        <f t="shared" si="182"/>
        <v/>
      </c>
    </row>
    <row r="3810" spans="5:7" x14ac:dyDescent="0.45">
      <c r="E3810" s="32" t="str">
        <f t="shared" si="180"/>
        <v>.0</v>
      </c>
      <c r="F3810" s="32" t="str">
        <f t="shared" si="181"/>
        <v>.0</v>
      </c>
      <c r="G3810" s="37" t="str">
        <f t="shared" si="182"/>
        <v/>
      </c>
    </row>
    <row r="3811" spans="5:7" x14ac:dyDescent="0.45">
      <c r="E3811" s="32" t="str">
        <f t="shared" si="180"/>
        <v>.0</v>
      </c>
      <c r="F3811" s="32" t="str">
        <f t="shared" si="181"/>
        <v>.0</v>
      </c>
      <c r="G3811" s="37" t="str">
        <f t="shared" si="182"/>
        <v/>
      </c>
    </row>
    <row r="3812" spans="5:7" x14ac:dyDescent="0.45">
      <c r="E3812" s="32" t="str">
        <f t="shared" si="180"/>
        <v>.0</v>
      </c>
      <c r="F3812" s="32" t="str">
        <f t="shared" si="181"/>
        <v>.0</v>
      </c>
      <c r="G3812" s="37" t="str">
        <f t="shared" si="182"/>
        <v/>
      </c>
    </row>
    <row r="3813" spans="5:7" x14ac:dyDescent="0.45">
      <c r="E3813" s="32" t="str">
        <f t="shared" si="180"/>
        <v>.0</v>
      </c>
      <c r="F3813" s="32" t="str">
        <f t="shared" si="181"/>
        <v>.0</v>
      </c>
      <c r="G3813" s="37" t="str">
        <f t="shared" si="182"/>
        <v/>
      </c>
    </row>
    <row r="3814" spans="5:7" x14ac:dyDescent="0.45">
      <c r="E3814" s="32" t="str">
        <f t="shared" si="180"/>
        <v>.0</v>
      </c>
      <c r="F3814" s="32" t="str">
        <f t="shared" si="181"/>
        <v>.0</v>
      </c>
      <c r="G3814" s="37" t="str">
        <f t="shared" si="182"/>
        <v/>
      </c>
    </row>
    <row r="3815" spans="5:7" x14ac:dyDescent="0.45">
      <c r="E3815" s="32" t="str">
        <f t="shared" si="180"/>
        <v>.0</v>
      </c>
      <c r="F3815" s="32" t="str">
        <f t="shared" si="181"/>
        <v>.0</v>
      </c>
      <c r="G3815" s="37" t="str">
        <f t="shared" si="182"/>
        <v/>
      </c>
    </row>
    <row r="3816" spans="5:7" x14ac:dyDescent="0.45">
      <c r="E3816" s="32" t="str">
        <f t="shared" si="180"/>
        <v>.0</v>
      </c>
      <c r="F3816" s="32" t="str">
        <f t="shared" si="181"/>
        <v>.0</v>
      </c>
      <c r="G3816" s="37" t="str">
        <f t="shared" si="182"/>
        <v/>
      </c>
    </row>
    <row r="3817" spans="5:7" x14ac:dyDescent="0.45">
      <c r="E3817" s="32" t="str">
        <f t="shared" si="180"/>
        <v>.0</v>
      </c>
      <c r="F3817" s="32" t="str">
        <f t="shared" si="181"/>
        <v>.0</v>
      </c>
      <c r="G3817" s="37" t="str">
        <f t="shared" si="182"/>
        <v/>
      </c>
    </row>
    <row r="3818" spans="5:7" x14ac:dyDescent="0.45">
      <c r="E3818" s="32" t="str">
        <f t="shared" si="180"/>
        <v>.0</v>
      </c>
      <c r="F3818" s="32" t="str">
        <f t="shared" si="181"/>
        <v>.0</v>
      </c>
      <c r="G3818" s="37" t="str">
        <f t="shared" si="182"/>
        <v/>
      </c>
    </row>
    <row r="3819" spans="5:7" x14ac:dyDescent="0.45">
      <c r="E3819" s="32" t="str">
        <f t="shared" si="180"/>
        <v>.0</v>
      </c>
      <c r="F3819" s="32" t="str">
        <f t="shared" si="181"/>
        <v>.0</v>
      </c>
      <c r="G3819" s="37" t="str">
        <f t="shared" si="182"/>
        <v/>
      </c>
    </row>
    <row r="3820" spans="5:7" x14ac:dyDescent="0.45">
      <c r="E3820" s="32" t="str">
        <f t="shared" si="180"/>
        <v>.0</v>
      </c>
      <c r="F3820" s="32" t="str">
        <f t="shared" si="181"/>
        <v>.0</v>
      </c>
      <c r="G3820" s="37" t="str">
        <f t="shared" si="182"/>
        <v/>
      </c>
    </row>
    <row r="3821" spans="5:7" x14ac:dyDescent="0.45">
      <c r="E3821" s="32" t="str">
        <f t="shared" si="180"/>
        <v>.0</v>
      </c>
      <c r="F3821" s="32" t="str">
        <f t="shared" si="181"/>
        <v>.0</v>
      </c>
      <c r="G3821" s="37" t="str">
        <f t="shared" si="182"/>
        <v/>
      </c>
    </row>
    <row r="3822" spans="5:7" x14ac:dyDescent="0.45">
      <c r="E3822" s="32" t="str">
        <f t="shared" si="180"/>
        <v>.0</v>
      </c>
      <c r="F3822" s="32" t="str">
        <f t="shared" si="181"/>
        <v>.0</v>
      </c>
      <c r="G3822" s="37" t="str">
        <f t="shared" si="182"/>
        <v/>
      </c>
    </row>
    <row r="3823" spans="5:7" x14ac:dyDescent="0.45">
      <c r="E3823" s="32" t="str">
        <f t="shared" si="180"/>
        <v>.0</v>
      </c>
      <c r="F3823" s="32" t="str">
        <f t="shared" si="181"/>
        <v>.0</v>
      </c>
      <c r="G3823" s="37" t="str">
        <f t="shared" si="182"/>
        <v/>
      </c>
    </row>
    <row r="3824" spans="5:7" x14ac:dyDescent="0.45">
      <c r="E3824" s="32" t="str">
        <f t="shared" si="180"/>
        <v>.0</v>
      </c>
      <c r="F3824" s="32" t="str">
        <f t="shared" si="181"/>
        <v>.0</v>
      </c>
      <c r="G3824" s="37" t="str">
        <f t="shared" si="182"/>
        <v/>
      </c>
    </row>
    <row r="3825" spans="5:7" x14ac:dyDescent="0.45">
      <c r="E3825" s="32" t="str">
        <f t="shared" si="180"/>
        <v>.0</v>
      </c>
      <c r="F3825" s="32" t="str">
        <f t="shared" si="181"/>
        <v>.0</v>
      </c>
      <c r="G3825" s="37" t="str">
        <f t="shared" si="182"/>
        <v/>
      </c>
    </row>
    <row r="3826" spans="5:7" x14ac:dyDescent="0.45">
      <c r="E3826" s="32" t="str">
        <f t="shared" si="180"/>
        <v>.0</v>
      </c>
      <c r="F3826" s="32" t="str">
        <f t="shared" si="181"/>
        <v>.0</v>
      </c>
      <c r="G3826" s="37" t="str">
        <f t="shared" si="182"/>
        <v/>
      </c>
    </row>
    <row r="3827" spans="5:7" x14ac:dyDescent="0.45">
      <c r="E3827" s="32" t="str">
        <f t="shared" si="180"/>
        <v>.0</v>
      </c>
      <c r="F3827" s="32" t="str">
        <f t="shared" si="181"/>
        <v>.0</v>
      </c>
      <c r="G3827" s="37" t="str">
        <f t="shared" si="182"/>
        <v/>
      </c>
    </row>
    <row r="3828" spans="5:7" x14ac:dyDescent="0.45">
      <c r="E3828" s="32" t="str">
        <f t="shared" si="180"/>
        <v>.0</v>
      </c>
      <c r="F3828" s="32" t="str">
        <f t="shared" si="181"/>
        <v>.0</v>
      </c>
      <c r="G3828" s="37" t="str">
        <f t="shared" si="182"/>
        <v/>
      </c>
    </row>
    <row r="3829" spans="5:7" x14ac:dyDescent="0.45">
      <c r="E3829" s="32" t="str">
        <f t="shared" si="180"/>
        <v>.0</v>
      </c>
      <c r="F3829" s="32" t="str">
        <f t="shared" si="181"/>
        <v>.0</v>
      </c>
      <c r="G3829" s="37" t="str">
        <f t="shared" si="182"/>
        <v/>
      </c>
    </row>
    <row r="3830" spans="5:7" x14ac:dyDescent="0.45">
      <c r="E3830" s="32" t="str">
        <f t="shared" si="180"/>
        <v>.0</v>
      </c>
      <c r="F3830" s="32" t="str">
        <f t="shared" si="181"/>
        <v>.0</v>
      </c>
      <c r="G3830" s="37" t="str">
        <f t="shared" si="182"/>
        <v/>
      </c>
    </row>
    <row r="3831" spans="5:7" x14ac:dyDescent="0.45">
      <c r="E3831" s="32" t="str">
        <f t="shared" si="180"/>
        <v>.0</v>
      </c>
      <c r="F3831" s="32" t="str">
        <f t="shared" si="181"/>
        <v>.0</v>
      </c>
      <c r="G3831" s="37" t="str">
        <f t="shared" si="182"/>
        <v/>
      </c>
    </row>
    <row r="3832" spans="5:7" x14ac:dyDescent="0.45">
      <c r="E3832" s="32" t="str">
        <f t="shared" si="180"/>
        <v>.0</v>
      </c>
      <c r="F3832" s="32" t="str">
        <f t="shared" si="181"/>
        <v>.0</v>
      </c>
      <c r="G3832" s="37" t="str">
        <f t="shared" si="182"/>
        <v/>
      </c>
    </row>
    <row r="3833" spans="5:7" x14ac:dyDescent="0.45">
      <c r="E3833" s="32" t="str">
        <f t="shared" si="180"/>
        <v>.0</v>
      </c>
      <c r="F3833" s="32" t="str">
        <f t="shared" si="181"/>
        <v>.0</v>
      </c>
      <c r="G3833" s="37" t="str">
        <f t="shared" si="182"/>
        <v/>
      </c>
    </row>
    <row r="3834" spans="5:7" x14ac:dyDescent="0.45">
      <c r="E3834" s="32" t="str">
        <f t="shared" si="180"/>
        <v>.0</v>
      </c>
      <c r="F3834" s="32" t="str">
        <f t="shared" si="181"/>
        <v>.0</v>
      </c>
      <c r="G3834" s="37" t="str">
        <f t="shared" si="182"/>
        <v/>
      </c>
    </row>
    <row r="3835" spans="5:7" x14ac:dyDescent="0.45">
      <c r="E3835" s="32" t="str">
        <f t="shared" si="180"/>
        <v>.0</v>
      </c>
      <c r="F3835" s="32" t="str">
        <f t="shared" si="181"/>
        <v>.0</v>
      </c>
      <c r="G3835" s="37" t="str">
        <f t="shared" si="182"/>
        <v/>
      </c>
    </row>
    <row r="3836" spans="5:7" x14ac:dyDescent="0.45">
      <c r="E3836" s="32" t="str">
        <f t="shared" si="180"/>
        <v>.0</v>
      </c>
      <c r="F3836" s="32" t="str">
        <f t="shared" si="181"/>
        <v>.0</v>
      </c>
      <c r="G3836" s="37" t="str">
        <f t="shared" si="182"/>
        <v/>
      </c>
    </row>
    <row r="3837" spans="5:7" x14ac:dyDescent="0.45">
      <c r="E3837" s="32" t="str">
        <f t="shared" si="180"/>
        <v>.0</v>
      </c>
      <c r="F3837" s="32" t="str">
        <f t="shared" si="181"/>
        <v>.0</v>
      </c>
      <c r="G3837" s="37" t="str">
        <f t="shared" si="182"/>
        <v/>
      </c>
    </row>
    <row r="3838" spans="5:7" x14ac:dyDescent="0.45">
      <c r="E3838" s="32" t="str">
        <f t="shared" si="180"/>
        <v>.0</v>
      </c>
      <c r="F3838" s="32" t="str">
        <f t="shared" si="181"/>
        <v>.0</v>
      </c>
      <c r="G3838" s="37" t="str">
        <f t="shared" si="182"/>
        <v/>
      </c>
    </row>
    <row r="3839" spans="5:7" x14ac:dyDescent="0.45">
      <c r="E3839" s="32" t="str">
        <f t="shared" si="180"/>
        <v>.0</v>
      </c>
      <c r="F3839" s="32" t="str">
        <f t="shared" si="181"/>
        <v>.0</v>
      </c>
      <c r="G3839" s="37" t="str">
        <f t="shared" si="182"/>
        <v/>
      </c>
    </row>
    <row r="3840" spans="5:7" x14ac:dyDescent="0.45">
      <c r="E3840" s="32" t="str">
        <f t="shared" si="180"/>
        <v>.0</v>
      </c>
      <c r="F3840" s="32" t="str">
        <f t="shared" si="181"/>
        <v>.0</v>
      </c>
      <c r="G3840" s="37" t="str">
        <f t="shared" si="182"/>
        <v/>
      </c>
    </row>
    <row r="3841" spans="5:7" x14ac:dyDescent="0.45">
      <c r="E3841" s="32" t="str">
        <f t="shared" si="180"/>
        <v>.0</v>
      </c>
      <c r="F3841" s="32" t="str">
        <f t="shared" si="181"/>
        <v>.0</v>
      </c>
      <c r="G3841" s="37" t="str">
        <f t="shared" si="182"/>
        <v/>
      </c>
    </row>
    <row r="3842" spans="5:7" x14ac:dyDescent="0.45">
      <c r="E3842" s="32" t="str">
        <f t="shared" si="180"/>
        <v>.0</v>
      </c>
      <c r="F3842" s="32" t="str">
        <f t="shared" si="181"/>
        <v>.0</v>
      </c>
      <c r="G3842" s="37" t="str">
        <f t="shared" si="182"/>
        <v/>
      </c>
    </row>
    <row r="3843" spans="5:7" x14ac:dyDescent="0.45">
      <c r="E3843" s="32" t="str">
        <f t="shared" si="180"/>
        <v>.0</v>
      </c>
      <c r="F3843" s="32" t="str">
        <f t="shared" si="181"/>
        <v>.0</v>
      </c>
      <c r="G3843" s="37" t="str">
        <f t="shared" si="182"/>
        <v/>
      </c>
    </row>
    <row r="3844" spans="5:7" x14ac:dyDescent="0.45">
      <c r="E3844" s="32" t="str">
        <f t="shared" si="180"/>
        <v>.0</v>
      </c>
      <c r="F3844" s="32" t="str">
        <f t="shared" si="181"/>
        <v>.0</v>
      </c>
      <c r="G3844" s="37" t="str">
        <f t="shared" si="182"/>
        <v/>
      </c>
    </row>
    <row r="3845" spans="5:7" x14ac:dyDescent="0.45">
      <c r="E3845" s="32" t="str">
        <f t="shared" si="180"/>
        <v>.0</v>
      </c>
      <c r="F3845" s="32" t="str">
        <f t="shared" si="181"/>
        <v>.0</v>
      </c>
      <c r="G3845" s="37" t="str">
        <f t="shared" si="182"/>
        <v/>
      </c>
    </row>
    <row r="3846" spans="5:7" x14ac:dyDescent="0.45">
      <c r="E3846" s="32" t="str">
        <f t="shared" si="180"/>
        <v>.0</v>
      </c>
      <c r="F3846" s="32" t="str">
        <f t="shared" si="181"/>
        <v>.0</v>
      </c>
      <c r="G3846" s="37" t="str">
        <f t="shared" si="182"/>
        <v/>
      </c>
    </row>
    <row r="3847" spans="5:7" x14ac:dyDescent="0.45">
      <c r="E3847" s="32" t="str">
        <f t="shared" si="180"/>
        <v>.0</v>
      </c>
      <c r="F3847" s="32" t="str">
        <f t="shared" si="181"/>
        <v>.0</v>
      </c>
      <c r="G3847" s="37" t="str">
        <f t="shared" si="182"/>
        <v/>
      </c>
    </row>
    <row r="3848" spans="5:7" x14ac:dyDescent="0.45">
      <c r="E3848" s="32" t="str">
        <f t="shared" si="180"/>
        <v>.0</v>
      </c>
      <c r="F3848" s="32" t="str">
        <f t="shared" si="181"/>
        <v>.0</v>
      </c>
      <c r="G3848" s="37" t="str">
        <f t="shared" si="182"/>
        <v/>
      </c>
    </row>
    <row r="3849" spans="5:7" x14ac:dyDescent="0.45">
      <c r="E3849" s="32" t="str">
        <f t="shared" si="180"/>
        <v>.0</v>
      </c>
      <c r="F3849" s="32" t="str">
        <f t="shared" si="181"/>
        <v>.0</v>
      </c>
      <c r="G3849" s="37" t="str">
        <f t="shared" si="182"/>
        <v/>
      </c>
    </row>
    <row r="3850" spans="5:7" x14ac:dyDescent="0.45">
      <c r="E3850" s="32" t="str">
        <f t="shared" si="180"/>
        <v>.0</v>
      </c>
      <c r="F3850" s="32" t="str">
        <f t="shared" si="181"/>
        <v>.0</v>
      </c>
      <c r="G3850" s="37" t="str">
        <f t="shared" si="182"/>
        <v/>
      </c>
    </row>
    <row r="3851" spans="5:7" x14ac:dyDescent="0.45">
      <c r="E3851" s="32" t="str">
        <f t="shared" si="180"/>
        <v>.0</v>
      </c>
      <c r="F3851" s="32" t="str">
        <f t="shared" si="181"/>
        <v>.0</v>
      </c>
      <c r="G3851" s="37" t="str">
        <f t="shared" si="182"/>
        <v/>
      </c>
    </row>
    <row r="3852" spans="5:7" x14ac:dyDescent="0.45">
      <c r="E3852" s="32" t="str">
        <f t="shared" si="180"/>
        <v>.0</v>
      </c>
      <c r="F3852" s="32" t="str">
        <f t="shared" si="181"/>
        <v>.0</v>
      </c>
      <c r="G3852" s="37" t="str">
        <f t="shared" si="182"/>
        <v/>
      </c>
    </row>
    <row r="3853" spans="5:7" x14ac:dyDescent="0.45">
      <c r="E3853" s="32" t="str">
        <f t="shared" si="180"/>
        <v>.0</v>
      </c>
      <c r="F3853" s="32" t="str">
        <f t="shared" si="181"/>
        <v>.0</v>
      </c>
      <c r="G3853" s="37" t="str">
        <f t="shared" si="182"/>
        <v/>
      </c>
    </row>
    <row r="3854" spans="5:7" x14ac:dyDescent="0.45">
      <c r="E3854" s="32" t="str">
        <f t="shared" si="180"/>
        <v>.0</v>
      </c>
      <c r="F3854" s="32" t="str">
        <f t="shared" si="181"/>
        <v>.0</v>
      </c>
      <c r="G3854" s="37" t="str">
        <f t="shared" si="182"/>
        <v/>
      </c>
    </row>
    <row r="3855" spans="5:7" x14ac:dyDescent="0.45">
      <c r="E3855" s="32" t="str">
        <f t="shared" si="180"/>
        <v>.0</v>
      </c>
      <c r="F3855" s="32" t="str">
        <f t="shared" si="181"/>
        <v>.0</v>
      </c>
      <c r="G3855" s="37" t="str">
        <f t="shared" si="182"/>
        <v/>
      </c>
    </row>
    <row r="3856" spans="5:7" x14ac:dyDescent="0.45">
      <c r="E3856" s="32" t="str">
        <f t="shared" si="180"/>
        <v>.0</v>
      </c>
      <c r="F3856" s="32" t="str">
        <f t="shared" si="181"/>
        <v>.0</v>
      </c>
      <c r="G3856" s="37" t="str">
        <f t="shared" si="182"/>
        <v/>
      </c>
    </row>
    <row r="3857" spans="5:7" x14ac:dyDescent="0.45">
      <c r="E3857" s="32" t="str">
        <f t="shared" si="180"/>
        <v>.0</v>
      </c>
      <c r="F3857" s="32" t="str">
        <f t="shared" si="181"/>
        <v>.0</v>
      </c>
      <c r="G3857" s="37" t="str">
        <f t="shared" si="182"/>
        <v/>
      </c>
    </row>
    <row r="3858" spans="5:7" x14ac:dyDescent="0.45">
      <c r="E3858" s="32" t="str">
        <f t="shared" si="180"/>
        <v>.0</v>
      </c>
      <c r="F3858" s="32" t="str">
        <f t="shared" si="181"/>
        <v>.0</v>
      </c>
      <c r="G3858" s="37" t="str">
        <f t="shared" si="182"/>
        <v/>
      </c>
    </row>
    <row r="3859" spans="5:7" x14ac:dyDescent="0.45">
      <c r="E3859" s="32" t="str">
        <f t="shared" si="180"/>
        <v>.0</v>
      </c>
      <c r="F3859" s="32" t="str">
        <f t="shared" si="181"/>
        <v>.0</v>
      </c>
      <c r="G3859" s="37" t="str">
        <f t="shared" si="182"/>
        <v/>
      </c>
    </row>
    <row r="3860" spans="5:7" x14ac:dyDescent="0.45">
      <c r="E3860" s="32" t="str">
        <f t="shared" si="180"/>
        <v>.0</v>
      </c>
      <c r="F3860" s="32" t="str">
        <f t="shared" si="181"/>
        <v>.0</v>
      </c>
      <c r="G3860" s="37" t="str">
        <f t="shared" si="182"/>
        <v/>
      </c>
    </row>
    <row r="3861" spans="5:7" x14ac:dyDescent="0.45">
      <c r="E3861" s="32" t="str">
        <f t="shared" si="180"/>
        <v>.0</v>
      </c>
      <c r="F3861" s="32" t="str">
        <f t="shared" si="181"/>
        <v>.0</v>
      </c>
      <c r="G3861" s="37" t="str">
        <f t="shared" si="182"/>
        <v/>
      </c>
    </row>
    <row r="3862" spans="5:7" x14ac:dyDescent="0.45">
      <c r="E3862" s="32" t="str">
        <f t="shared" si="180"/>
        <v>.0</v>
      </c>
      <c r="F3862" s="32" t="str">
        <f t="shared" si="181"/>
        <v>.0</v>
      </c>
      <c r="G3862" s="37" t="str">
        <f t="shared" si="182"/>
        <v/>
      </c>
    </row>
    <row r="3863" spans="5:7" x14ac:dyDescent="0.45">
      <c r="E3863" s="32" t="str">
        <f t="shared" si="180"/>
        <v>.0</v>
      </c>
      <c r="F3863" s="32" t="str">
        <f t="shared" si="181"/>
        <v>.0</v>
      </c>
      <c r="G3863" s="37" t="str">
        <f t="shared" si="182"/>
        <v/>
      </c>
    </row>
    <row r="3864" spans="5:7" x14ac:dyDescent="0.45">
      <c r="E3864" s="32" t="str">
        <f t="shared" si="180"/>
        <v>.0</v>
      </c>
      <c r="F3864" s="32" t="str">
        <f t="shared" si="181"/>
        <v>.0</v>
      </c>
      <c r="G3864" s="37" t="str">
        <f t="shared" si="182"/>
        <v/>
      </c>
    </row>
    <row r="3865" spans="5:7" x14ac:dyDescent="0.45">
      <c r="E3865" s="32" t="str">
        <f t="shared" si="180"/>
        <v>.0</v>
      </c>
      <c r="F3865" s="32" t="str">
        <f t="shared" si="181"/>
        <v>.0</v>
      </c>
      <c r="G3865" s="37" t="str">
        <f t="shared" si="182"/>
        <v/>
      </c>
    </row>
    <row r="3866" spans="5:7" x14ac:dyDescent="0.45">
      <c r="E3866" s="32" t="str">
        <f t="shared" si="180"/>
        <v>.0</v>
      </c>
      <c r="F3866" s="32" t="str">
        <f t="shared" si="181"/>
        <v>.0</v>
      </c>
      <c r="G3866" s="37" t="str">
        <f t="shared" si="182"/>
        <v/>
      </c>
    </row>
    <row r="3867" spans="5:7" x14ac:dyDescent="0.45">
      <c r="E3867" s="32" t="str">
        <f t="shared" si="180"/>
        <v>.0</v>
      </c>
      <c r="F3867" s="32" t="str">
        <f t="shared" si="181"/>
        <v>.0</v>
      </c>
      <c r="G3867" s="37" t="str">
        <f t="shared" si="182"/>
        <v/>
      </c>
    </row>
    <row r="3868" spans="5:7" x14ac:dyDescent="0.45">
      <c r="E3868" s="32" t="str">
        <f t="shared" si="180"/>
        <v>.0</v>
      </c>
      <c r="F3868" s="32" t="str">
        <f t="shared" si="181"/>
        <v>.0</v>
      </c>
      <c r="G3868" s="37" t="str">
        <f t="shared" si="182"/>
        <v/>
      </c>
    </row>
    <row r="3869" spans="5:7" x14ac:dyDescent="0.45">
      <c r="E3869" s="32" t="str">
        <f t="shared" si="180"/>
        <v>.0</v>
      </c>
      <c r="F3869" s="32" t="str">
        <f t="shared" si="181"/>
        <v>.0</v>
      </c>
      <c r="G3869" s="37" t="str">
        <f t="shared" si="182"/>
        <v/>
      </c>
    </row>
    <row r="3870" spans="5:7" x14ac:dyDescent="0.45">
      <c r="E3870" s="32" t="str">
        <f t="shared" ref="E3870:E3933" si="183">MID(B3870,3,2)&amp;"."&amp;IF(C3870&lt;10,"0"&amp;C3870,C3870)</f>
        <v>.0</v>
      </c>
      <c r="F3870" s="32" t="str">
        <f t="shared" ref="F3870:F3933" si="184">MID(B3870,3,2)&amp;"."&amp;IF(C3870&lt;10,"0"&amp;C3870,C3870)</f>
        <v>.0</v>
      </c>
      <c r="G3870" s="37" t="str">
        <f t="shared" ref="G3870:G3933" si="185">TEXT(D3870,"#,###,")</f>
        <v/>
      </c>
    </row>
    <row r="3871" spans="5:7" x14ac:dyDescent="0.45">
      <c r="E3871" s="32" t="str">
        <f t="shared" si="183"/>
        <v>.0</v>
      </c>
      <c r="F3871" s="32" t="str">
        <f t="shared" si="184"/>
        <v>.0</v>
      </c>
      <c r="G3871" s="37" t="str">
        <f t="shared" si="185"/>
        <v/>
      </c>
    </row>
    <row r="3872" spans="5:7" x14ac:dyDescent="0.45">
      <c r="E3872" s="32" t="str">
        <f t="shared" si="183"/>
        <v>.0</v>
      </c>
      <c r="F3872" s="32" t="str">
        <f t="shared" si="184"/>
        <v>.0</v>
      </c>
      <c r="G3872" s="37" t="str">
        <f t="shared" si="185"/>
        <v/>
      </c>
    </row>
    <row r="3873" spans="5:7" x14ac:dyDescent="0.45">
      <c r="E3873" s="32" t="str">
        <f t="shared" si="183"/>
        <v>.0</v>
      </c>
      <c r="F3873" s="32" t="str">
        <f t="shared" si="184"/>
        <v>.0</v>
      </c>
      <c r="G3873" s="37" t="str">
        <f t="shared" si="185"/>
        <v/>
      </c>
    </row>
    <row r="3874" spans="5:7" x14ac:dyDescent="0.45">
      <c r="E3874" s="32" t="str">
        <f t="shared" si="183"/>
        <v>.0</v>
      </c>
      <c r="F3874" s="32" t="str">
        <f t="shared" si="184"/>
        <v>.0</v>
      </c>
      <c r="G3874" s="37" t="str">
        <f t="shared" si="185"/>
        <v/>
      </c>
    </row>
    <row r="3875" spans="5:7" x14ac:dyDescent="0.45">
      <c r="E3875" s="32" t="str">
        <f t="shared" si="183"/>
        <v>.0</v>
      </c>
      <c r="F3875" s="32" t="str">
        <f t="shared" si="184"/>
        <v>.0</v>
      </c>
      <c r="G3875" s="37" t="str">
        <f t="shared" si="185"/>
        <v/>
      </c>
    </row>
    <row r="3876" spans="5:7" x14ac:dyDescent="0.45">
      <c r="E3876" s="32" t="str">
        <f t="shared" si="183"/>
        <v>.0</v>
      </c>
      <c r="F3876" s="32" t="str">
        <f t="shared" si="184"/>
        <v>.0</v>
      </c>
      <c r="G3876" s="37" t="str">
        <f t="shared" si="185"/>
        <v/>
      </c>
    </row>
    <row r="3877" spans="5:7" x14ac:dyDescent="0.45">
      <c r="E3877" s="32" t="str">
        <f t="shared" si="183"/>
        <v>.0</v>
      </c>
      <c r="F3877" s="32" t="str">
        <f t="shared" si="184"/>
        <v>.0</v>
      </c>
      <c r="G3877" s="37" t="str">
        <f t="shared" si="185"/>
        <v/>
      </c>
    </row>
    <row r="3878" spans="5:7" x14ac:dyDescent="0.45">
      <c r="E3878" s="32" t="str">
        <f t="shared" si="183"/>
        <v>.0</v>
      </c>
      <c r="F3878" s="32" t="str">
        <f t="shared" si="184"/>
        <v>.0</v>
      </c>
      <c r="G3878" s="37" t="str">
        <f t="shared" si="185"/>
        <v/>
      </c>
    </row>
    <row r="3879" spans="5:7" x14ac:dyDescent="0.45">
      <c r="E3879" s="32" t="str">
        <f t="shared" si="183"/>
        <v>.0</v>
      </c>
      <c r="F3879" s="32" t="str">
        <f t="shared" si="184"/>
        <v>.0</v>
      </c>
      <c r="G3879" s="37" t="str">
        <f t="shared" si="185"/>
        <v/>
      </c>
    </row>
    <row r="3880" spans="5:7" x14ac:dyDescent="0.45">
      <c r="E3880" s="32" t="str">
        <f t="shared" si="183"/>
        <v>.0</v>
      </c>
      <c r="F3880" s="32" t="str">
        <f t="shared" si="184"/>
        <v>.0</v>
      </c>
      <c r="G3880" s="37" t="str">
        <f t="shared" si="185"/>
        <v/>
      </c>
    </row>
    <row r="3881" spans="5:7" x14ac:dyDescent="0.45">
      <c r="E3881" s="32" t="str">
        <f t="shared" si="183"/>
        <v>.0</v>
      </c>
      <c r="F3881" s="32" t="str">
        <f t="shared" si="184"/>
        <v>.0</v>
      </c>
      <c r="G3881" s="37" t="str">
        <f t="shared" si="185"/>
        <v/>
      </c>
    </row>
    <row r="3882" spans="5:7" x14ac:dyDescent="0.45">
      <c r="E3882" s="32" t="str">
        <f t="shared" si="183"/>
        <v>.0</v>
      </c>
      <c r="F3882" s="32" t="str">
        <f t="shared" si="184"/>
        <v>.0</v>
      </c>
      <c r="G3882" s="37" t="str">
        <f t="shared" si="185"/>
        <v/>
      </c>
    </row>
    <row r="3883" spans="5:7" x14ac:dyDescent="0.45">
      <c r="E3883" s="32" t="str">
        <f t="shared" si="183"/>
        <v>.0</v>
      </c>
      <c r="F3883" s="32" t="str">
        <f t="shared" si="184"/>
        <v>.0</v>
      </c>
      <c r="G3883" s="37" t="str">
        <f t="shared" si="185"/>
        <v/>
      </c>
    </row>
    <row r="3884" spans="5:7" x14ac:dyDescent="0.45">
      <c r="E3884" s="32" t="str">
        <f t="shared" si="183"/>
        <v>.0</v>
      </c>
      <c r="F3884" s="32" t="str">
        <f t="shared" si="184"/>
        <v>.0</v>
      </c>
      <c r="G3884" s="37" t="str">
        <f t="shared" si="185"/>
        <v/>
      </c>
    </row>
    <row r="3885" spans="5:7" x14ac:dyDescent="0.45">
      <c r="E3885" s="32" t="str">
        <f t="shared" si="183"/>
        <v>.0</v>
      </c>
      <c r="F3885" s="32" t="str">
        <f t="shared" si="184"/>
        <v>.0</v>
      </c>
      <c r="G3885" s="37" t="str">
        <f t="shared" si="185"/>
        <v/>
      </c>
    </row>
    <row r="3886" spans="5:7" x14ac:dyDescent="0.45">
      <c r="E3886" s="32" t="str">
        <f t="shared" si="183"/>
        <v>.0</v>
      </c>
      <c r="F3886" s="32" t="str">
        <f t="shared" si="184"/>
        <v>.0</v>
      </c>
      <c r="G3886" s="37" t="str">
        <f t="shared" si="185"/>
        <v/>
      </c>
    </row>
    <row r="3887" spans="5:7" x14ac:dyDescent="0.45">
      <c r="E3887" s="32" t="str">
        <f t="shared" si="183"/>
        <v>.0</v>
      </c>
      <c r="F3887" s="32" t="str">
        <f t="shared" si="184"/>
        <v>.0</v>
      </c>
      <c r="G3887" s="37" t="str">
        <f t="shared" si="185"/>
        <v/>
      </c>
    </row>
    <row r="3888" spans="5:7" x14ac:dyDescent="0.45">
      <c r="E3888" s="32" t="str">
        <f t="shared" si="183"/>
        <v>.0</v>
      </c>
      <c r="F3888" s="32" t="str">
        <f t="shared" si="184"/>
        <v>.0</v>
      </c>
      <c r="G3888" s="37" t="str">
        <f t="shared" si="185"/>
        <v/>
      </c>
    </row>
    <row r="3889" spans="5:7" x14ac:dyDescent="0.45">
      <c r="E3889" s="32" t="str">
        <f t="shared" si="183"/>
        <v>.0</v>
      </c>
      <c r="F3889" s="32" t="str">
        <f t="shared" si="184"/>
        <v>.0</v>
      </c>
      <c r="G3889" s="37" t="str">
        <f t="shared" si="185"/>
        <v/>
      </c>
    </row>
    <row r="3890" spans="5:7" x14ac:dyDescent="0.45">
      <c r="E3890" s="32" t="str">
        <f t="shared" si="183"/>
        <v>.0</v>
      </c>
      <c r="F3890" s="32" t="str">
        <f t="shared" si="184"/>
        <v>.0</v>
      </c>
      <c r="G3890" s="37" t="str">
        <f t="shared" si="185"/>
        <v/>
      </c>
    </row>
    <row r="3891" spans="5:7" x14ac:dyDescent="0.45">
      <c r="E3891" s="32" t="str">
        <f t="shared" si="183"/>
        <v>.0</v>
      </c>
      <c r="F3891" s="32" t="str">
        <f t="shared" si="184"/>
        <v>.0</v>
      </c>
      <c r="G3891" s="37" t="str">
        <f t="shared" si="185"/>
        <v/>
      </c>
    </row>
    <row r="3892" spans="5:7" x14ac:dyDescent="0.45">
      <c r="E3892" s="32" t="str">
        <f t="shared" si="183"/>
        <v>.0</v>
      </c>
      <c r="F3892" s="32" t="str">
        <f t="shared" si="184"/>
        <v>.0</v>
      </c>
      <c r="G3892" s="37" t="str">
        <f t="shared" si="185"/>
        <v/>
      </c>
    </row>
    <row r="3893" spans="5:7" x14ac:dyDescent="0.45">
      <c r="E3893" s="32" t="str">
        <f t="shared" si="183"/>
        <v>.0</v>
      </c>
      <c r="F3893" s="32" t="str">
        <f t="shared" si="184"/>
        <v>.0</v>
      </c>
      <c r="G3893" s="37" t="str">
        <f t="shared" si="185"/>
        <v/>
      </c>
    </row>
    <row r="3894" spans="5:7" x14ac:dyDescent="0.45">
      <c r="E3894" s="32" t="str">
        <f t="shared" si="183"/>
        <v>.0</v>
      </c>
      <c r="F3894" s="32" t="str">
        <f t="shared" si="184"/>
        <v>.0</v>
      </c>
      <c r="G3894" s="37" t="str">
        <f t="shared" si="185"/>
        <v/>
      </c>
    </row>
    <row r="3895" spans="5:7" x14ac:dyDescent="0.45">
      <c r="E3895" s="32" t="str">
        <f t="shared" si="183"/>
        <v>.0</v>
      </c>
      <c r="F3895" s="32" t="str">
        <f t="shared" si="184"/>
        <v>.0</v>
      </c>
      <c r="G3895" s="37" t="str">
        <f t="shared" si="185"/>
        <v/>
      </c>
    </row>
    <row r="3896" spans="5:7" x14ac:dyDescent="0.45">
      <c r="E3896" s="32" t="str">
        <f t="shared" si="183"/>
        <v>.0</v>
      </c>
      <c r="F3896" s="32" t="str">
        <f t="shared" si="184"/>
        <v>.0</v>
      </c>
      <c r="G3896" s="37" t="str">
        <f t="shared" si="185"/>
        <v/>
      </c>
    </row>
    <row r="3897" spans="5:7" x14ac:dyDescent="0.45">
      <c r="E3897" s="32" t="str">
        <f t="shared" si="183"/>
        <v>.0</v>
      </c>
      <c r="F3897" s="32" t="str">
        <f t="shared" si="184"/>
        <v>.0</v>
      </c>
      <c r="G3897" s="37" t="str">
        <f t="shared" si="185"/>
        <v/>
      </c>
    </row>
    <row r="3898" spans="5:7" x14ac:dyDescent="0.45">
      <c r="E3898" s="32" t="str">
        <f t="shared" si="183"/>
        <v>.0</v>
      </c>
      <c r="F3898" s="32" t="str">
        <f t="shared" si="184"/>
        <v>.0</v>
      </c>
      <c r="G3898" s="37" t="str">
        <f t="shared" si="185"/>
        <v/>
      </c>
    </row>
    <row r="3899" spans="5:7" x14ac:dyDescent="0.45">
      <c r="E3899" s="32" t="str">
        <f t="shared" si="183"/>
        <v>.0</v>
      </c>
      <c r="F3899" s="32" t="str">
        <f t="shared" si="184"/>
        <v>.0</v>
      </c>
      <c r="G3899" s="37" t="str">
        <f t="shared" si="185"/>
        <v/>
      </c>
    </row>
    <row r="3900" spans="5:7" x14ac:dyDescent="0.45">
      <c r="E3900" s="32" t="str">
        <f t="shared" si="183"/>
        <v>.0</v>
      </c>
      <c r="F3900" s="32" t="str">
        <f t="shared" si="184"/>
        <v>.0</v>
      </c>
      <c r="G3900" s="37" t="str">
        <f t="shared" si="185"/>
        <v/>
      </c>
    </row>
    <row r="3901" spans="5:7" x14ac:dyDescent="0.45">
      <c r="E3901" s="32" t="str">
        <f t="shared" si="183"/>
        <v>.0</v>
      </c>
      <c r="F3901" s="32" t="str">
        <f t="shared" si="184"/>
        <v>.0</v>
      </c>
      <c r="G3901" s="37" t="str">
        <f t="shared" si="185"/>
        <v/>
      </c>
    </row>
    <row r="3902" spans="5:7" x14ac:dyDescent="0.45">
      <c r="E3902" s="32" t="str">
        <f t="shared" si="183"/>
        <v>.0</v>
      </c>
      <c r="F3902" s="32" t="str">
        <f t="shared" si="184"/>
        <v>.0</v>
      </c>
      <c r="G3902" s="37" t="str">
        <f t="shared" si="185"/>
        <v/>
      </c>
    </row>
    <row r="3903" spans="5:7" x14ac:dyDescent="0.45">
      <c r="E3903" s="32" t="str">
        <f t="shared" si="183"/>
        <v>.0</v>
      </c>
      <c r="F3903" s="32" t="str">
        <f t="shared" si="184"/>
        <v>.0</v>
      </c>
      <c r="G3903" s="37" t="str">
        <f t="shared" si="185"/>
        <v/>
      </c>
    </row>
    <row r="3904" spans="5:7" x14ac:dyDescent="0.45">
      <c r="E3904" s="32" t="str">
        <f t="shared" si="183"/>
        <v>.0</v>
      </c>
      <c r="F3904" s="32" t="str">
        <f t="shared" si="184"/>
        <v>.0</v>
      </c>
      <c r="G3904" s="37" t="str">
        <f t="shared" si="185"/>
        <v/>
      </c>
    </row>
    <row r="3905" spans="5:7" x14ac:dyDescent="0.45">
      <c r="E3905" s="32" t="str">
        <f t="shared" si="183"/>
        <v>.0</v>
      </c>
      <c r="F3905" s="32" t="str">
        <f t="shared" si="184"/>
        <v>.0</v>
      </c>
      <c r="G3905" s="37" t="str">
        <f t="shared" si="185"/>
        <v/>
      </c>
    </row>
    <row r="3906" spans="5:7" x14ac:dyDescent="0.45">
      <c r="E3906" s="32" t="str">
        <f t="shared" si="183"/>
        <v>.0</v>
      </c>
      <c r="F3906" s="32" t="str">
        <f t="shared" si="184"/>
        <v>.0</v>
      </c>
      <c r="G3906" s="37" t="str">
        <f t="shared" si="185"/>
        <v/>
      </c>
    </row>
    <row r="3907" spans="5:7" x14ac:dyDescent="0.45">
      <c r="E3907" s="32" t="str">
        <f t="shared" si="183"/>
        <v>.0</v>
      </c>
      <c r="F3907" s="32" t="str">
        <f t="shared" si="184"/>
        <v>.0</v>
      </c>
      <c r="G3907" s="37" t="str">
        <f t="shared" si="185"/>
        <v/>
      </c>
    </row>
    <row r="3908" spans="5:7" x14ac:dyDescent="0.45">
      <c r="E3908" s="32" t="str">
        <f t="shared" si="183"/>
        <v>.0</v>
      </c>
      <c r="F3908" s="32" t="str">
        <f t="shared" si="184"/>
        <v>.0</v>
      </c>
      <c r="G3908" s="37" t="str">
        <f t="shared" si="185"/>
        <v/>
      </c>
    </row>
    <row r="3909" spans="5:7" x14ac:dyDescent="0.45">
      <c r="E3909" s="32" t="str">
        <f t="shared" si="183"/>
        <v>.0</v>
      </c>
      <c r="F3909" s="32" t="str">
        <f t="shared" si="184"/>
        <v>.0</v>
      </c>
      <c r="G3909" s="37" t="str">
        <f t="shared" si="185"/>
        <v/>
      </c>
    </row>
    <row r="3910" spans="5:7" x14ac:dyDescent="0.45">
      <c r="E3910" s="32" t="str">
        <f t="shared" si="183"/>
        <v>.0</v>
      </c>
      <c r="F3910" s="32" t="str">
        <f t="shared" si="184"/>
        <v>.0</v>
      </c>
      <c r="G3910" s="37" t="str">
        <f t="shared" si="185"/>
        <v/>
      </c>
    </row>
    <row r="3911" spans="5:7" x14ac:dyDescent="0.45">
      <c r="E3911" s="32" t="str">
        <f t="shared" si="183"/>
        <v>.0</v>
      </c>
      <c r="F3911" s="32" t="str">
        <f t="shared" si="184"/>
        <v>.0</v>
      </c>
      <c r="G3911" s="37" t="str">
        <f t="shared" si="185"/>
        <v/>
      </c>
    </row>
    <row r="3912" spans="5:7" x14ac:dyDescent="0.45">
      <c r="E3912" s="32" t="str">
        <f t="shared" si="183"/>
        <v>.0</v>
      </c>
      <c r="F3912" s="32" t="str">
        <f t="shared" si="184"/>
        <v>.0</v>
      </c>
      <c r="G3912" s="37" t="str">
        <f t="shared" si="185"/>
        <v/>
      </c>
    </row>
    <row r="3913" spans="5:7" x14ac:dyDescent="0.45">
      <c r="E3913" s="32" t="str">
        <f t="shared" si="183"/>
        <v>.0</v>
      </c>
      <c r="F3913" s="32" t="str">
        <f t="shared" si="184"/>
        <v>.0</v>
      </c>
      <c r="G3913" s="37" t="str">
        <f t="shared" si="185"/>
        <v/>
      </c>
    </row>
    <row r="3914" spans="5:7" x14ac:dyDescent="0.45">
      <c r="E3914" s="32" t="str">
        <f t="shared" si="183"/>
        <v>.0</v>
      </c>
      <c r="F3914" s="32" t="str">
        <f t="shared" si="184"/>
        <v>.0</v>
      </c>
      <c r="G3914" s="37" t="str">
        <f t="shared" si="185"/>
        <v/>
      </c>
    </row>
    <row r="3915" spans="5:7" x14ac:dyDescent="0.45">
      <c r="E3915" s="32" t="str">
        <f t="shared" si="183"/>
        <v>.0</v>
      </c>
      <c r="F3915" s="32" t="str">
        <f t="shared" si="184"/>
        <v>.0</v>
      </c>
      <c r="G3915" s="37" t="str">
        <f t="shared" si="185"/>
        <v/>
      </c>
    </row>
    <row r="3916" spans="5:7" x14ac:dyDescent="0.45">
      <c r="E3916" s="32" t="str">
        <f t="shared" si="183"/>
        <v>.0</v>
      </c>
      <c r="F3916" s="32" t="str">
        <f t="shared" si="184"/>
        <v>.0</v>
      </c>
      <c r="G3916" s="37" t="str">
        <f t="shared" si="185"/>
        <v/>
      </c>
    </row>
    <row r="3917" spans="5:7" x14ac:dyDescent="0.45">
      <c r="E3917" s="32" t="str">
        <f t="shared" si="183"/>
        <v>.0</v>
      </c>
      <c r="F3917" s="32" t="str">
        <f t="shared" si="184"/>
        <v>.0</v>
      </c>
      <c r="G3917" s="37" t="str">
        <f t="shared" si="185"/>
        <v/>
      </c>
    </row>
    <row r="3918" spans="5:7" x14ac:dyDescent="0.45">
      <c r="E3918" s="32" t="str">
        <f t="shared" si="183"/>
        <v>.0</v>
      </c>
      <c r="F3918" s="32" t="str">
        <f t="shared" si="184"/>
        <v>.0</v>
      </c>
      <c r="G3918" s="37" t="str">
        <f t="shared" si="185"/>
        <v/>
      </c>
    </row>
    <row r="3919" spans="5:7" x14ac:dyDescent="0.45">
      <c r="E3919" s="32" t="str">
        <f t="shared" si="183"/>
        <v>.0</v>
      </c>
      <c r="F3919" s="32" t="str">
        <f t="shared" si="184"/>
        <v>.0</v>
      </c>
      <c r="G3919" s="37" t="str">
        <f t="shared" si="185"/>
        <v/>
      </c>
    </row>
    <row r="3920" spans="5:7" x14ac:dyDescent="0.45">
      <c r="E3920" s="32" t="str">
        <f t="shared" si="183"/>
        <v>.0</v>
      </c>
      <c r="F3920" s="32" t="str">
        <f t="shared" si="184"/>
        <v>.0</v>
      </c>
      <c r="G3920" s="37" t="str">
        <f t="shared" si="185"/>
        <v/>
      </c>
    </row>
    <row r="3921" spans="5:7" x14ac:dyDescent="0.45">
      <c r="E3921" s="32" t="str">
        <f t="shared" si="183"/>
        <v>.0</v>
      </c>
      <c r="F3921" s="32" t="str">
        <f t="shared" si="184"/>
        <v>.0</v>
      </c>
      <c r="G3921" s="37" t="str">
        <f t="shared" si="185"/>
        <v/>
      </c>
    </row>
    <row r="3922" spans="5:7" x14ac:dyDescent="0.45">
      <c r="E3922" s="32" t="str">
        <f t="shared" si="183"/>
        <v>.0</v>
      </c>
      <c r="F3922" s="32" t="str">
        <f t="shared" si="184"/>
        <v>.0</v>
      </c>
      <c r="G3922" s="37" t="str">
        <f t="shared" si="185"/>
        <v/>
      </c>
    </row>
    <row r="3923" spans="5:7" x14ac:dyDescent="0.45">
      <c r="E3923" s="32" t="str">
        <f t="shared" si="183"/>
        <v>.0</v>
      </c>
      <c r="F3923" s="32" t="str">
        <f t="shared" si="184"/>
        <v>.0</v>
      </c>
      <c r="G3923" s="37" t="str">
        <f t="shared" si="185"/>
        <v/>
      </c>
    </row>
    <row r="3924" spans="5:7" x14ac:dyDescent="0.45">
      <c r="E3924" s="32" t="str">
        <f t="shared" si="183"/>
        <v>.0</v>
      </c>
      <c r="F3924" s="32" t="str">
        <f t="shared" si="184"/>
        <v>.0</v>
      </c>
      <c r="G3924" s="37" t="str">
        <f t="shared" si="185"/>
        <v/>
      </c>
    </row>
    <row r="3925" spans="5:7" x14ac:dyDescent="0.45">
      <c r="E3925" s="32" t="str">
        <f t="shared" si="183"/>
        <v>.0</v>
      </c>
      <c r="F3925" s="32" t="str">
        <f t="shared" si="184"/>
        <v>.0</v>
      </c>
      <c r="G3925" s="37" t="str">
        <f t="shared" si="185"/>
        <v/>
      </c>
    </row>
    <row r="3926" spans="5:7" x14ac:dyDescent="0.45">
      <c r="E3926" s="32" t="str">
        <f t="shared" si="183"/>
        <v>.0</v>
      </c>
      <c r="F3926" s="32" t="str">
        <f t="shared" si="184"/>
        <v>.0</v>
      </c>
      <c r="G3926" s="37" t="str">
        <f t="shared" si="185"/>
        <v/>
      </c>
    </row>
    <row r="3927" spans="5:7" x14ac:dyDescent="0.45">
      <c r="E3927" s="32" t="str">
        <f t="shared" si="183"/>
        <v>.0</v>
      </c>
      <c r="F3927" s="32" t="str">
        <f t="shared" si="184"/>
        <v>.0</v>
      </c>
      <c r="G3927" s="37" t="str">
        <f t="shared" si="185"/>
        <v/>
      </c>
    </row>
    <row r="3928" spans="5:7" x14ac:dyDescent="0.45">
      <c r="E3928" s="32" t="str">
        <f t="shared" si="183"/>
        <v>.0</v>
      </c>
      <c r="F3928" s="32" t="str">
        <f t="shared" si="184"/>
        <v>.0</v>
      </c>
      <c r="G3928" s="37" t="str">
        <f t="shared" si="185"/>
        <v/>
      </c>
    </row>
    <row r="3929" spans="5:7" x14ac:dyDescent="0.45">
      <c r="E3929" s="32" t="str">
        <f t="shared" si="183"/>
        <v>.0</v>
      </c>
      <c r="F3929" s="32" t="str">
        <f t="shared" si="184"/>
        <v>.0</v>
      </c>
      <c r="G3929" s="37" t="str">
        <f t="shared" si="185"/>
        <v/>
      </c>
    </row>
    <row r="3930" spans="5:7" x14ac:dyDescent="0.45">
      <c r="E3930" s="32" t="str">
        <f t="shared" si="183"/>
        <v>.0</v>
      </c>
      <c r="F3930" s="32" t="str">
        <f t="shared" si="184"/>
        <v>.0</v>
      </c>
      <c r="G3930" s="37" t="str">
        <f t="shared" si="185"/>
        <v/>
      </c>
    </row>
    <row r="3931" spans="5:7" x14ac:dyDescent="0.45">
      <c r="E3931" s="32" t="str">
        <f t="shared" si="183"/>
        <v>.0</v>
      </c>
      <c r="F3931" s="32" t="str">
        <f t="shared" si="184"/>
        <v>.0</v>
      </c>
      <c r="G3931" s="37" t="str">
        <f t="shared" si="185"/>
        <v/>
      </c>
    </row>
    <row r="3932" spans="5:7" x14ac:dyDescent="0.45">
      <c r="E3932" s="32" t="str">
        <f t="shared" si="183"/>
        <v>.0</v>
      </c>
      <c r="F3932" s="32" t="str">
        <f t="shared" si="184"/>
        <v>.0</v>
      </c>
      <c r="G3932" s="37" t="str">
        <f t="shared" si="185"/>
        <v/>
      </c>
    </row>
    <row r="3933" spans="5:7" x14ac:dyDescent="0.45">
      <c r="E3933" s="32" t="str">
        <f t="shared" si="183"/>
        <v>.0</v>
      </c>
      <c r="F3933" s="32" t="str">
        <f t="shared" si="184"/>
        <v>.0</v>
      </c>
      <c r="G3933" s="37" t="str">
        <f t="shared" si="185"/>
        <v/>
      </c>
    </row>
    <row r="3934" spans="5:7" x14ac:dyDescent="0.45">
      <c r="E3934" s="32" t="str">
        <f t="shared" ref="E3934:E3997" si="186">MID(B3934,3,2)&amp;"."&amp;IF(C3934&lt;10,"0"&amp;C3934,C3934)</f>
        <v>.0</v>
      </c>
      <c r="F3934" s="32" t="str">
        <f t="shared" ref="F3934:F3997" si="187">MID(B3934,3,2)&amp;"."&amp;IF(C3934&lt;10,"0"&amp;C3934,C3934)</f>
        <v>.0</v>
      </c>
      <c r="G3934" s="37" t="str">
        <f t="shared" ref="G3934:G3997" si="188">TEXT(D3934,"#,###,")</f>
        <v/>
      </c>
    </row>
    <row r="3935" spans="5:7" x14ac:dyDescent="0.45">
      <c r="E3935" s="32" t="str">
        <f t="shared" si="186"/>
        <v>.0</v>
      </c>
      <c r="F3935" s="32" t="str">
        <f t="shared" si="187"/>
        <v>.0</v>
      </c>
      <c r="G3935" s="37" t="str">
        <f t="shared" si="188"/>
        <v/>
      </c>
    </row>
    <row r="3936" spans="5:7" x14ac:dyDescent="0.45">
      <c r="E3936" s="32" t="str">
        <f t="shared" si="186"/>
        <v>.0</v>
      </c>
      <c r="F3936" s="32" t="str">
        <f t="shared" si="187"/>
        <v>.0</v>
      </c>
      <c r="G3936" s="37" t="str">
        <f t="shared" si="188"/>
        <v/>
      </c>
    </row>
    <row r="3937" spans="5:7" x14ac:dyDescent="0.45">
      <c r="E3937" s="32" t="str">
        <f t="shared" si="186"/>
        <v>.0</v>
      </c>
      <c r="F3937" s="32" t="str">
        <f t="shared" si="187"/>
        <v>.0</v>
      </c>
      <c r="G3937" s="37" t="str">
        <f t="shared" si="188"/>
        <v/>
      </c>
    </row>
    <row r="3938" spans="5:7" x14ac:dyDescent="0.45">
      <c r="E3938" s="32" t="str">
        <f t="shared" si="186"/>
        <v>.0</v>
      </c>
      <c r="F3938" s="32" t="str">
        <f t="shared" si="187"/>
        <v>.0</v>
      </c>
      <c r="G3938" s="37" t="str">
        <f t="shared" si="188"/>
        <v/>
      </c>
    </row>
    <row r="3939" spans="5:7" x14ac:dyDescent="0.45">
      <c r="E3939" s="32" t="str">
        <f t="shared" si="186"/>
        <v>.0</v>
      </c>
      <c r="F3939" s="32" t="str">
        <f t="shared" si="187"/>
        <v>.0</v>
      </c>
      <c r="G3939" s="37" t="str">
        <f t="shared" si="188"/>
        <v/>
      </c>
    </row>
    <row r="3940" spans="5:7" x14ac:dyDescent="0.45">
      <c r="E3940" s="32" t="str">
        <f t="shared" si="186"/>
        <v>.0</v>
      </c>
      <c r="F3940" s="32" t="str">
        <f t="shared" si="187"/>
        <v>.0</v>
      </c>
      <c r="G3940" s="37" t="str">
        <f t="shared" si="188"/>
        <v/>
      </c>
    </row>
    <row r="3941" spans="5:7" x14ac:dyDescent="0.45">
      <c r="E3941" s="32" t="str">
        <f t="shared" si="186"/>
        <v>.0</v>
      </c>
      <c r="F3941" s="32" t="str">
        <f t="shared" si="187"/>
        <v>.0</v>
      </c>
      <c r="G3941" s="37" t="str">
        <f t="shared" si="188"/>
        <v/>
      </c>
    </row>
    <row r="3942" spans="5:7" x14ac:dyDescent="0.45">
      <c r="E3942" s="32" t="str">
        <f t="shared" si="186"/>
        <v>.0</v>
      </c>
      <c r="F3942" s="32" t="str">
        <f t="shared" si="187"/>
        <v>.0</v>
      </c>
      <c r="G3942" s="37" t="str">
        <f t="shared" si="188"/>
        <v/>
      </c>
    </row>
    <row r="3943" spans="5:7" x14ac:dyDescent="0.45">
      <c r="E3943" s="32" t="str">
        <f t="shared" si="186"/>
        <v>.0</v>
      </c>
      <c r="F3943" s="32" t="str">
        <f t="shared" si="187"/>
        <v>.0</v>
      </c>
      <c r="G3943" s="37" t="str">
        <f t="shared" si="188"/>
        <v/>
      </c>
    </row>
    <row r="3944" spans="5:7" x14ac:dyDescent="0.45">
      <c r="E3944" s="32" t="str">
        <f t="shared" si="186"/>
        <v>.0</v>
      </c>
      <c r="F3944" s="32" t="str">
        <f t="shared" si="187"/>
        <v>.0</v>
      </c>
      <c r="G3944" s="37" t="str">
        <f t="shared" si="188"/>
        <v/>
      </c>
    </row>
    <row r="3945" spans="5:7" x14ac:dyDescent="0.45">
      <c r="E3945" s="32" t="str">
        <f t="shared" si="186"/>
        <v>.0</v>
      </c>
      <c r="F3945" s="32" t="str">
        <f t="shared" si="187"/>
        <v>.0</v>
      </c>
      <c r="G3945" s="37" t="str">
        <f t="shared" si="188"/>
        <v/>
      </c>
    </row>
    <row r="3946" spans="5:7" x14ac:dyDescent="0.45">
      <c r="E3946" s="32" t="str">
        <f t="shared" si="186"/>
        <v>.0</v>
      </c>
      <c r="F3946" s="32" t="str">
        <f t="shared" si="187"/>
        <v>.0</v>
      </c>
      <c r="G3946" s="37" t="str">
        <f t="shared" si="188"/>
        <v/>
      </c>
    </row>
    <row r="3947" spans="5:7" x14ac:dyDescent="0.45">
      <c r="E3947" s="32" t="str">
        <f t="shared" si="186"/>
        <v>.0</v>
      </c>
      <c r="F3947" s="32" t="str">
        <f t="shared" si="187"/>
        <v>.0</v>
      </c>
      <c r="G3947" s="37" t="str">
        <f t="shared" si="188"/>
        <v/>
      </c>
    </row>
    <row r="3948" spans="5:7" x14ac:dyDescent="0.45">
      <c r="E3948" s="32" t="str">
        <f t="shared" si="186"/>
        <v>.0</v>
      </c>
      <c r="F3948" s="32" t="str">
        <f t="shared" si="187"/>
        <v>.0</v>
      </c>
      <c r="G3948" s="37" t="str">
        <f t="shared" si="188"/>
        <v/>
      </c>
    </row>
    <row r="3949" spans="5:7" x14ac:dyDescent="0.45">
      <c r="E3949" s="32" t="str">
        <f t="shared" si="186"/>
        <v>.0</v>
      </c>
      <c r="F3949" s="32" t="str">
        <f t="shared" si="187"/>
        <v>.0</v>
      </c>
      <c r="G3949" s="37" t="str">
        <f t="shared" si="188"/>
        <v/>
      </c>
    </row>
    <row r="3950" spans="5:7" x14ac:dyDescent="0.45">
      <c r="E3950" s="32" t="str">
        <f t="shared" si="186"/>
        <v>.0</v>
      </c>
      <c r="F3950" s="32" t="str">
        <f t="shared" si="187"/>
        <v>.0</v>
      </c>
      <c r="G3950" s="37" t="str">
        <f t="shared" si="188"/>
        <v/>
      </c>
    </row>
    <row r="3951" spans="5:7" x14ac:dyDescent="0.45">
      <c r="E3951" s="32" t="str">
        <f t="shared" si="186"/>
        <v>.0</v>
      </c>
      <c r="F3951" s="32" t="str">
        <f t="shared" si="187"/>
        <v>.0</v>
      </c>
      <c r="G3951" s="37" t="str">
        <f t="shared" si="188"/>
        <v/>
      </c>
    </row>
    <row r="3952" spans="5:7" x14ac:dyDescent="0.45">
      <c r="E3952" s="32" t="str">
        <f t="shared" si="186"/>
        <v>.0</v>
      </c>
      <c r="F3952" s="32" t="str">
        <f t="shared" si="187"/>
        <v>.0</v>
      </c>
      <c r="G3952" s="37" t="str">
        <f t="shared" si="188"/>
        <v/>
      </c>
    </row>
    <row r="3953" spans="5:7" x14ac:dyDescent="0.45">
      <c r="E3953" s="32" t="str">
        <f t="shared" si="186"/>
        <v>.0</v>
      </c>
      <c r="F3953" s="32" t="str">
        <f t="shared" si="187"/>
        <v>.0</v>
      </c>
      <c r="G3953" s="37" t="str">
        <f t="shared" si="188"/>
        <v/>
      </c>
    </row>
    <row r="3954" spans="5:7" x14ac:dyDescent="0.45">
      <c r="E3954" s="32" t="str">
        <f t="shared" si="186"/>
        <v>.0</v>
      </c>
      <c r="F3954" s="32" t="str">
        <f t="shared" si="187"/>
        <v>.0</v>
      </c>
      <c r="G3954" s="37" t="str">
        <f t="shared" si="188"/>
        <v/>
      </c>
    </row>
    <row r="3955" spans="5:7" x14ac:dyDescent="0.45">
      <c r="E3955" s="32" t="str">
        <f t="shared" si="186"/>
        <v>.0</v>
      </c>
      <c r="F3955" s="32" t="str">
        <f t="shared" si="187"/>
        <v>.0</v>
      </c>
      <c r="G3955" s="37" t="str">
        <f t="shared" si="188"/>
        <v/>
      </c>
    </row>
    <row r="3956" spans="5:7" x14ac:dyDescent="0.45">
      <c r="E3956" s="32" t="str">
        <f t="shared" si="186"/>
        <v>.0</v>
      </c>
      <c r="F3956" s="32" t="str">
        <f t="shared" si="187"/>
        <v>.0</v>
      </c>
      <c r="G3956" s="37" t="str">
        <f t="shared" si="188"/>
        <v/>
      </c>
    </row>
    <row r="3957" spans="5:7" x14ac:dyDescent="0.45">
      <c r="E3957" s="32" t="str">
        <f t="shared" si="186"/>
        <v>.0</v>
      </c>
      <c r="F3957" s="32" t="str">
        <f t="shared" si="187"/>
        <v>.0</v>
      </c>
      <c r="G3957" s="37" t="str">
        <f t="shared" si="188"/>
        <v/>
      </c>
    </row>
    <row r="3958" spans="5:7" x14ac:dyDescent="0.45">
      <c r="E3958" s="32" t="str">
        <f t="shared" si="186"/>
        <v>.0</v>
      </c>
      <c r="F3958" s="32" t="str">
        <f t="shared" si="187"/>
        <v>.0</v>
      </c>
      <c r="G3958" s="37" t="str">
        <f t="shared" si="188"/>
        <v/>
      </c>
    </row>
    <row r="3959" spans="5:7" x14ac:dyDescent="0.45">
      <c r="E3959" s="32" t="str">
        <f t="shared" si="186"/>
        <v>.0</v>
      </c>
      <c r="F3959" s="32" t="str">
        <f t="shared" si="187"/>
        <v>.0</v>
      </c>
      <c r="G3959" s="37" t="str">
        <f t="shared" si="188"/>
        <v/>
      </c>
    </row>
    <row r="3960" spans="5:7" x14ac:dyDescent="0.45">
      <c r="E3960" s="32" t="str">
        <f t="shared" si="186"/>
        <v>.0</v>
      </c>
      <c r="F3960" s="32" t="str">
        <f t="shared" si="187"/>
        <v>.0</v>
      </c>
      <c r="G3960" s="37" t="str">
        <f t="shared" si="188"/>
        <v/>
      </c>
    </row>
    <row r="3961" spans="5:7" x14ac:dyDescent="0.45">
      <c r="E3961" s="32" t="str">
        <f t="shared" si="186"/>
        <v>.0</v>
      </c>
      <c r="F3961" s="32" t="str">
        <f t="shared" si="187"/>
        <v>.0</v>
      </c>
      <c r="G3961" s="37" t="str">
        <f t="shared" si="188"/>
        <v/>
      </c>
    </row>
    <row r="3962" spans="5:7" x14ac:dyDescent="0.45">
      <c r="E3962" s="32" t="str">
        <f t="shared" si="186"/>
        <v>.0</v>
      </c>
      <c r="F3962" s="32" t="str">
        <f t="shared" si="187"/>
        <v>.0</v>
      </c>
      <c r="G3962" s="37" t="str">
        <f t="shared" si="188"/>
        <v/>
      </c>
    </row>
    <row r="3963" spans="5:7" x14ac:dyDescent="0.45">
      <c r="E3963" s="32" t="str">
        <f t="shared" si="186"/>
        <v>.0</v>
      </c>
      <c r="F3963" s="32" t="str">
        <f t="shared" si="187"/>
        <v>.0</v>
      </c>
      <c r="G3963" s="37" t="str">
        <f t="shared" si="188"/>
        <v/>
      </c>
    </row>
    <row r="3964" spans="5:7" x14ac:dyDescent="0.45">
      <c r="E3964" s="32" t="str">
        <f t="shared" si="186"/>
        <v>.0</v>
      </c>
      <c r="F3964" s="32" t="str">
        <f t="shared" si="187"/>
        <v>.0</v>
      </c>
      <c r="G3964" s="37" t="str">
        <f t="shared" si="188"/>
        <v/>
      </c>
    </row>
    <row r="3965" spans="5:7" x14ac:dyDescent="0.45">
      <c r="E3965" s="32" t="str">
        <f t="shared" si="186"/>
        <v>.0</v>
      </c>
      <c r="F3965" s="32" t="str">
        <f t="shared" si="187"/>
        <v>.0</v>
      </c>
      <c r="G3965" s="37" t="str">
        <f t="shared" si="188"/>
        <v/>
      </c>
    </row>
    <row r="3966" spans="5:7" x14ac:dyDescent="0.45">
      <c r="E3966" s="32" t="str">
        <f t="shared" si="186"/>
        <v>.0</v>
      </c>
      <c r="F3966" s="32" t="str">
        <f t="shared" si="187"/>
        <v>.0</v>
      </c>
      <c r="G3966" s="37" t="str">
        <f t="shared" si="188"/>
        <v/>
      </c>
    </row>
    <row r="3967" spans="5:7" x14ac:dyDescent="0.45">
      <c r="E3967" s="32" t="str">
        <f t="shared" si="186"/>
        <v>.0</v>
      </c>
      <c r="F3967" s="32" t="str">
        <f t="shared" si="187"/>
        <v>.0</v>
      </c>
      <c r="G3967" s="37" t="str">
        <f t="shared" si="188"/>
        <v/>
      </c>
    </row>
    <row r="3968" spans="5:7" x14ac:dyDescent="0.45">
      <c r="E3968" s="32" t="str">
        <f t="shared" si="186"/>
        <v>.0</v>
      </c>
      <c r="F3968" s="32" t="str">
        <f t="shared" si="187"/>
        <v>.0</v>
      </c>
      <c r="G3968" s="37" t="str">
        <f t="shared" si="188"/>
        <v/>
      </c>
    </row>
    <row r="3969" spans="5:7" x14ac:dyDescent="0.45">
      <c r="E3969" s="32" t="str">
        <f t="shared" si="186"/>
        <v>.0</v>
      </c>
      <c r="F3969" s="32" t="str">
        <f t="shared" si="187"/>
        <v>.0</v>
      </c>
      <c r="G3969" s="37" t="str">
        <f t="shared" si="188"/>
        <v/>
      </c>
    </row>
    <row r="3970" spans="5:7" x14ac:dyDescent="0.45">
      <c r="E3970" s="32" t="str">
        <f t="shared" si="186"/>
        <v>.0</v>
      </c>
      <c r="F3970" s="32" t="str">
        <f t="shared" si="187"/>
        <v>.0</v>
      </c>
      <c r="G3970" s="37" t="str">
        <f t="shared" si="188"/>
        <v/>
      </c>
    </row>
    <row r="3971" spans="5:7" x14ac:dyDescent="0.45">
      <c r="E3971" s="32" t="str">
        <f t="shared" si="186"/>
        <v>.0</v>
      </c>
      <c r="F3971" s="32" t="str">
        <f t="shared" si="187"/>
        <v>.0</v>
      </c>
      <c r="G3971" s="37" t="str">
        <f t="shared" si="188"/>
        <v/>
      </c>
    </row>
    <row r="3972" spans="5:7" x14ac:dyDescent="0.45">
      <c r="E3972" s="32" t="str">
        <f t="shared" si="186"/>
        <v>.0</v>
      </c>
      <c r="F3972" s="32" t="str">
        <f t="shared" si="187"/>
        <v>.0</v>
      </c>
      <c r="G3972" s="37" t="str">
        <f t="shared" si="188"/>
        <v/>
      </c>
    </row>
    <row r="3973" spans="5:7" x14ac:dyDescent="0.45">
      <c r="E3973" s="32" t="str">
        <f t="shared" si="186"/>
        <v>.0</v>
      </c>
      <c r="F3973" s="32" t="str">
        <f t="shared" si="187"/>
        <v>.0</v>
      </c>
      <c r="G3973" s="37" t="str">
        <f t="shared" si="188"/>
        <v/>
      </c>
    </row>
    <row r="3974" spans="5:7" x14ac:dyDescent="0.45">
      <c r="E3974" s="32" t="str">
        <f t="shared" si="186"/>
        <v>.0</v>
      </c>
      <c r="F3974" s="32" t="str">
        <f t="shared" si="187"/>
        <v>.0</v>
      </c>
      <c r="G3974" s="37" t="str">
        <f t="shared" si="188"/>
        <v/>
      </c>
    </row>
    <row r="3975" spans="5:7" x14ac:dyDescent="0.45">
      <c r="E3975" s="32" t="str">
        <f t="shared" si="186"/>
        <v>.0</v>
      </c>
      <c r="F3975" s="32" t="str">
        <f t="shared" si="187"/>
        <v>.0</v>
      </c>
      <c r="G3975" s="37" t="str">
        <f t="shared" si="188"/>
        <v/>
      </c>
    </row>
    <row r="3976" spans="5:7" x14ac:dyDescent="0.45">
      <c r="E3976" s="32" t="str">
        <f t="shared" si="186"/>
        <v>.0</v>
      </c>
      <c r="F3976" s="32" t="str">
        <f t="shared" si="187"/>
        <v>.0</v>
      </c>
      <c r="G3976" s="37" t="str">
        <f t="shared" si="188"/>
        <v/>
      </c>
    </row>
    <row r="3977" spans="5:7" x14ac:dyDescent="0.45">
      <c r="E3977" s="32" t="str">
        <f t="shared" si="186"/>
        <v>.0</v>
      </c>
      <c r="F3977" s="32" t="str">
        <f t="shared" si="187"/>
        <v>.0</v>
      </c>
      <c r="G3977" s="37" t="str">
        <f t="shared" si="188"/>
        <v/>
      </c>
    </row>
    <row r="3978" spans="5:7" x14ac:dyDescent="0.45">
      <c r="E3978" s="32" t="str">
        <f t="shared" si="186"/>
        <v>.0</v>
      </c>
      <c r="F3978" s="32" t="str">
        <f t="shared" si="187"/>
        <v>.0</v>
      </c>
      <c r="G3978" s="37" t="str">
        <f t="shared" si="188"/>
        <v/>
      </c>
    </row>
    <row r="3979" spans="5:7" x14ac:dyDescent="0.45">
      <c r="E3979" s="32" t="str">
        <f t="shared" si="186"/>
        <v>.0</v>
      </c>
      <c r="F3979" s="32" t="str">
        <f t="shared" si="187"/>
        <v>.0</v>
      </c>
      <c r="G3979" s="37" t="str">
        <f t="shared" si="188"/>
        <v/>
      </c>
    </row>
    <row r="3980" spans="5:7" x14ac:dyDescent="0.45">
      <c r="E3980" s="32" t="str">
        <f t="shared" si="186"/>
        <v>.0</v>
      </c>
      <c r="F3980" s="32" t="str">
        <f t="shared" si="187"/>
        <v>.0</v>
      </c>
      <c r="G3980" s="37" t="str">
        <f t="shared" si="188"/>
        <v/>
      </c>
    </row>
    <row r="3981" spans="5:7" x14ac:dyDescent="0.45">
      <c r="E3981" s="32" t="str">
        <f t="shared" si="186"/>
        <v>.0</v>
      </c>
      <c r="F3981" s="32" t="str">
        <f t="shared" si="187"/>
        <v>.0</v>
      </c>
      <c r="G3981" s="37" t="str">
        <f t="shared" si="188"/>
        <v/>
      </c>
    </row>
    <row r="3982" spans="5:7" x14ac:dyDescent="0.45">
      <c r="E3982" s="32" t="str">
        <f t="shared" si="186"/>
        <v>.0</v>
      </c>
      <c r="F3982" s="32" t="str">
        <f t="shared" si="187"/>
        <v>.0</v>
      </c>
      <c r="G3982" s="37" t="str">
        <f t="shared" si="188"/>
        <v/>
      </c>
    </row>
    <row r="3983" spans="5:7" x14ac:dyDescent="0.45">
      <c r="E3983" s="32" t="str">
        <f t="shared" si="186"/>
        <v>.0</v>
      </c>
      <c r="F3983" s="32" t="str">
        <f t="shared" si="187"/>
        <v>.0</v>
      </c>
      <c r="G3983" s="37" t="str">
        <f t="shared" si="188"/>
        <v/>
      </c>
    </row>
    <row r="3984" spans="5:7" x14ac:dyDescent="0.45">
      <c r="E3984" s="32" t="str">
        <f t="shared" si="186"/>
        <v>.0</v>
      </c>
      <c r="F3984" s="32" t="str">
        <f t="shared" si="187"/>
        <v>.0</v>
      </c>
      <c r="G3984" s="37" t="str">
        <f t="shared" si="188"/>
        <v/>
      </c>
    </row>
    <row r="3985" spans="5:7" x14ac:dyDescent="0.45">
      <c r="E3985" s="32" t="str">
        <f t="shared" si="186"/>
        <v>.0</v>
      </c>
      <c r="F3985" s="32" t="str">
        <f t="shared" si="187"/>
        <v>.0</v>
      </c>
      <c r="G3985" s="37" t="str">
        <f t="shared" si="188"/>
        <v/>
      </c>
    </row>
    <row r="3986" spans="5:7" x14ac:dyDescent="0.45">
      <c r="E3986" s="32" t="str">
        <f t="shared" si="186"/>
        <v>.0</v>
      </c>
      <c r="F3986" s="32" t="str">
        <f t="shared" si="187"/>
        <v>.0</v>
      </c>
      <c r="G3986" s="37" t="str">
        <f t="shared" si="188"/>
        <v/>
      </c>
    </row>
    <row r="3987" spans="5:7" x14ac:dyDescent="0.45">
      <c r="E3987" s="32" t="str">
        <f t="shared" si="186"/>
        <v>.0</v>
      </c>
      <c r="F3987" s="32" t="str">
        <f t="shared" si="187"/>
        <v>.0</v>
      </c>
      <c r="G3987" s="37" t="str">
        <f t="shared" si="188"/>
        <v/>
      </c>
    </row>
    <row r="3988" spans="5:7" x14ac:dyDescent="0.45">
      <c r="E3988" s="32" t="str">
        <f t="shared" si="186"/>
        <v>.0</v>
      </c>
      <c r="F3988" s="32" t="str">
        <f t="shared" si="187"/>
        <v>.0</v>
      </c>
      <c r="G3988" s="37" t="str">
        <f t="shared" si="188"/>
        <v/>
      </c>
    </row>
    <row r="3989" spans="5:7" x14ac:dyDescent="0.45">
      <c r="E3989" s="32" t="str">
        <f t="shared" si="186"/>
        <v>.0</v>
      </c>
      <c r="F3989" s="32" t="str">
        <f t="shared" si="187"/>
        <v>.0</v>
      </c>
      <c r="G3989" s="37" t="str">
        <f t="shared" si="188"/>
        <v/>
      </c>
    </row>
    <row r="3990" spans="5:7" x14ac:dyDescent="0.45">
      <c r="E3990" s="32" t="str">
        <f t="shared" si="186"/>
        <v>.0</v>
      </c>
      <c r="F3990" s="32" t="str">
        <f t="shared" si="187"/>
        <v>.0</v>
      </c>
      <c r="G3990" s="37" t="str">
        <f t="shared" si="188"/>
        <v/>
      </c>
    </row>
    <row r="3991" spans="5:7" x14ac:dyDescent="0.45">
      <c r="E3991" s="32" t="str">
        <f t="shared" si="186"/>
        <v>.0</v>
      </c>
      <c r="F3991" s="32" t="str">
        <f t="shared" si="187"/>
        <v>.0</v>
      </c>
      <c r="G3991" s="37" t="str">
        <f t="shared" si="188"/>
        <v/>
      </c>
    </row>
    <row r="3992" spans="5:7" x14ac:dyDescent="0.45">
      <c r="E3992" s="32" t="str">
        <f t="shared" si="186"/>
        <v>.0</v>
      </c>
      <c r="F3992" s="32" t="str">
        <f t="shared" si="187"/>
        <v>.0</v>
      </c>
      <c r="G3992" s="37" t="str">
        <f t="shared" si="188"/>
        <v/>
      </c>
    </row>
    <row r="3993" spans="5:7" x14ac:dyDescent="0.45">
      <c r="E3993" s="32" t="str">
        <f t="shared" si="186"/>
        <v>.0</v>
      </c>
      <c r="F3993" s="32" t="str">
        <f t="shared" si="187"/>
        <v>.0</v>
      </c>
      <c r="G3993" s="37" t="str">
        <f t="shared" si="188"/>
        <v/>
      </c>
    </row>
    <row r="3994" spans="5:7" x14ac:dyDescent="0.45">
      <c r="E3994" s="32" t="str">
        <f t="shared" si="186"/>
        <v>.0</v>
      </c>
      <c r="F3994" s="32" t="str">
        <f t="shared" si="187"/>
        <v>.0</v>
      </c>
      <c r="G3994" s="37" t="str">
        <f t="shared" si="188"/>
        <v/>
      </c>
    </row>
    <row r="3995" spans="5:7" x14ac:dyDescent="0.45">
      <c r="E3995" s="32" t="str">
        <f t="shared" si="186"/>
        <v>.0</v>
      </c>
      <c r="F3995" s="32" t="str">
        <f t="shared" si="187"/>
        <v>.0</v>
      </c>
      <c r="G3995" s="37" t="str">
        <f t="shared" si="188"/>
        <v/>
      </c>
    </row>
    <row r="3996" spans="5:7" x14ac:dyDescent="0.45">
      <c r="E3996" s="32" t="str">
        <f t="shared" si="186"/>
        <v>.0</v>
      </c>
      <c r="F3996" s="32" t="str">
        <f t="shared" si="187"/>
        <v>.0</v>
      </c>
      <c r="G3996" s="37" t="str">
        <f t="shared" si="188"/>
        <v/>
      </c>
    </row>
    <row r="3997" spans="5:7" x14ac:dyDescent="0.45">
      <c r="E3997" s="32" t="str">
        <f t="shared" si="186"/>
        <v>.0</v>
      </c>
      <c r="F3997" s="32" t="str">
        <f t="shared" si="187"/>
        <v>.0</v>
      </c>
      <c r="G3997" s="37" t="str">
        <f t="shared" si="188"/>
        <v/>
      </c>
    </row>
    <row r="3998" spans="5:7" x14ac:dyDescent="0.45">
      <c r="E3998" s="32" t="str">
        <f t="shared" ref="E3998:E4061" si="189">MID(B3998,3,2)&amp;"."&amp;IF(C3998&lt;10,"0"&amp;C3998,C3998)</f>
        <v>.0</v>
      </c>
      <c r="F3998" s="32" t="str">
        <f t="shared" ref="F3998:F4061" si="190">MID(B3998,3,2)&amp;"."&amp;IF(C3998&lt;10,"0"&amp;C3998,C3998)</f>
        <v>.0</v>
      </c>
      <c r="G3998" s="37" t="str">
        <f t="shared" ref="G3998:G4061" si="191">TEXT(D3998,"#,###,")</f>
        <v/>
      </c>
    </row>
    <row r="3999" spans="5:7" x14ac:dyDescent="0.45">
      <c r="E3999" s="32" t="str">
        <f t="shared" si="189"/>
        <v>.0</v>
      </c>
      <c r="F3999" s="32" t="str">
        <f t="shared" si="190"/>
        <v>.0</v>
      </c>
      <c r="G3999" s="37" t="str">
        <f t="shared" si="191"/>
        <v/>
      </c>
    </row>
    <row r="4000" spans="5:7" x14ac:dyDescent="0.45">
      <c r="E4000" s="32" t="str">
        <f t="shared" si="189"/>
        <v>.0</v>
      </c>
      <c r="F4000" s="32" t="str">
        <f t="shared" si="190"/>
        <v>.0</v>
      </c>
      <c r="G4000" s="37" t="str">
        <f t="shared" si="191"/>
        <v/>
      </c>
    </row>
    <row r="4001" spans="5:7" x14ac:dyDescent="0.45">
      <c r="E4001" s="32" t="str">
        <f t="shared" si="189"/>
        <v>.0</v>
      </c>
      <c r="F4001" s="32" t="str">
        <f t="shared" si="190"/>
        <v>.0</v>
      </c>
      <c r="G4001" s="37" t="str">
        <f t="shared" si="191"/>
        <v/>
      </c>
    </row>
    <row r="4002" spans="5:7" x14ac:dyDescent="0.45">
      <c r="E4002" s="32" t="str">
        <f t="shared" si="189"/>
        <v>.0</v>
      </c>
      <c r="F4002" s="32" t="str">
        <f t="shared" si="190"/>
        <v>.0</v>
      </c>
      <c r="G4002" s="37" t="str">
        <f t="shared" si="191"/>
        <v/>
      </c>
    </row>
    <row r="4003" spans="5:7" x14ac:dyDescent="0.45">
      <c r="E4003" s="32" t="str">
        <f t="shared" si="189"/>
        <v>.0</v>
      </c>
      <c r="F4003" s="32" t="str">
        <f t="shared" si="190"/>
        <v>.0</v>
      </c>
      <c r="G4003" s="37" t="str">
        <f t="shared" si="191"/>
        <v/>
      </c>
    </row>
    <row r="4004" spans="5:7" x14ac:dyDescent="0.45">
      <c r="E4004" s="32" t="str">
        <f t="shared" si="189"/>
        <v>.0</v>
      </c>
      <c r="F4004" s="32" t="str">
        <f t="shared" si="190"/>
        <v>.0</v>
      </c>
      <c r="G4004" s="37" t="str">
        <f t="shared" si="191"/>
        <v/>
      </c>
    </row>
    <row r="4005" spans="5:7" x14ac:dyDescent="0.45">
      <c r="E4005" s="32" t="str">
        <f t="shared" si="189"/>
        <v>.0</v>
      </c>
      <c r="F4005" s="32" t="str">
        <f t="shared" si="190"/>
        <v>.0</v>
      </c>
      <c r="G4005" s="37" t="str">
        <f t="shared" si="191"/>
        <v/>
      </c>
    </row>
    <row r="4006" spans="5:7" x14ac:dyDescent="0.45">
      <c r="E4006" s="32" t="str">
        <f t="shared" si="189"/>
        <v>.0</v>
      </c>
      <c r="F4006" s="32" t="str">
        <f t="shared" si="190"/>
        <v>.0</v>
      </c>
      <c r="G4006" s="37" t="str">
        <f t="shared" si="191"/>
        <v/>
      </c>
    </row>
    <row r="4007" spans="5:7" x14ac:dyDescent="0.45">
      <c r="E4007" s="32" t="str">
        <f t="shared" si="189"/>
        <v>.0</v>
      </c>
      <c r="F4007" s="32" t="str">
        <f t="shared" si="190"/>
        <v>.0</v>
      </c>
      <c r="G4007" s="37" t="str">
        <f t="shared" si="191"/>
        <v/>
      </c>
    </row>
    <row r="4008" spans="5:7" x14ac:dyDescent="0.45">
      <c r="E4008" s="32" t="str">
        <f t="shared" si="189"/>
        <v>.0</v>
      </c>
      <c r="F4008" s="32" t="str">
        <f t="shared" si="190"/>
        <v>.0</v>
      </c>
      <c r="G4008" s="37" t="str">
        <f t="shared" si="191"/>
        <v/>
      </c>
    </row>
    <row r="4009" spans="5:7" x14ac:dyDescent="0.45">
      <c r="E4009" s="32" t="str">
        <f t="shared" si="189"/>
        <v>.0</v>
      </c>
      <c r="F4009" s="32" t="str">
        <f t="shared" si="190"/>
        <v>.0</v>
      </c>
      <c r="G4009" s="37" t="str">
        <f t="shared" si="191"/>
        <v/>
      </c>
    </row>
    <row r="4010" spans="5:7" x14ac:dyDescent="0.45">
      <c r="E4010" s="32" t="str">
        <f t="shared" si="189"/>
        <v>.0</v>
      </c>
      <c r="F4010" s="32" t="str">
        <f t="shared" si="190"/>
        <v>.0</v>
      </c>
      <c r="G4010" s="37" t="str">
        <f t="shared" si="191"/>
        <v/>
      </c>
    </row>
    <row r="4011" spans="5:7" x14ac:dyDescent="0.45">
      <c r="E4011" s="32" t="str">
        <f t="shared" si="189"/>
        <v>.0</v>
      </c>
      <c r="F4011" s="32" t="str">
        <f t="shared" si="190"/>
        <v>.0</v>
      </c>
      <c r="G4011" s="37" t="str">
        <f t="shared" si="191"/>
        <v/>
      </c>
    </row>
    <row r="4012" spans="5:7" x14ac:dyDescent="0.45">
      <c r="E4012" s="32" t="str">
        <f t="shared" si="189"/>
        <v>.0</v>
      </c>
      <c r="F4012" s="32" t="str">
        <f t="shared" si="190"/>
        <v>.0</v>
      </c>
      <c r="G4012" s="37" t="str">
        <f t="shared" si="191"/>
        <v/>
      </c>
    </row>
    <row r="4013" spans="5:7" x14ac:dyDescent="0.45">
      <c r="E4013" s="32" t="str">
        <f t="shared" si="189"/>
        <v>.0</v>
      </c>
      <c r="F4013" s="32" t="str">
        <f t="shared" si="190"/>
        <v>.0</v>
      </c>
      <c r="G4013" s="37" t="str">
        <f t="shared" si="191"/>
        <v/>
      </c>
    </row>
    <row r="4014" spans="5:7" x14ac:dyDescent="0.45">
      <c r="E4014" s="32" t="str">
        <f t="shared" si="189"/>
        <v>.0</v>
      </c>
      <c r="F4014" s="32" t="str">
        <f t="shared" si="190"/>
        <v>.0</v>
      </c>
      <c r="G4014" s="37" t="str">
        <f t="shared" si="191"/>
        <v/>
      </c>
    </row>
    <row r="4015" spans="5:7" x14ac:dyDescent="0.45">
      <c r="E4015" s="32" t="str">
        <f t="shared" si="189"/>
        <v>.0</v>
      </c>
      <c r="F4015" s="32" t="str">
        <f t="shared" si="190"/>
        <v>.0</v>
      </c>
      <c r="G4015" s="37" t="str">
        <f t="shared" si="191"/>
        <v/>
      </c>
    </row>
    <row r="4016" spans="5:7" x14ac:dyDescent="0.45">
      <c r="E4016" s="32" t="str">
        <f t="shared" si="189"/>
        <v>.0</v>
      </c>
      <c r="F4016" s="32" t="str">
        <f t="shared" si="190"/>
        <v>.0</v>
      </c>
      <c r="G4016" s="37" t="str">
        <f t="shared" si="191"/>
        <v/>
      </c>
    </row>
    <row r="4017" spans="5:7" x14ac:dyDescent="0.45">
      <c r="E4017" s="32" t="str">
        <f t="shared" si="189"/>
        <v>.0</v>
      </c>
      <c r="F4017" s="32" t="str">
        <f t="shared" si="190"/>
        <v>.0</v>
      </c>
      <c r="G4017" s="37" t="str">
        <f t="shared" si="191"/>
        <v/>
      </c>
    </row>
    <row r="4018" spans="5:7" x14ac:dyDescent="0.45">
      <c r="E4018" s="32" t="str">
        <f t="shared" si="189"/>
        <v>.0</v>
      </c>
      <c r="F4018" s="32" t="str">
        <f t="shared" si="190"/>
        <v>.0</v>
      </c>
      <c r="G4018" s="37" t="str">
        <f t="shared" si="191"/>
        <v/>
      </c>
    </row>
    <row r="4019" spans="5:7" x14ac:dyDescent="0.45">
      <c r="E4019" s="32" t="str">
        <f t="shared" si="189"/>
        <v>.0</v>
      </c>
      <c r="F4019" s="32" t="str">
        <f t="shared" si="190"/>
        <v>.0</v>
      </c>
      <c r="G4019" s="37" t="str">
        <f t="shared" si="191"/>
        <v/>
      </c>
    </row>
    <row r="4020" spans="5:7" x14ac:dyDescent="0.45">
      <c r="E4020" s="32" t="str">
        <f t="shared" si="189"/>
        <v>.0</v>
      </c>
      <c r="F4020" s="32" t="str">
        <f t="shared" si="190"/>
        <v>.0</v>
      </c>
      <c r="G4020" s="37" t="str">
        <f t="shared" si="191"/>
        <v/>
      </c>
    </row>
    <row r="4021" spans="5:7" x14ac:dyDescent="0.45">
      <c r="E4021" s="32" t="str">
        <f t="shared" si="189"/>
        <v>.0</v>
      </c>
      <c r="F4021" s="32" t="str">
        <f t="shared" si="190"/>
        <v>.0</v>
      </c>
      <c r="G4021" s="37" t="str">
        <f t="shared" si="191"/>
        <v/>
      </c>
    </row>
    <row r="4022" spans="5:7" x14ac:dyDescent="0.45">
      <c r="E4022" s="32" t="str">
        <f t="shared" si="189"/>
        <v>.0</v>
      </c>
      <c r="F4022" s="32" t="str">
        <f t="shared" si="190"/>
        <v>.0</v>
      </c>
      <c r="G4022" s="37" t="str">
        <f t="shared" si="191"/>
        <v/>
      </c>
    </row>
    <row r="4023" spans="5:7" x14ac:dyDescent="0.45">
      <c r="E4023" s="32" t="str">
        <f t="shared" si="189"/>
        <v>.0</v>
      </c>
      <c r="F4023" s="32" t="str">
        <f t="shared" si="190"/>
        <v>.0</v>
      </c>
      <c r="G4023" s="37" t="str">
        <f t="shared" si="191"/>
        <v/>
      </c>
    </row>
    <row r="4024" spans="5:7" x14ac:dyDescent="0.45">
      <c r="E4024" s="32" t="str">
        <f t="shared" si="189"/>
        <v>.0</v>
      </c>
      <c r="F4024" s="32" t="str">
        <f t="shared" si="190"/>
        <v>.0</v>
      </c>
      <c r="G4024" s="37" t="str">
        <f t="shared" si="191"/>
        <v/>
      </c>
    </row>
    <row r="4025" spans="5:7" x14ac:dyDescent="0.45">
      <c r="E4025" s="32" t="str">
        <f t="shared" si="189"/>
        <v>.0</v>
      </c>
      <c r="F4025" s="32" t="str">
        <f t="shared" si="190"/>
        <v>.0</v>
      </c>
      <c r="G4025" s="37" t="str">
        <f t="shared" si="191"/>
        <v/>
      </c>
    </row>
    <row r="4026" spans="5:7" x14ac:dyDescent="0.45">
      <c r="E4026" s="32" t="str">
        <f t="shared" si="189"/>
        <v>.0</v>
      </c>
      <c r="F4026" s="32" t="str">
        <f t="shared" si="190"/>
        <v>.0</v>
      </c>
      <c r="G4026" s="37" t="str">
        <f t="shared" si="191"/>
        <v/>
      </c>
    </row>
    <row r="4027" spans="5:7" x14ac:dyDescent="0.45">
      <c r="E4027" s="32" t="str">
        <f t="shared" si="189"/>
        <v>.0</v>
      </c>
      <c r="F4027" s="32" t="str">
        <f t="shared" si="190"/>
        <v>.0</v>
      </c>
      <c r="G4027" s="37" t="str">
        <f t="shared" si="191"/>
        <v/>
      </c>
    </row>
    <row r="4028" spans="5:7" x14ac:dyDescent="0.45">
      <c r="E4028" s="32" t="str">
        <f t="shared" si="189"/>
        <v>.0</v>
      </c>
      <c r="F4028" s="32" t="str">
        <f t="shared" si="190"/>
        <v>.0</v>
      </c>
      <c r="G4028" s="37" t="str">
        <f t="shared" si="191"/>
        <v/>
      </c>
    </row>
    <row r="4029" spans="5:7" x14ac:dyDescent="0.45">
      <c r="E4029" s="32" t="str">
        <f t="shared" si="189"/>
        <v>.0</v>
      </c>
      <c r="F4029" s="32" t="str">
        <f t="shared" si="190"/>
        <v>.0</v>
      </c>
      <c r="G4029" s="37" t="str">
        <f t="shared" si="191"/>
        <v/>
      </c>
    </row>
    <row r="4030" spans="5:7" x14ac:dyDescent="0.45">
      <c r="E4030" s="32" t="str">
        <f t="shared" si="189"/>
        <v>.0</v>
      </c>
      <c r="F4030" s="32" t="str">
        <f t="shared" si="190"/>
        <v>.0</v>
      </c>
      <c r="G4030" s="37" t="str">
        <f t="shared" si="191"/>
        <v/>
      </c>
    </row>
    <row r="4031" spans="5:7" x14ac:dyDescent="0.45">
      <c r="E4031" s="32" t="str">
        <f t="shared" si="189"/>
        <v>.0</v>
      </c>
      <c r="F4031" s="32" t="str">
        <f t="shared" si="190"/>
        <v>.0</v>
      </c>
      <c r="G4031" s="37" t="str">
        <f t="shared" si="191"/>
        <v/>
      </c>
    </row>
    <row r="4032" spans="5:7" x14ac:dyDescent="0.45">
      <c r="E4032" s="32" t="str">
        <f t="shared" si="189"/>
        <v>.0</v>
      </c>
      <c r="F4032" s="32" t="str">
        <f t="shared" si="190"/>
        <v>.0</v>
      </c>
      <c r="G4032" s="37" t="str">
        <f t="shared" si="191"/>
        <v/>
      </c>
    </row>
    <row r="4033" spans="5:7" x14ac:dyDescent="0.45">
      <c r="E4033" s="32" t="str">
        <f t="shared" si="189"/>
        <v>.0</v>
      </c>
      <c r="F4033" s="32" t="str">
        <f t="shared" si="190"/>
        <v>.0</v>
      </c>
      <c r="G4033" s="37" t="str">
        <f t="shared" si="191"/>
        <v/>
      </c>
    </row>
    <row r="4034" spans="5:7" x14ac:dyDescent="0.45">
      <c r="E4034" s="32" t="str">
        <f t="shared" si="189"/>
        <v>.0</v>
      </c>
      <c r="F4034" s="32" t="str">
        <f t="shared" si="190"/>
        <v>.0</v>
      </c>
      <c r="G4034" s="37" t="str">
        <f t="shared" si="191"/>
        <v/>
      </c>
    </row>
    <row r="4035" spans="5:7" x14ac:dyDescent="0.45">
      <c r="E4035" s="32" t="str">
        <f t="shared" si="189"/>
        <v>.0</v>
      </c>
      <c r="F4035" s="32" t="str">
        <f t="shared" si="190"/>
        <v>.0</v>
      </c>
      <c r="G4035" s="37" t="str">
        <f t="shared" si="191"/>
        <v/>
      </c>
    </row>
    <row r="4036" spans="5:7" x14ac:dyDescent="0.45">
      <c r="E4036" s="32" t="str">
        <f t="shared" si="189"/>
        <v>.0</v>
      </c>
      <c r="F4036" s="32" t="str">
        <f t="shared" si="190"/>
        <v>.0</v>
      </c>
      <c r="G4036" s="37" t="str">
        <f t="shared" si="191"/>
        <v/>
      </c>
    </row>
    <row r="4037" spans="5:7" x14ac:dyDescent="0.45">
      <c r="E4037" s="32" t="str">
        <f t="shared" si="189"/>
        <v>.0</v>
      </c>
      <c r="F4037" s="32" t="str">
        <f t="shared" si="190"/>
        <v>.0</v>
      </c>
      <c r="G4037" s="37" t="str">
        <f t="shared" si="191"/>
        <v/>
      </c>
    </row>
    <row r="4038" spans="5:7" x14ac:dyDescent="0.45">
      <c r="E4038" s="32" t="str">
        <f t="shared" si="189"/>
        <v>.0</v>
      </c>
      <c r="F4038" s="32" t="str">
        <f t="shared" si="190"/>
        <v>.0</v>
      </c>
      <c r="G4038" s="37" t="str">
        <f t="shared" si="191"/>
        <v/>
      </c>
    </row>
    <row r="4039" spans="5:7" x14ac:dyDescent="0.45">
      <c r="E4039" s="32" t="str">
        <f t="shared" si="189"/>
        <v>.0</v>
      </c>
      <c r="F4039" s="32" t="str">
        <f t="shared" si="190"/>
        <v>.0</v>
      </c>
      <c r="G4039" s="37" t="str">
        <f t="shared" si="191"/>
        <v/>
      </c>
    </row>
    <row r="4040" spans="5:7" x14ac:dyDescent="0.45">
      <c r="E4040" s="32" t="str">
        <f t="shared" si="189"/>
        <v>.0</v>
      </c>
      <c r="F4040" s="32" t="str">
        <f t="shared" si="190"/>
        <v>.0</v>
      </c>
      <c r="G4040" s="37" t="str">
        <f t="shared" si="191"/>
        <v/>
      </c>
    </row>
    <row r="4041" spans="5:7" x14ac:dyDescent="0.45">
      <c r="E4041" s="32" t="str">
        <f t="shared" si="189"/>
        <v>.0</v>
      </c>
      <c r="F4041" s="32" t="str">
        <f t="shared" si="190"/>
        <v>.0</v>
      </c>
      <c r="G4041" s="37" t="str">
        <f t="shared" si="191"/>
        <v/>
      </c>
    </row>
    <row r="4042" spans="5:7" x14ac:dyDescent="0.45">
      <c r="E4042" s="32" t="str">
        <f t="shared" si="189"/>
        <v>.0</v>
      </c>
      <c r="F4042" s="32" t="str">
        <f t="shared" si="190"/>
        <v>.0</v>
      </c>
      <c r="G4042" s="37" t="str">
        <f t="shared" si="191"/>
        <v/>
      </c>
    </row>
    <row r="4043" spans="5:7" x14ac:dyDescent="0.45">
      <c r="E4043" s="32" t="str">
        <f t="shared" si="189"/>
        <v>.0</v>
      </c>
      <c r="F4043" s="32" t="str">
        <f t="shared" si="190"/>
        <v>.0</v>
      </c>
      <c r="G4043" s="37" t="str">
        <f t="shared" si="191"/>
        <v/>
      </c>
    </row>
    <row r="4044" spans="5:7" x14ac:dyDescent="0.45">
      <c r="E4044" s="32" t="str">
        <f t="shared" si="189"/>
        <v>.0</v>
      </c>
      <c r="F4044" s="32" t="str">
        <f t="shared" si="190"/>
        <v>.0</v>
      </c>
      <c r="G4044" s="37" t="str">
        <f t="shared" si="191"/>
        <v/>
      </c>
    </row>
    <row r="4045" spans="5:7" x14ac:dyDescent="0.45">
      <c r="E4045" s="32" t="str">
        <f t="shared" si="189"/>
        <v>.0</v>
      </c>
      <c r="F4045" s="32" t="str">
        <f t="shared" si="190"/>
        <v>.0</v>
      </c>
      <c r="G4045" s="37" t="str">
        <f t="shared" si="191"/>
        <v/>
      </c>
    </row>
    <row r="4046" spans="5:7" x14ac:dyDescent="0.45">
      <c r="E4046" s="32" t="str">
        <f t="shared" si="189"/>
        <v>.0</v>
      </c>
      <c r="F4046" s="32" t="str">
        <f t="shared" si="190"/>
        <v>.0</v>
      </c>
      <c r="G4046" s="37" t="str">
        <f t="shared" si="191"/>
        <v/>
      </c>
    </row>
    <row r="4047" spans="5:7" x14ac:dyDescent="0.45">
      <c r="E4047" s="32" t="str">
        <f t="shared" si="189"/>
        <v>.0</v>
      </c>
      <c r="F4047" s="32" t="str">
        <f t="shared" si="190"/>
        <v>.0</v>
      </c>
      <c r="G4047" s="37" t="str">
        <f t="shared" si="191"/>
        <v/>
      </c>
    </row>
    <row r="4048" spans="5:7" x14ac:dyDescent="0.45">
      <c r="E4048" s="32" t="str">
        <f t="shared" si="189"/>
        <v>.0</v>
      </c>
      <c r="F4048" s="32" t="str">
        <f t="shared" si="190"/>
        <v>.0</v>
      </c>
      <c r="G4048" s="37" t="str">
        <f t="shared" si="191"/>
        <v/>
      </c>
    </row>
    <row r="4049" spans="5:7" x14ac:dyDescent="0.45">
      <c r="E4049" s="32" t="str">
        <f t="shared" si="189"/>
        <v>.0</v>
      </c>
      <c r="F4049" s="32" t="str">
        <f t="shared" si="190"/>
        <v>.0</v>
      </c>
      <c r="G4049" s="37" t="str">
        <f t="shared" si="191"/>
        <v/>
      </c>
    </row>
    <row r="4050" spans="5:7" x14ac:dyDescent="0.45">
      <c r="E4050" s="32" t="str">
        <f t="shared" si="189"/>
        <v>.0</v>
      </c>
      <c r="F4050" s="32" t="str">
        <f t="shared" si="190"/>
        <v>.0</v>
      </c>
      <c r="G4050" s="37" t="str">
        <f t="shared" si="191"/>
        <v/>
      </c>
    </row>
    <row r="4051" spans="5:7" x14ac:dyDescent="0.45">
      <c r="E4051" s="32" t="str">
        <f t="shared" si="189"/>
        <v>.0</v>
      </c>
      <c r="F4051" s="32" t="str">
        <f t="shared" si="190"/>
        <v>.0</v>
      </c>
      <c r="G4051" s="37" t="str">
        <f t="shared" si="191"/>
        <v/>
      </c>
    </row>
    <row r="4052" spans="5:7" x14ac:dyDescent="0.45">
      <c r="E4052" s="32" t="str">
        <f t="shared" si="189"/>
        <v>.0</v>
      </c>
      <c r="F4052" s="32" t="str">
        <f t="shared" si="190"/>
        <v>.0</v>
      </c>
      <c r="G4052" s="37" t="str">
        <f t="shared" si="191"/>
        <v/>
      </c>
    </row>
    <row r="4053" spans="5:7" x14ac:dyDescent="0.45">
      <c r="E4053" s="32" t="str">
        <f t="shared" si="189"/>
        <v>.0</v>
      </c>
      <c r="F4053" s="32" t="str">
        <f t="shared" si="190"/>
        <v>.0</v>
      </c>
      <c r="G4053" s="37" t="str">
        <f t="shared" si="191"/>
        <v/>
      </c>
    </row>
    <row r="4054" spans="5:7" x14ac:dyDescent="0.45">
      <c r="E4054" s="32" t="str">
        <f t="shared" si="189"/>
        <v>.0</v>
      </c>
      <c r="F4054" s="32" t="str">
        <f t="shared" si="190"/>
        <v>.0</v>
      </c>
      <c r="G4054" s="37" t="str">
        <f t="shared" si="191"/>
        <v/>
      </c>
    </row>
    <row r="4055" spans="5:7" x14ac:dyDescent="0.45">
      <c r="E4055" s="32" t="str">
        <f t="shared" si="189"/>
        <v>.0</v>
      </c>
      <c r="F4055" s="32" t="str">
        <f t="shared" si="190"/>
        <v>.0</v>
      </c>
      <c r="G4055" s="37" t="str">
        <f t="shared" si="191"/>
        <v/>
      </c>
    </row>
    <row r="4056" spans="5:7" x14ac:dyDescent="0.45">
      <c r="E4056" s="32" t="str">
        <f t="shared" si="189"/>
        <v>.0</v>
      </c>
      <c r="F4056" s="32" t="str">
        <f t="shared" si="190"/>
        <v>.0</v>
      </c>
      <c r="G4056" s="37" t="str">
        <f t="shared" si="191"/>
        <v/>
      </c>
    </row>
    <row r="4057" spans="5:7" x14ac:dyDescent="0.45">
      <c r="E4057" s="32" t="str">
        <f t="shared" si="189"/>
        <v>.0</v>
      </c>
      <c r="F4057" s="32" t="str">
        <f t="shared" si="190"/>
        <v>.0</v>
      </c>
      <c r="G4057" s="37" t="str">
        <f t="shared" si="191"/>
        <v/>
      </c>
    </row>
    <row r="4058" spans="5:7" x14ac:dyDescent="0.45">
      <c r="E4058" s="32" t="str">
        <f t="shared" si="189"/>
        <v>.0</v>
      </c>
      <c r="F4058" s="32" t="str">
        <f t="shared" si="190"/>
        <v>.0</v>
      </c>
      <c r="G4058" s="37" t="str">
        <f t="shared" si="191"/>
        <v/>
      </c>
    </row>
    <row r="4059" spans="5:7" x14ac:dyDescent="0.45">
      <c r="E4059" s="32" t="str">
        <f t="shared" si="189"/>
        <v>.0</v>
      </c>
      <c r="F4059" s="32" t="str">
        <f t="shared" si="190"/>
        <v>.0</v>
      </c>
      <c r="G4059" s="37" t="str">
        <f t="shared" si="191"/>
        <v/>
      </c>
    </row>
    <row r="4060" spans="5:7" x14ac:dyDescent="0.45">
      <c r="E4060" s="32" t="str">
        <f t="shared" si="189"/>
        <v>.0</v>
      </c>
      <c r="F4060" s="32" t="str">
        <f t="shared" si="190"/>
        <v>.0</v>
      </c>
      <c r="G4060" s="37" t="str">
        <f t="shared" si="191"/>
        <v/>
      </c>
    </row>
    <row r="4061" spans="5:7" x14ac:dyDescent="0.45">
      <c r="E4061" s="32" t="str">
        <f t="shared" si="189"/>
        <v>.0</v>
      </c>
      <c r="F4061" s="32" t="str">
        <f t="shared" si="190"/>
        <v>.0</v>
      </c>
      <c r="G4061" s="37" t="str">
        <f t="shared" si="191"/>
        <v/>
      </c>
    </row>
    <row r="4062" spans="5:7" x14ac:dyDescent="0.45">
      <c r="E4062" s="32" t="str">
        <f t="shared" ref="E4062:E4125" si="192">MID(B4062,3,2)&amp;"."&amp;IF(C4062&lt;10,"0"&amp;C4062,C4062)</f>
        <v>.0</v>
      </c>
      <c r="F4062" s="32" t="str">
        <f t="shared" ref="F4062:F4125" si="193">MID(B4062,3,2)&amp;"."&amp;IF(C4062&lt;10,"0"&amp;C4062,C4062)</f>
        <v>.0</v>
      </c>
      <c r="G4062" s="37" t="str">
        <f t="shared" ref="G4062:G4125" si="194">TEXT(D4062,"#,###,")</f>
        <v/>
      </c>
    </row>
    <row r="4063" spans="5:7" x14ac:dyDescent="0.45">
      <c r="E4063" s="32" t="str">
        <f t="shared" si="192"/>
        <v>.0</v>
      </c>
      <c r="F4063" s="32" t="str">
        <f t="shared" si="193"/>
        <v>.0</v>
      </c>
      <c r="G4063" s="37" t="str">
        <f t="shared" si="194"/>
        <v/>
      </c>
    </row>
    <row r="4064" spans="5:7" x14ac:dyDescent="0.45">
      <c r="E4064" s="32" t="str">
        <f t="shared" si="192"/>
        <v>.0</v>
      </c>
      <c r="F4064" s="32" t="str">
        <f t="shared" si="193"/>
        <v>.0</v>
      </c>
      <c r="G4064" s="37" t="str">
        <f t="shared" si="194"/>
        <v/>
      </c>
    </row>
    <row r="4065" spans="5:7" x14ac:dyDescent="0.45">
      <c r="E4065" s="32" t="str">
        <f t="shared" si="192"/>
        <v>.0</v>
      </c>
      <c r="F4065" s="32" t="str">
        <f t="shared" si="193"/>
        <v>.0</v>
      </c>
      <c r="G4065" s="37" t="str">
        <f t="shared" si="194"/>
        <v/>
      </c>
    </row>
    <row r="4066" spans="5:7" x14ac:dyDescent="0.45">
      <c r="E4066" s="32" t="str">
        <f t="shared" si="192"/>
        <v>.0</v>
      </c>
      <c r="F4066" s="32" t="str">
        <f t="shared" si="193"/>
        <v>.0</v>
      </c>
      <c r="G4066" s="37" t="str">
        <f t="shared" si="194"/>
        <v/>
      </c>
    </row>
    <row r="4067" spans="5:7" x14ac:dyDescent="0.45">
      <c r="E4067" s="32" t="str">
        <f t="shared" si="192"/>
        <v>.0</v>
      </c>
      <c r="F4067" s="32" t="str">
        <f t="shared" si="193"/>
        <v>.0</v>
      </c>
      <c r="G4067" s="37" t="str">
        <f t="shared" si="194"/>
        <v/>
      </c>
    </row>
    <row r="4068" spans="5:7" x14ac:dyDescent="0.45">
      <c r="E4068" s="32" t="str">
        <f t="shared" si="192"/>
        <v>.0</v>
      </c>
      <c r="F4068" s="32" t="str">
        <f t="shared" si="193"/>
        <v>.0</v>
      </c>
      <c r="G4068" s="37" t="str">
        <f t="shared" si="194"/>
        <v/>
      </c>
    </row>
    <row r="4069" spans="5:7" x14ac:dyDescent="0.45">
      <c r="E4069" s="32" t="str">
        <f t="shared" si="192"/>
        <v>.0</v>
      </c>
      <c r="F4069" s="32" t="str">
        <f t="shared" si="193"/>
        <v>.0</v>
      </c>
      <c r="G4069" s="37" t="str">
        <f t="shared" si="194"/>
        <v/>
      </c>
    </row>
    <row r="4070" spans="5:7" x14ac:dyDescent="0.45">
      <c r="E4070" s="32" t="str">
        <f t="shared" si="192"/>
        <v>.0</v>
      </c>
      <c r="F4070" s="32" t="str">
        <f t="shared" si="193"/>
        <v>.0</v>
      </c>
      <c r="G4070" s="37" t="str">
        <f t="shared" si="194"/>
        <v/>
      </c>
    </row>
    <row r="4071" spans="5:7" x14ac:dyDescent="0.45">
      <c r="E4071" s="32" t="str">
        <f t="shared" si="192"/>
        <v>.0</v>
      </c>
      <c r="F4071" s="32" t="str">
        <f t="shared" si="193"/>
        <v>.0</v>
      </c>
      <c r="G4071" s="37" t="str">
        <f t="shared" si="194"/>
        <v/>
      </c>
    </row>
    <row r="4072" spans="5:7" x14ac:dyDescent="0.45">
      <c r="E4072" s="32" t="str">
        <f t="shared" si="192"/>
        <v>.0</v>
      </c>
      <c r="F4072" s="32" t="str">
        <f t="shared" si="193"/>
        <v>.0</v>
      </c>
      <c r="G4072" s="37" t="str">
        <f t="shared" si="194"/>
        <v/>
      </c>
    </row>
    <row r="4073" spans="5:7" x14ac:dyDescent="0.45">
      <c r="E4073" s="32" t="str">
        <f t="shared" si="192"/>
        <v>.0</v>
      </c>
      <c r="F4073" s="32" t="str">
        <f t="shared" si="193"/>
        <v>.0</v>
      </c>
      <c r="G4073" s="37" t="str">
        <f t="shared" si="194"/>
        <v/>
      </c>
    </row>
    <row r="4074" spans="5:7" x14ac:dyDescent="0.45">
      <c r="E4074" s="32" t="str">
        <f t="shared" si="192"/>
        <v>.0</v>
      </c>
      <c r="F4074" s="32" t="str">
        <f t="shared" si="193"/>
        <v>.0</v>
      </c>
      <c r="G4074" s="37" t="str">
        <f t="shared" si="194"/>
        <v/>
      </c>
    </row>
    <row r="4075" spans="5:7" x14ac:dyDescent="0.45">
      <c r="E4075" s="32" t="str">
        <f t="shared" si="192"/>
        <v>.0</v>
      </c>
      <c r="F4075" s="32" t="str">
        <f t="shared" si="193"/>
        <v>.0</v>
      </c>
      <c r="G4075" s="37" t="str">
        <f t="shared" si="194"/>
        <v/>
      </c>
    </row>
    <row r="4076" spans="5:7" x14ac:dyDescent="0.45">
      <c r="E4076" s="32" t="str">
        <f t="shared" si="192"/>
        <v>.0</v>
      </c>
      <c r="F4076" s="32" t="str">
        <f t="shared" si="193"/>
        <v>.0</v>
      </c>
      <c r="G4076" s="37" t="str">
        <f t="shared" si="194"/>
        <v/>
      </c>
    </row>
    <row r="4077" spans="5:7" x14ac:dyDescent="0.45">
      <c r="E4077" s="32" t="str">
        <f t="shared" si="192"/>
        <v>.0</v>
      </c>
      <c r="F4077" s="32" t="str">
        <f t="shared" si="193"/>
        <v>.0</v>
      </c>
      <c r="G4077" s="37" t="str">
        <f t="shared" si="194"/>
        <v/>
      </c>
    </row>
    <row r="4078" spans="5:7" x14ac:dyDescent="0.45">
      <c r="E4078" s="32" t="str">
        <f t="shared" si="192"/>
        <v>.0</v>
      </c>
      <c r="F4078" s="32" t="str">
        <f t="shared" si="193"/>
        <v>.0</v>
      </c>
      <c r="G4078" s="37" t="str">
        <f t="shared" si="194"/>
        <v/>
      </c>
    </row>
    <row r="4079" spans="5:7" x14ac:dyDescent="0.45">
      <c r="E4079" s="32" t="str">
        <f t="shared" si="192"/>
        <v>.0</v>
      </c>
      <c r="F4079" s="32" t="str">
        <f t="shared" si="193"/>
        <v>.0</v>
      </c>
      <c r="G4079" s="37" t="str">
        <f t="shared" si="194"/>
        <v/>
      </c>
    </row>
    <row r="4080" spans="5:7" x14ac:dyDescent="0.45">
      <c r="E4080" s="32" t="str">
        <f t="shared" si="192"/>
        <v>.0</v>
      </c>
      <c r="F4080" s="32" t="str">
        <f t="shared" si="193"/>
        <v>.0</v>
      </c>
      <c r="G4080" s="37" t="str">
        <f t="shared" si="194"/>
        <v/>
      </c>
    </row>
    <row r="4081" spans="5:7" x14ac:dyDescent="0.45">
      <c r="E4081" s="32" t="str">
        <f t="shared" si="192"/>
        <v>.0</v>
      </c>
      <c r="F4081" s="32" t="str">
        <f t="shared" si="193"/>
        <v>.0</v>
      </c>
      <c r="G4081" s="37" t="str">
        <f t="shared" si="194"/>
        <v/>
      </c>
    </row>
    <row r="4082" spans="5:7" x14ac:dyDescent="0.45">
      <c r="E4082" s="32" t="str">
        <f t="shared" si="192"/>
        <v>.0</v>
      </c>
      <c r="F4082" s="32" t="str">
        <f t="shared" si="193"/>
        <v>.0</v>
      </c>
      <c r="G4082" s="37" t="str">
        <f t="shared" si="194"/>
        <v/>
      </c>
    </row>
    <row r="4083" spans="5:7" x14ac:dyDescent="0.45">
      <c r="E4083" s="32" t="str">
        <f t="shared" si="192"/>
        <v>.0</v>
      </c>
      <c r="F4083" s="32" t="str">
        <f t="shared" si="193"/>
        <v>.0</v>
      </c>
      <c r="G4083" s="37" t="str">
        <f t="shared" si="194"/>
        <v/>
      </c>
    </row>
    <row r="4084" spans="5:7" x14ac:dyDescent="0.45">
      <c r="E4084" s="32" t="str">
        <f t="shared" si="192"/>
        <v>.0</v>
      </c>
      <c r="F4084" s="32" t="str">
        <f t="shared" si="193"/>
        <v>.0</v>
      </c>
      <c r="G4084" s="37" t="str">
        <f t="shared" si="194"/>
        <v/>
      </c>
    </row>
    <row r="4085" spans="5:7" x14ac:dyDescent="0.45">
      <c r="E4085" s="32" t="str">
        <f t="shared" si="192"/>
        <v>.0</v>
      </c>
      <c r="F4085" s="32" t="str">
        <f t="shared" si="193"/>
        <v>.0</v>
      </c>
      <c r="G4085" s="37" t="str">
        <f t="shared" si="194"/>
        <v/>
      </c>
    </row>
    <row r="4086" spans="5:7" x14ac:dyDescent="0.45">
      <c r="E4086" s="32" t="str">
        <f t="shared" si="192"/>
        <v>.0</v>
      </c>
      <c r="F4086" s="32" t="str">
        <f t="shared" si="193"/>
        <v>.0</v>
      </c>
      <c r="G4086" s="37" t="str">
        <f t="shared" si="194"/>
        <v/>
      </c>
    </row>
    <row r="4087" spans="5:7" x14ac:dyDescent="0.45">
      <c r="E4087" s="32" t="str">
        <f t="shared" si="192"/>
        <v>.0</v>
      </c>
      <c r="F4087" s="32" t="str">
        <f t="shared" si="193"/>
        <v>.0</v>
      </c>
      <c r="G4087" s="37" t="str">
        <f t="shared" si="194"/>
        <v/>
      </c>
    </row>
    <row r="4088" spans="5:7" x14ac:dyDescent="0.45">
      <c r="E4088" s="32" t="str">
        <f t="shared" si="192"/>
        <v>.0</v>
      </c>
      <c r="F4088" s="32" t="str">
        <f t="shared" si="193"/>
        <v>.0</v>
      </c>
      <c r="G4088" s="37" t="str">
        <f t="shared" si="194"/>
        <v/>
      </c>
    </row>
    <row r="4089" spans="5:7" x14ac:dyDescent="0.45">
      <c r="E4089" s="32" t="str">
        <f t="shared" si="192"/>
        <v>.0</v>
      </c>
      <c r="F4089" s="32" t="str">
        <f t="shared" si="193"/>
        <v>.0</v>
      </c>
      <c r="G4089" s="37" t="str">
        <f t="shared" si="194"/>
        <v/>
      </c>
    </row>
    <row r="4090" spans="5:7" x14ac:dyDescent="0.45">
      <c r="E4090" s="32" t="str">
        <f t="shared" si="192"/>
        <v>.0</v>
      </c>
      <c r="F4090" s="32" t="str">
        <f t="shared" si="193"/>
        <v>.0</v>
      </c>
      <c r="G4090" s="37" t="str">
        <f t="shared" si="194"/>
        <v/>
      </c>
    </row>
    <row r="4091" spans="5:7" x14ac:dyDescent="0.45">
      <c r="E4091" s="32" t="str">
        <f t="shared" si="192"/>
        <v>.0</v>
      </c>
      <c r="F4091" s="32" t="str">
        <f t="shared" si="193"/>
        <v>.0</v>
      </c>
      <c r="G4091" s="37" t="str">
        <f t="shared" si="194"/>
        <v/>
      </c>
    </row>
    <row r="4092" spans="5:7" x14ac:dyDescent="0.45">
      <c r="E4092" s="32" t="str">
        <f t="shared" si="192"/>
        <v>.0</v>
      </c>
      <c r="F4092" s="32" t="str">
        <f t="shared" si="193"/>
        <v>.0</v>
      </c>
      <c r="G4092" s="37" t="str">
        <f t="shared" si="194"/>
        <v/>
      </c>
    </row>
    <row r="4093" spans="5:7" x14ac:dyDescent="0.45">
      <c r="E4093" s="32" t="str">
        <f t="shared" si="192"/>
        <v>.0</v>
      </c>
      <c r="F4093" s="32" t="str">
        <f t="shared" si="193"/>
        <v>.0</v>
      </c>
      <c r="G4093" s="37" t="str">
        <f t="shared" si="194"/>
        <v/>
      </c>
    </row>
    <row r="4094" spans="5:7" x14ac:dyDescent="0.45">
      <c r="E4094" s="32" t="str">
        <f t="shared" si="192"/>
        <v>.0</v>
      </c>
      <c r="F4094" s="32" t="str">
        <f t="shared" si="193"/>
        <v>.0</v>
      </c>
      <c r="G4094" s="37" t="str">
        <f t="shared" si="194"/>
        <v/>
      </c>
    </row>
    <row r="4095" spans="5:7" x14ac:dyDescent="0.45">
      <c r="E4095" s="32" t="str">
        <f t="shared" si="192"/>
        <v>.0</v>
      </c>
      <c r="F4095" s="32" t="str">
        <f t="shared" si="193"/>
        <v>.0</v>
      </c>
      <c r="G4095" s="37" t="str">
        <f t="shared" si="194"/>
        <v/>
      </c>
    </row>
    <row r="4096" spans="5:7" x14ac:dyDescent="0.45">
      <c r="E4096" s="32" t="str">
        <f t="shared" si="192"/>
        <v>.0</v>
      </c>
      <c r="F4096" s="32" t="str">
        <f t="shared" si="193"/>
        <v>.0</v>
      </c>
      <c r="G4096" s="37" t="str">
        <f t="shared" si="194"/>
        <v/>
      </c>
    </row>
    <row r="4097" spans="5:7" x14ac:dyDescent="0.45">
      <c r="E4097" s="32" t="str">
        <f t="shared" si="192"/>
        <v>.0</v>
      </c>
      <c r="F4097" s="32" t="str">
        <f t="shared" si="193"/>
        <v>.0</v>
      </c>
      <c r="G4097" s="37" t="str">
        <f t="shared" si="194"/>
        <v/>
      </c>
    </row>
    <row r="4098" spans="5:7" x14ac:dyDescent="0.45">
      <c r="E4098" s="32" t="str">
        <f t="shared" si="192"/>
        <v>.0</v>
      </c>
      <c r="F4098" s="32" t="str">
        <f t="shared" si="193"/>
        <v>.0</v>
      </c>
      <c r="G4098" s="37" t="str">
        <f t="shared" si="194"/>
        <v/>
      </c>
    </row>
    <row r="4099" spans="5:7" x14ac:dyDescent="0.45">
      <c r="E4099" s="32" t="str">
        <f t="shared" si="192"/>
        <v>.0</v>
      </c>
      <c r="F4099" s="32" t="str">
        <f t="shared" si="193"/>
        <v>.0</v>
      </c>
      <c r="G4099" s="37" t="str">
        <f t="shared" si="194"/>
        <v/>
      </c>
    </row>
    <row r="4100" spans="5:7" x14ac:dyDescent="0.45">
      <c r="E4100" s="32" t="str">
        <f t="shared" si="192"/>
        <v>.0</v>
      </c>
      <c r="F4100" s="32" t="str">
        <f t="shared" si="193"/>
        <v>.0</v>
      </c>
      <c r="G4100" s="37" t="str">
        <f t="shared" si="194"/>
        <v/>
      </c>
    </row>
    <row r="4101" spans="5:7" x14ac:dyDescent="0.45">
      <c r="E4101" s="32" t="str">
        <f t="shared" si="192"/>
        <v>.0</v>
      </c>
      <c r="F4101" s="32" t="str">
        <f t="shared" si="193"/>
        <v>.0</v>
      </c>
      <c r="G4101" s="37" t="str">
        <f t="shared" si="194"/>
        <v/>
      </c>
    </row>
    <row r="4102" spans="5:7" x14ac:dyDescent="0.45">
      <c r="E4102" s="32" t="str">
        <f t="shared" si="192"/>
        <v>.0</v>
      </c>
      <c r="F4102" s="32" t="str">
        <f t="shared" si="193"/>
        <v>.0</v>
      </c>
      <c r="G4102" s="37" t="str">
        <f t="shared" si="194"/>
        <v/>
      </c>
    </row>
    <row r="4103" spans="5:7" x14ac:dyDescent="0.45">
      <c r="E4103" s="32" t="str">
        <f t="shared" si="192"/>
        <v>.0</v>
      </c>
      <c r="F4103" s="32" t="str">
        <f t="shared" si="193"/>
        <v>.0</v>
      </c>
      <c r="G4103" s="37" t="str">
        <f t="shared" si="194"/>
        <v/>
      </c>
    </row>
    <row r="4104" spans="5:7" x14ac:dyDescent="0.45">
      <c r="E4104" s="32" t="str">
        <f t="shared" si="192"/>
        <v>.0</v>
      </c>
      <c r="F4104" s="32" t="str">
        <f t="shared" si="193"/>
        <v>.0</v>
      </c>
      <c r="G4104" s="37" t="str">
        <f t="shared" si="194"/>
        <v/>
      </c>
    </row>
    <row r="4105" spans="5:7" x14ac:dyDescent="0.45">
      <c r="E4105" s="32" t="str">
        <f t="shared" si="192"/>
        <v>.0</v>
      </c>
      <c r="F4105" s="32" t="str">
        <f t="shared" si="193"/>
        <v>.0</v>
      </c>
      <c r="G4105" s="37" t="str">
        <f t="shared" si="194"/>
        <v/>
      </c>
    </row>
    <row r="4106" spans="5:7" x14ac:dyDescent="0.45">
      <c r="E4106" s="32" t="str">
        <f t="shared" si="192"/>
        <v>.0</v>
      </c>
      <c r="F4106" s="32" t="str">
        <f t="shared" si="193"/>
        <v>.0</v>
      </c>
      <c r="G4106" s="37" t="str">
        <f t="shared" si="194"/>
        <v/>
      </c>
    </row>
    <row r="4107" spans="5:7" x14ac:dyDescent="0.45">
      <c r="E4107" s="32" t="str">
        <f t="shared" si="192"/>
        <v>.0</v>
      </c>
      <c r="F4107" s="32" t="str">
        <f t="shared" si="193"/>
        <v>.0</v>
      </c>
      <c r="G4107" s="37" t="str">
        <f t="shared" si="194"/>
        <v/>
      </c>
    </row>
    <row r="4108" spans="5:7" x14ac:dyDescent="0.45">
      <c r="E4108" s="32" t="str">
        <f t="shared" si="192"/>
        <v>.0</v>
      </c>
      <c r="F4108" s="32" t="str">
        <f t="shared" si="193"/>
        <v>.0</v>
      </c>
      <c r="G4108" s="37" t="str">
        <f t="shared" si="194"/>
        <v/>
      </c>
    </row>
    <row r="4109" spans="5:7" x14ac:dyDescent="0.45">
      <c r="E4109" s="32" t="str">
        <f t="shared" si="192"/>
        <v>.0</v>
      </c>
      <c r="F4109" s="32" t="str">
        <f t="shared" si="193"/>
        <v>.0</v>
      </c>
      <c r="G4109" s="37" t="str">
        <f t="shared" si="194"/>
        <v/>
      </c>
    </row>
    <row r="4110" spans="5:7" x14ac:dyDescent="0.45">
      <c r="E4110" s="32" t="str">
        <f t="shared" si="192"/>
        <v>.0</v>
      </c>
      <c r="F4110" s="32" t="str">
        <f t="shared" si="193"/>
        <v>.0</v>
      </c>
      <c r="G4110" s="37" t="str">
        <f t="shared" si="194"/>
        <v/>
      </c>
    </row>
    <row r="4111" spans="5:7" x14ac:dyDescent="0.45">
      <c r="E4111" s="32" t="str">
        <f t="shared" si="192"/>
        <v>.0</v>
      </c>
      <c r="F4111" s="32" t="str">
        <f t="shared" si="193"/>
        <v>.0</v>
      </c>
      <c r="G4111" s="37" t="str">
        <f t="shared" si="194"/>
        <v/>
      </c>
    </row>
    <row r="4112" spans="5:7" x14ac:dyDescent="0.45">
      <c r="E4112" s="32" t="str">
        <f t="shared" si="192"/>
        <v>.0</v>
      </c>
      <c r="F4112" s="32" t="str">
        <f t="shared" si="193"/>
        <v>.0</v>
      </c>
      <c r="G4112" s="37" t="str">
        <f t="shared" si="194"/>
        <v/>
      </c>
    </row>
    <row r="4113" spans="5:7" x14ac:dyDescent="0.45">
      <c r="E4113" s="32" t="str">
        <f t="shared" si="192"/>
        <v>.0</v>
      </c>
      <c r="F4113" s="32" t="str">
        <f t="shared" si="193"/>
        <v>.0</v>
      </c>
      <c r="G4113" s="37" t="str">
        <f t="shared" si="194"/>
        <v/>
      </c>
    </row>
    <row r="4114" spans="5:7" x14ac:dyDescent="0.45">
      <c r="E4114" s="32" t="str">
        <f t="shared" si="192"/>
        <v>.0</v>
      </c>
      <c r="F4114" s="32" t="str">
        <f t="shared" si="193"/>
        <v>.0</v>
      </c>
      <c r="G4114" s="37" t="str">
        <f t="shared" si="194"/>
        <v/>
      </c>
    </row>
    <row r="4115" spans="5:7" x14ac:dyDescent="0.45">
      <c r="E4115" s="32" t="str">
        <f t="shared" si="192"/>
        <v>.0</v>
      </c>
      <c r="F4115" s="32" t="str">
        <f t="shared" si="193"/>
        <v>.0</v>
      </c>
      <c r="G4115" s="37" t="str">
        <f t="shared" si="194"/>
        <v/>
      </c>
    </row>
    <row r="4116" spans="5:7" x14ac:dyDescent="0.45">
      <c r="E4116" s="32" t="str">
        <f t="shared" si="192"/>
        <v>.0</v>
      </c>
      <c r="F4116" s="32" t="str">
        <f t="shared" si="193"/>
        <v>.0</v>
      </c>
      <c r="G4116" s="37" t="str">
        <f t="shared" si="194"/>
        <v/>
      </c>
    </row>
    <row r="4117" spans="5:7" x14ac:dyDescent="0.45">
      <c r="E4117" s="32" t="str">
        <f t="shared" si="192"/>
        <v>.0</v>
      </c>
      <c r="F4117" s="32" t="str">
        <f t="shared" si="193"/>
        <v>.0</v>
      </c>
      <c r="G4117" s="37" t="str">
        <f t="shared" si="194"/>
        <v/>
      </c>
    </row>
    <row r="4118" spans="5:7" x14ac:dyDescent="0.45">
      <c r="E4118" s="32" t="str">
        <f t="shared" si="192"/>
        <v>.0</v>
      </c>
      <c r="F4118" s="32" t="str">
        <f t="shared" si="193"/>
        <v>.0</v>
      </c>
      <c r="G4118" s="37" t="str">
        <f t="shared" si="194"/>
        <v/>
      </c>
    </row>
    <row r="4119" spans="5:7" x14ac:dyDescent="0.45">
      <c r="E4119" s="32" t="str">
        <f t="shared" si="192"/>
        <v>.0</v>
      </c>
      <c r="F4119" s="32" t="str">
        <f t="shared" si="193"/>
        <v>.0</v>
      </c>
      <c r="G4119" s="37" t="str">
        <f t="shared" si="194"/>
        <v/>
      </c>
    </row>
    <row r="4120" spans="5:7" x14ac:dyDescent="0.45">
      <c r="E4120" s="32" t="str">
        <f t="shared" si="192"/>
        <v>.0</v>
      </c>
      <c r="F4120" s="32" t="str">
        <f t="shared" si="193"/>
        <v>.0</v>
      </c>
      <c r="G4120" s="37" t="str">
        <f t="shared" si="194"/>
        <v/>
      </c>
    </row>
    <row r="4121" spans="5:7" x14ac:dyDescent="0.45">
      <c r="E4121" s="32" t="str">
        <f t="shared" si="192"/>
        <v>.0</v>
      </c>
      <c r="F4121" s="32" t="str">
        <f t="shared" si="193"/>
        <v>.0</v>
      </c>
      <c r="G4121" s="37" t="str">
        <f t="shared" si="194"/>
        <v/>
      </c>
    </row>
    <row r="4122" spans="5:7" x14ac:dyDescent="0.45">
      <c r="E4122" s="32" t="str">
        <f t="shared" si="192"/>
        <v>.0</v>
      </c>
      <c r="F4122" s="32" t="str">
        <f t="shared" si="193"/>
        <v>.0</v>
      </c>
      <c r="G4122" s="37" t="str">
        <f t="shared" si="194"/>
        <v/>
      </c>
    </row>
    <row r="4123" spans="5:7" x14ac:dyDescent="0.45">
      <c r="E4123" s="32" t="str">
        <f t="shared" si="192"/>
        <v>.0</v>
      </c>
      <c r="F4123" s="32" t="str">
        <f t="shared" si="193"/>
        <v>.0</v>
      </c>
      <c r="G4123" s="37" t="str">
        <f t="shared" si="194"/>
        <v/>
      </c>
    </row>
    <row r="4124" spans="5:7" x14ac:dyDescent="0.45">
      <c r="E4124" s="32" t="str">
        <f t="shared" si="192"/>
        <v>.0</v>
      </c>
      <c r="F4124" s="32" t="str">
        <f t="shared" si="193"/>
        <v>.0</v>
      </c>
      <c r="G4124" s="37" t="str">
        <f t="shared" si="194"/>
        <v/>
      </c>
    </row>
    <row r="4125" spans="5:7" x14ac:dyDescent="0.45">
      <c r="E4125" s="32" t="str">
        <f t="shared" si="192"/>
        <v>.0</v>
      </c>
      <c r="F4125" s="32" t="str">
        <f t="shared" si="193"/>
        <v>.0</v>
      </c>
      <c r="G4125" s="37" t="str">
        <f t="shared" si="194"/>
        <v/>
      </c>
    </row>
    <row r="4126" spans="5:7" x14ac:dyDescent="0.45">
      <c r="E4126" s="32" t="str">
        <f t="shared" ref="E4126:E4189" si="195">MID(B4126,3,2)&amp;"."&amp;IF(C4126&lt;10,"0"&amp;C4126,C4126)</f>
        <v>.0</v>
      </c>
      <c r="F4126" s="32" t="str">
        <f t="shared" ref="F4126:F4189" si="196">MID(B4126,3,2)&amp;"."&amp;IF(C4126&lt;10,"0"&amp;C4126,C4126)</f>
        <v>.0</v>
      </c>
      <c r="G4126" s="37" t="str">
        <f t="shared" ref="G4126:G4189" si="197">TEXT(D4126,"#,###,")</f>
        <v/>
      </c>
    </row>
    <row r="4127" spans="5:7" x14ac:dyDescent="0.45">
      <c r="E4127" s="32" t="str">
        <f t="shared" si="195"/>
        <v>.0</v>
      </c>
      <c r="F4127" s="32" t="str">
        <f t="shared" si="196"/>
        <v>.0</v>
      </c>
      <c r="G4127" s="37" t="str">
        <f t="shared" si="197"/>
        <v/>
      </c>
    </row>
    <row r="4128" spans="5:7" x14ac:dyDescent="0.45">
      <c r="E4128" s="32" t="str">
        <f t="shared" si="195"/>
        <v>.0</v>
      </c>
      <c r="F4128" s="32" t="str">
        <f t="shared" si="196"/>
        <v>.0</v>
      </c>
      <c r="G4128" s="37" t="str">
        <f t="shared" si="197"/>
        <v/>
      </c>
    </row>
    <row r="4129" spans="5:7" x14ac:dyDescent="0.45">
      <c r="E4129" s="32" t="str">
        <f t="shared" si="195"/>
        <v>.0</v>
      </c>
      <c r="F4129" s="32" t="str">
        <f t="shared" si="196"/>
        <v>.0</v>
      </c>
      <c r="G4129" s="37" t="str">
        <f t="shared" si="197"/>
        <v/>
      </c>
    </row>
    <row r="4130" spans="5:7" x14ac:dyDescent="0.45">
      <c r="E4130" s="32" t="str">
        <f t="shared" si="195"/>
        <v>.0</v>
      </c>
      <c r="F4130" s="32" t="str">
        <f t="shared" si="196"/>
        <v>.0</v>
      </c>
      <c r="G4130" s="37" t="str">
        <f t="shared" si="197"/>
        <v/>
      </c>
    </row>
    <row r="4131" spans="5:7" x14ac:dyDescent="0.45">
      <c r="E4131" s="32" t="str">
        <f t="shared" si="195"/>
        <v>.0</v>
      </c>
      <c r="F4131" s="32" t="str">
        <f t="shared" si="196"/>
        <v>.0</v>
      </c>
      <c r="G4131" s="37" t="str">
        <f t="shared" si="197"/>
        <v/>
      </c>
    </row>
    <row r="4132" spans="5:7" x14ac:dyDescent="0.45">
      <c r="E4132" s="32" t="str">
        <f t="shared" si="195"/>
        <v>.0</v>
      </c>
      <c r="F4132" s="32" t="str">
        <f t="shared" si="196"/>
        <v>.0</v>
      </c>
      <c r="G4132" s="37" t="str">
        <f t="shared" si="197"/>
        <v/>
      </c>
    </row>
    <row r="4133" spans="5:7" x14ac:dyDescent="0.45">
      <c r="E4133" s="32" t="str">
        <f t="shared" si="195"/>
        <v>.0</v>
      </c>
      <c r="F4133" s="32" t="str">
        <f t="shared" si="196"/>
        <v>.0</v>
      </c>
      <c r="G4133" s="37" t="str">
        <f t="shared" si="197"/>
        <v/>
      </c>
    </row>
    <row r="4134" spans="5:7" x14ac:dyDescent="0.45">
      <c r="E4134" s="32" t="str">
        <f t="shared" si="195"/>
        <v>.0</v>
      </c>
      <c r="F4134" s="32" t="str">
        <f t="shared" si="196"/>
        <v>.0</v>
      </c>
      <c r="G4134" s="37" t="str">
        <f t="shared" si="197"/>
        <v/>
      </c>
    </row>
    <row r="4135" spans="5:7" x14ac:dyDescent="0.45">
      <c r="E4135" s="32" t="str">
        <f t="shared" si="195"/>
        <v>.0</v>
      </c>
      <c r="F4135" s="32" t="str">
        <f t="shared" si="196"/>
        <v>.0</v>
      </c>
      <c r="G4135" s="37" t="str">
        <f t="shared" si="197"/>
        <v/>
      </c>
    </row>
    <row r="4136" spans="5:7" x14ac:dyDescent="0.45">
      <c r="E4136" s="32" t="str">
        <f t="shared" si="195"/>
        <v>.0</v>
      </c>
      <c r="F4136" s="32" t="str">
        <f t="shared" si="196"/>
        <v>.0</v>
      </c>
      <c r="G4136" s="37" t="str">
        <f t="shared" si="197"/>
        <v/>
      </c>
    </row>
    <row r="4137" spans="5:7" x14ac:dyDescent="0.45">
      <c r="E4137" s="32" t="str">
        <f t="shared" si="195"/>
        <v>.0</v>
      </c>
      <c r="F4137" s="32" t="str">
        <f t="shared" si="196"/>
        <v>.0</v>
      </c>
      <c r="G4137" s="37" t="str">
        <f t="shared" si="197"/>
        <v/>
      </c>
    </row>
    <row r="4138" spans="5:7" x14ac:dyDescent="0.45">
      <c r="E4138" s="32" t="str">
        <f t="shared" si="195"/>
        <v>.0</v>
      </c>
      <c r="F4138" s="32" t="str">
        <f t="shared" si="196"/>
        <v>.0</v>
      </c>
      <c r="G4138" s="37" t="str">
        <f t="shared" si="197"/>
        <v/>
      </c>
    </row>
    <row r="4139" spans="5:7" x14ac:dyDescent="0.45">
      <c r="E4139" s="32" t="str">
        <f t="shared" si="195"/>
        <v>.0</v>
      </c>
      <c r="F4139" s="32" t="str">
        <f t="shared" si="196"/>
        <v>.0</v>
      </c>
      <c r="G4139" s="37" t="str">
        <f t="shared" si="197"/>
        <v/>
      </c>
    </row>
    <row r="4140" spans="5:7" x14ac:dyDescent="0.45">
      <c r="E4140" s="32" t="str">
        <f t="shared" si="195"/>
        <v>.0</v>
      </c>
      <c r="F4140" s="32" t="str">
        <f t="shared" si="196"/>
        <v>.0</v>
      </c>
      <c r="G4140" s="37" t="str">
        <f t="shared" si="197"/>
        <v/>
      </c>
    </row>
    <row r="4141" spans="5:7" x14ac:dyDescent="0.45">
      <c r="E4141" s="32" t="str">
        <f t="shared" si="195"/>
        <v>.0</v>
      </c>
      <c r="F4141" s="32" t="str">
        <f t="shared" si="196"/>
        <v>.0</v>
      </c>
      <c r="G4141" s="37" t="str">
        <f t="shared" si="197"/>
        <v/>
      </c>
    </row>
    <row r="4142" spans="5:7" x14ac:dyDescent="0.45">
      <c r="E4142" s="32" t="str">
        <f t="shared" si="195"/>
        <v>.0</v>
      </c>
      <c r="F4142" s="32" t="str">
        <f t="shared" si="196"/>
        <v>.0</v>
      </c>
      <c r="G4142" s="37" t="str">
        <f t="shared" si="197"/>
        <v/>
      </c>
    </row>
    <row r="4143" spans="5:7" x14ac:dyDescent="0.45">
      <c r="E4143" s="32" t="str">
        <f t="shared" si="195"/>
        <v>.0</v>
      </c>
      <c r="F4143" s="32" t="str">
        <f t="shared" si="196"/>
        <v>.0</v>
      </c>
      <c r="G4143" s="37" t="str">
        <f t="shared" si="197"/>
        <v/>
      </c>
    </row>
    <row r="4144" spans="5:7" x14ac:dyDescent="0.45">
      <c r="E4144" s="32" t="str">
        <f t="shared" si="195"/>
        <v>.0</v>
      </c>
      <c r="F4144" s="32" t="str">
        <f t="shared" si="196"/>
        <v>.0</v>
      </c>
      <c r="G4144" s="37" t="str">
        <f t="shared" si="197"/>
        <v/>
      </c>
    </row>
    <row r="4145" spans="5:7" x14ac:dyDescent="0.45">
      <c r="E4145" s="32" t="str">
        <f t="shared" si="195"/>
        <v>.0</v>
      </c>
      <c r="F4145" s="32" t="str">
        <f t="shared" si="196"/>
        <v>.0</v>
      </c>
      <c r="G4145" s="37" t="str">
        <f t="shared" si="197"/>
        <v/>
      </c>
    </row>
    <row r="4146" spans="5:7" x14ac:dyDescent="0.45">
      <c r="E4146" s="32" t="str">
        <f t="shared" si="195"/>
        <v>.0</v>
      </c>
      <c r="F4146" s="32" t="str">
        <f t="shared" si="196"/>
        <v>.0</v>
      </c>
      <c r="G4146" s="37" t="str">
        <f t="shared" si="197"/>
        <v/>
      </c>
    </row>
    <row r="4147" spans="5:7" x14ac:dyDescent="0.45">
      <c r="E4147" s="32" t="str">
        <f t="shared" si="195"/>
        <v>.0</v>
      </c>
      <c r="F4147" s="32" t="str">
        <f t="shared" si="196"/>
        <v>.0</v>
      </c>
      <c r="G4147" s="37" t="str">
        <f t="shared" si="197"/>
        <v/>
      </c>
    </row>
    <row r="4148" spans="5:7" x14ac:dyDescent="0.45">
      <c r="E4148" s="32" t="str">
        <f t="shared" si="195"/>
        <v>.0</v>
      </c>
      <c r="F4148" s="32" t="str">
        <f t="shared" si="196"/>
        <v>.0</v>
      </c>
      <c r="G4148" s="37" t="str">
        <f t="shared" si="197"/>
        <v/>
      </c>
    </row>
    <row r="4149" spans="5:7" x14ac:dyDescent="0.45">
      <c r="E4149" s="32" t="str">
        <f t="shared" si="195"/>
        <v>.0</v>
      </c>
      <c r="F4149" s="32" t="str">
        <f t="shared" si="196"/>
        <v>.0</v>
      </c>
      <c r="G4149" s="37" t="str">
        <f t="shared" si="197"/>
        <v/>
      </c>
    </row>
    <row r="4150" spans="5:7" x14ac:dyDescent="0.45">
      <c r="E4150" s="32" t="str">
        <f t="shared" si="195"/>
        <v>.0</v>
      </c>
      <c r="F4150" s="32" t="str">
        <f t="shared" si="196"/>
        <v>.0</v>
      </c>
      <c r="G4150" s="37" t="str">
        <f t="shared" si="197"/>
        <v/>
      </c>
    </row>
    <row r="4151" spans="5:7" x14ac:dyDescent="0.45">
      <c r="E4151" s="32" t="str">
        <f t="shared" si="195"/>
        <v>.0</v>
      </c>
      <c r="F4151" s="32" t="str">
        <f t="shared" si="196"/>
        <v>.0</v>
      </c>
      <c r="G4151" s="37" t="str">
        <f t="shared" si="197"/>
        <v/>
      </c>
    </row>
    <row r="4152" spans="5:7" x14ac:dyDescent="0.45">
      <c r="E4152" s="32" t="str">
        <f t="shared" si="195"/>
        <v>.0</v>
      </c>
      <c r="F4152" s="32" t="str">
        <f t="shared" si="196"/>
        <v>.0</v>
      </c>
      <c r="G4152" s="37" t="str">
        <f t="shared" si="197"/>
        <v/>
      </c>
    </row>
    <row r="4153" spans="5:7" x14ac:dyDescent="0.45">
      <c r="E4153" s="32" t="str">
        <f t="shared" si="195"/>
        <v>.0</v>
      </c>
      <c r="F4153" s="32" t="str">
        <f t="shared" si="196"/>
        <v>.0</v>
      </c>
      <c r="G4153" s="37" t="str">
        <f t="shared" si="197"/>
        <v/>
      </c>
    </row>
    <row r="4154" spans="5:7" x14ac:dyDescent="0.45">
      <c r="E4154" s="32" t="str">
        <f t="shared" si="195"/>
        <v>.0</v>
      </c>
      <c r="F4154" s="32" t="str">
        <f t="shared" si="196"/>
        <v>.0</v>
      </c>
      <c r="G4154" s="37" t="str">
        <f t="shared" si="197"/>
        <v/>
      </c>
    </row>
    <row r="4155" spans="5:7" x14ac:dyDescent="0.45">
      <c r="E4155" s="32" t="str">
        <f t="shared" si="195"/>
        <v>.0</v>
      </c>
      <c r="F4155" s="32" t="str">
        <f t="shared" si="196"/>
        <v>.0</v>
      </c>
      <c r="G4155" s="37" t="str">
        <f t="shared" si="197"/>
        <v/>
      </c>
    </row>
    <row r="4156" spans="5:7" x14ac:dyDescent="0.45">
      <c r="E4156" s="32" t="str">
        <f t="shared" si="195"/>
        <v>.0</v>
      </c>
      <c r="F4156" s="32" t="str">
        <f t="shared" si="196"/>
        <v>.0</v>
      </c>
      <c r="G4156" s="37" t="str">
        <f t="shared" si="197"/>
        <v/>
      </c>
    </row>
    <row r="4157" spans="5:7" x14ac:dyDescent="0.45">
      <c r="E4157" s="32" t="str">
        <f t="shared" si="195"/>
        <v>.0</v>
      </c>
      <c r="F4157" s="32" t="str">
        <f t="shared" si="196"/>
        <v>.0</v>
      </c>
      <c r="G4157" s="37" t="str">
        <f t="shared" si="197"/>
        <v/>
      </c>
    </row>
    <row r="4158" spans="5:7" x14ac:dyDescent="0.45">
      <c r="E4158" s="32" t="str">
        <f t="shared" si="195"/>
        <v>.0</v>
      </c>
      <c r="F4158" s="32" t="str">
        <f t="shared" si="196"/>
        <v>.0</v>
      </c>
      <c r="G4158" s="37" t="str">
        <f t="shared" si="197"/>
        <v/>
      </c>
    </row>
    <row r="4159" spans="5:7" x14ac:dyDescent="0.45">
      <c r="E4159" s="32" t="str">
        <f t="shared" si="195"/>
        <v>.0</v>
      </c>
      <c r="F4159" s="32" t="str">
        <f t="shared" si="196"/>
        <v>.0</v>
      </c>
      <c r="G4159" s="37" t="str">
        <f t="shared" si="197"/>
        <v/>
      </c>
    </row>
    <row r="4160" spans="5:7" x14ac:dyDescent="0.45">
      <c r="E4160" s="32" t="str">
        <f t="shared" si="195"/>
        <v>.0</v>
      </c>
      <c r="F4160" s="32" t="str">
        <f t="shared" si="196"/>
        <v>.0</v>
      </c>
      <c r="G4160" s="37" t="str">
        <f t="shared" si="197"/>
        <v/>
      </c>
    </row>
    <row r="4161" spans="5:7" x14ac:dyDescent="0.45">
      <c r="E4161" s="32" t="str">
        <f t="shared" si="195"/>
        <v>.0</v>
      </c>
      <c r="F4161" s="32" t="str">
        <f t="shared" si="196"/>
        <v>.0</v>
      </c>
      <c r="G4161" s="37" t="str">
        <f t="shared" si="197"/>
        <v/>
      </c>
    </row>
    <row r="4162" spans="5:7" x14ac:dyDescent="0.45">
      <c r="E4162" s="32" t="str">
        <f t="shared" si="195"/>
        <v>.0</v>
      </c>
      <c r="F4162" s="32" t="str">
        <f t="shared" si="196"/>
        <v>.0</v>
      </c>
      <c r="G4162" s="37" t="str">
        <f t="shared" si="197"/>
        <v/>
      </c>
    </row>
    <row r="4163" spans="5:7" x14ac:dyDescent="0.45">
      <c r="E4163" s="32" t="str">
        <f t="shared" si="195"/>
        <v>.0</v>
      </c>
      <c r="F4163" s="32" t="str">
        <f t="shared" si="196"/>
        <v>.0</v>
      </c>
      <c r="G4163" s="37" t="str">
        <f t="shared" si="197"/>
        <v/>
      </c>
    </row>
    <row r="4164" spans="5:7" x14ac:dyDescent="0.45">
      <c r="E4164" s="32" t="str">
        <f t="shared" si="195"/>
        <v>.0</v>
      </c>
      <c r="F4164" s="32" t="str">
        <f t="shared" si="196"/>
        <v>.0</v>
      </c>
      <c r="G4164" s="37" t="str">
        <f t="shared" si="197"/>
        <v/>
      </c>
    </row>
    <row r="4165" spans="5:7" x14ac:dyDescent="0.45">
      <c r="E4165" s="32" t="str">
        <f t="shared" si="195"/>
        <v>.0</v>
      </c>
      <c r="F4165" s="32" t="str">
        <f t="shared" si="196"/>
        <v>.0</v>
      </c>
      <c r="G4165" s="37" t="str">
        <f t="shared" si="197"/>
        <v/>
      </c>
    </row>
    <row r="4166" spans="5:7" x14ac:dyDescent="0.45">
      <c r="E4166" s="32" t="str">
        <f t="shared" si="195"/>
        <v>.0</v>
      </c>
      <c r="F4166" s="32" t="str">
        <f t="shared" si="196"/>
        <v>.0</v>
      </c>
      <c r="G4166" s="37" t="str">
        <f t="shared" si="197"/>
        <v/>
      </c>
    </row>
    <row r="4167" spans="5:7" x14ac:dyDescent="0.45">
      <c r="E4167" s="32" t="str">
        <f t="shared" si="195"/>
        <v>.0</v>
      </c>
      <c r="F4167" s="32" t="str">
        <f t="shared" si="196"/>
        <v>.0</v>
      </c>
      <c r="G4167" s="37" t="str">
        <f t="shared" si="197"/>
        <v/>
      </c>
    </row>
    <row r="4168" spans="5:7" x14ac:dyDescent="0.45">
      <c r="E4168" s="32" t="str">
        <f t="shared" si="195"/>
        <v>.0</v>
      </c>
      <c r="F4168" s="32" t="str">
        <f t="shared" si="196"/>
        <v>.0</v>
      </c>
      <c r="G4168" s="37" t="str">
        <f t="shared" si="197"/>
        <v/>
      </c>
    </row>
    <row r="4169" spans="5:7" x14ac:dyDescent="0.45">
      <c r="E4169" s="32" t="str">
        <f t="shared" si="195"/>
        <v>.0</v>
      </c>
      <c r="F4169" s="32" t="str">
        <f t="shared" si="196"/>
        <v>.0</v>
      </c>
      <c r="G4169" s="37" t="str">
        <f t="shared" si="197"/>
        <v/>
      </c>
    </row>
    <row r="4170" spans="5:7" x14ac:dyDescent="0.45">
      <c r="E4170" s="32" t="str">
        <f t="shared" si="195"/>
        <v>.0</v>
      </c>
      <c r="F4170" s="32" t="str">
        <f t="shared" si="196"/>
        <v>.0</v>
      </c>
      <c r="G4170" s="37" t="str">
        <f t="shared" si="197"/>
        <v/>
      </c>
    </row>
    <row r="4171" spans="5:7" x14ac:dyDescent="0.45">
      <c r="E4171" s="32" t="str">
        <f t="shared" si="195"/>
        <v>.0</v>
      </c>
      <c r="F4171" s="32" t="str">
        <f t="shared" si="196"/>
        <v>.0</v>
      </c>
      <c r="G4171" s="37" t="str">
        <f t="shared" si="197"/>
        <v/>
      </c>
    </row>
    <row r="4172" spans="5:7" x14ac:dyDescent="0.45">
      <c r="E4172" s="32" t="str">
        <f t="shared" si="195"/>
        <v>.0</v>
      </c>
      <c r="F4172" s="32" t="str">
        <f t="shared" si="196"/>
        <v>.0</v>
      </c>
      <c r="G4172" s="37" t="str">
        <f t="shared" si="197"/>
        <v/>
      </c>
    </row>
    <row r="4173" spans="5:7" x14ac:dyDescent="0.45">
      <c r="E4173" s="32" t="str">
        <f t="shared" si="195"/>
        <v>.0</v>
      </c>
      <c r="F4173" s="32" t="str">
        <f t="shared" si="196"/>
        <v>.0</v>
      </c>
      <c r="G4173" s="37" t="str">
        <f t="shared" si="197"/>
        <v/>
      </c>
    </row>
    <row r="4174" spans="5:7" x14ac:dyDescent="0.45">
      <c r="E4174" s="32" t="str">
        <f t="shared" si="195"/>
        <v>.0</v>
      </c>
      <c r="F4174" s="32" t="str">
        <f t="shared" si="196"/>
        <v>.0</v>
      </c>
      <c r="G4174" s="37" t="str">
        <f t="shared" si="197"/>
        <v/>
      </c>
    </row>
    <row r="4175" spans="5:7" x14ac:dyDescent="0.45">
      <c r="E4175" s="32" t="str">
        <f t="shared" si="195"/>
        <v>.0</v>
      </c>
      <c r="F4175" s="32" t="str">
        <f t="shared" si="196"/>
        <v>.0</v>
      </c>
      <c r="G4175" s="37" t="str">
        <f t="shared" si="197"/>
        <v/>
      </c>
    </row>
    <row r="4176" spans="5:7" x14ac:dyDescent="0.45">
      <c r="E4176" s="32" t="str">
        <f t="shared" si="195"/>
        <v>.0</v>
      </c>
      <c r="F4176" s="32" t="str">
        <f t="shared" si="196"/>
        <v>.0</v>
      </c>
      <c r="G4176" s="37" t="str">
        <f t="shared" si="197"/>
        <v/>
      </c>
    </row>
    <row r="4177" spans="5:7" x14ac:dyDescent="0.45">
      <c r="E4177" s="32" t="str">
        <f t="shared" si="195"/>
        <v>.0</v>
      </c>
      <c r="F4177" s="32" t="str">
        <f t="shared" si="196"/>
        <v>.0</v>
      </c>
      <c r="G4177" s="37" t="str">
        <f t="shared" si="197"/>
        <v/>
      </c>
    </row>
    <row r="4178" spans="5:7" x14ac:dyDescent="0.45">
      <c r="E4178" s="32" t="str">
        <f t="shared" si="195"/>
        <v>.0</v>
      </c>
      <c r="F4178" s="32" t="str">
        <f t="shared" si="196"/>
        <v>.0</v>
      </c>
      <c r="G4178" s="37" t="str">
        <f t="shared" si="197"/>
        <v/>
      </c>
    </row>
    <row r="4179" spans="5:7" x14ac:dyDescent="0.45">
      <c r="E4179" s="32" t="str">
        <f t="shared" si="195"/>
        <v>.0</v>
      </c>
      <c r="F4179" s="32" t="str">
        <f t="shared" si="196"/>
        <v>.0</v>
      </c>
      <c r="G4179" s="37" t="str">
        <f t="shared" si="197"/>
        <v/>
      </c>
    </row>
    <row r="4180" spans="5:7" x14ac:dyDescent="0.45">
      <c r="E4180" s="32" t="str">
        <f t="shared" si="195"/>
        <v>.0</v>
      </c>
      <c r="F4180" s="32" t="str">
        <f t="shared" si="196"/>
        <v>.0</v>
      </c>
      <c r="G4180" s="37" t="str">
        <f t="shared" si="197"/>
        <v/>
      </c>
    </row>
    <row r="4181" spans="5:7" x14ac:dyDescent="0.45">
      <c r="E4181" s="32" t="str">
        <f t="shared" si="195"/>
        <v>.0</v>
      </c>
      <c r="F4181" s="32" t="str">
        <f t="shared" si="196"/>
        <v>.0</v>
      </c>
      <c r="G4181" s="37" t="str">
        <f t="shared" si="197"/>
        <v/>
      </c>
    </row>
    <row r="4182" spans="5:7" x14ac:dyDescent="0.45">
      <c r="E4182" s="32" t="str">
        <f t="shared" si="195"/>
        <v>.0</v>
      </c>
      <c r="F4182" s="32" t="str">
        <f t="shared" si="196"/>
        <v>.0</v>
      </c>
      <c r="G4182" s="37" t="str">
        <f t="shared" si="197"/>
        <v/>
      </c>
    </row>
    <row r="4183" spans="5:7" x14ac:dyDescent="0.45">
      <c r="E4183" s="32" t="str">
        <f t="shared" si="195"/>
        <v>.0</v>
      </c>
      <c r="F4183" s="32" t="str">
        <f t="shared" si="196"/>
        <v>.0</v>
      </c>
      <c r="G4183" s="37" t="str">
        <f t="shared" si="197"/>
        <v/>
      </c>
    </row>
    <row r="4184" spans="5:7" x14ac:dyDescent="0.45">
      <c r="E4184" s="32" t="str">
        <f t="shared" si="195"/>
        <v>.0</v>
      </c>
      <c r="F4184" s="32" t="str">
        <f t="shared" si="196"/>
        <v>.0</v>
      </c>
      <c r="G4184" s="37" t="str">
        <f t="shared" si="197"/>
        <v/>
      </c>
    </row>
    <row r="4185" spans="5:7" x14ac:dyDescent="0.45">
      <c r="E4185" s="32" t="str">
        <f t="shared" si="195"/>
        <v>.0</v>
      </c>
      <c r="F4185" s="32" t="str">
        <f t="shared" si="196"/>
        <v>.0</v>
      </c>
      <c r="G4185" s="37" t="str">
        <f t="shared" si="197"/>
        <v/>
      </c>
    </row>
    <row r="4186" spans="5:7" x14ac:dyDescent="0.45">
      <c r="E4186" s="32" t="str">
        <f t="shared" si="195"/>
        <v>.0</v>
      </c>
      <c r="F4186" s="32" t="str">
        <f t="shared" si="196"/>
        <v>.0</v>
      </c>
      <c r="G4186" s="37" t="str">
        <f t="shared" si="197"/>
        <v/>
      </c>
    </row>
    <row r="4187" spans="5:7" x14ac:dyDescent="0.45">
      <c r="E4187" s="32" t="str">
        <f t="shared" si="195"/>
        <v>.0</v>
      </c>
      <c r="F4187" s="32" t="str">
        <f t="shared" si="196"/>
        <v>.0</v>
      </c>
      <c r="G4187" s="37" t="str">
        <f t="shared" si="197"/>
        <v/>
      </c>
    </row>
    <row r="4188" spans="5:7" x14ac:dyDescent="0.45">
      <c r="E4188" s="32" t="str">
        <f t="shared" si="195"/>
        <v>.0</v>
      </c>
      <c r="F4188" s="32" t="str">
        <f t="shared" si="196"/>
        <v>.0</v>
      </c>
      <c r="G4188" s="37" t="str">
        <f t="shared" si="197"/>
        <v/>
      </c>
    </row>
    <row r="4189" spans="5:7" x14ac:dyDescent="0.45">
      <c r="E4189" s="32" t="str">
        <f t="shared" si="195"/>
        <v>.0</v>
      </c>
      <c r="F4189" s="32" t="str">
        <f t="shared" si="196"/>
        <v>.0</v>
      </c>
      <c r="G4189" s="37" t="str">
        <f t="shared" si="197"/>
        <v/>
      </c>
    </row>
    <row r="4190" spans="5:7" x14ac:dyDescent="0.45">
      <c r="E4190" s="32" t="str">
        <f t="shared" ref="E4190:E4253" si="198">MID(B4190,3,2)&amp;"."&amp;IF(C4190&lt;10,"0"&amp;C4190,C4190)</f>
        <v>.0</v>
      </c>
      <c r="F4190" s="32" t="str">
        <f t="shared" ref="F4190:F4253" si="199">MID(B4190,3,2)&amp;"."&amp;IF(C4190&lt;10,"0"&amp;C4190,C4190)</f>
        <v>.0</v>
      </c>
      <c r="G4190" s="37" t="str">
        <f t="shared" ref="G4190:G4253" si="200">TEXT(D4190,"#,###,")</f>
        <v/>
      </c>
    </row>
    <row r="4191" spans="5:7" x14ac:dyDescent="0.45">
      <c r="E4191" s="32" t="str">
        <f t="shared" si="198"/>
        <v>.0</v>
      </c>
      <c r="F4191" s="32" t="str">
        <f t="shared" si="199"/>
        <v>.0</v>
      </c>
      <c r="G4191" s="37" t="str">
        <f t="shared" si="200"/>
        <v/>
      </c>
    </row>
    <row r="4192" spans="5:7" x14ac:dyDescent="0.45">
      <c r="E4192" s="32" t="str">
        <f t="shared" si="198"/>
        <v>.0</v>
      </c>
      <c r="F4192" s="32" t="str">
        <f t="shared" si="199"/>
        <v>.0</v>
      </c>
      <c r="G4192" s="37" t="str">
        <f t="shared" si="200"/>
        <v/>
      </c>
    </row>
    <row r="4193" spans="5:7" x14ac:dyDescent="0.45">
      <c r="E4193" s="32" t="str">
        <f t="shared" si="198"/>
        <v>.0</v>
      </c>
      <c r="F4193" s="32" t="str">
        <f t="shared" si="199"/>
        <v>.0</v>
      </c>
      <c r="G4193" s="37" t="str">
        <f t="shared" si="200"/>
        <v/>
      </c>
    </row>
    <row r="4194" spans="5:7" x14ac:dyDescent="0.45">
      <c r="E4194" s="32" t="str">
        <f t="shared" si="198"/>
        <v>.0</v>
      </c>
      <c r="F4194" s="32" t="str">
        <f t="shared" si="199"/>
        <v>.0</v>
      </c>
      <c r="G4194" s="37" t="str">
        <f t="shared" si="200"/>
        <v/>
      </c>
    </row>
    <row r="4195" spans="5:7" x14ac:dyDescent="0.45">
      <c r="E4195" s="32" t="str">
        <f t="shared" si="198"/>
        <v>.0</v>
      </c>
      <c r="F4195" s="32" t="str">
        <f t="shared" si="199"/>
        <v>.0</v>
      </c>
      <c r="G4195" s="37" t="str">
        <f t="shared" si="200"/>
        <v/>
      </c>
    </row>
    <row r="4196" spans="5:7" x14ac:dyDescent="0.45">
      <c r="E4196" s="32" t="str">
        <f t="shared" si="198"/>
        <v>.0</v>
      </c>
      <c r="F4196" s="32" t="str">
        <f t="shared" si="199"/>
        <v>.0</v>
      </c>
      <c r="G4196" s="37" t="str">
        <f t="shared" si="200"/>
        <v/>
      </c>
    </row>
    <row r="4197" spans="5:7" x14ac:dyDescent="0.45">
      <c r="E4197" s="32" t="str">
        <f t="shared" si="198"/>
        <v>.0</v>
      </c>
      <c r="F4197" s="32" t="str">
        <f t="shared" si="199"/>
        <v>.0</v>
      </c>
      <c r="G4197" s="37" t="str">
        <f t="shared" si="200"/>
        <v/>
      </c>
    </row>
    <row r="4198" spans="5:7" x14ac:dyDescent="0.45">
      <c r="E4198" s="32" t="str">
        <f t="shared" si="198"/>
        <v>.0</v>
      </c>
      <c r="F4198" s="32" t="str">
        <f t="shared" si="199"/>
        <v>.0</v>
      </c>
      <c r="G4198" s="37" t="str">
        <f t="shared" si="200"/>
        <v/>
      </c>
    </row>
    <row r="4199" spans="5:7" x14ac:dyDescent="0.45">
      <c r="E4199" s="32" t="str">
        <f t="shared" si="198"/>
        <v>.0</v>
      </c>
      <c r="F4199" s="32" t="str">
        <f t="shared" si="199"/>
        <v>.0</v>
      </c>
      <c r="G4199" s="37" t="str">
        <f t="shared" si="200"/>
        <v/>
      </c>
    </row>
    <row r="4200" spans="5:7" x14ac:dyDescent="0.45">
      <c r="E4200" s="32" t="str">
        <f t="shared" si="198"/>
        <v>.0</v>
      </c>
      <c r="F4200" s="32" t="str">
        <f t="shared" si="199"/>
        <v>.0</v>
      </c>
      <c r="G4200" s="37" t="str">
        <f t="shared" si="200"/>
        <v/>
      </c>
    </row>
    <row r="4201" spans="5:7" x14ac:dyDescent="0.45">
      <c r="E4201" s="32" t="str">
        <f t="shared" si="198"/>
        <v>.0</v>
      </c>
      <c r="F4201" s="32" t="str">
        <f t="shared" si="199"/>
        <v>.0</v>
      </c>
      <c r="G4201" s="37" t="str">
        <f t="shared" si="200"/>
        <v/>
      </c>
    </row>
    <row r="4202" spans="5:7" x14ac:dyDescent="0.45">
      <c r="E4202" s="32" t="str">
        <f t="shared" si="198"/>
        <v>.0</v>
      </c>
      <c r="F4202" s="32" t="str">
        <f t="shared" si="199"/>
        <v>.0</v>
      </c>
      <c r="G4202" s="37" t="str">
        <f t="shared" si="200"/>
        <v/>
      </c>
    </row>
    <row r="4203" spans="5:7" x14ac:dyDescent="0.45">
      <c r="E4203" s="32" t="str">
        <f t="shared" si="198"/>
        <v>.0</v>
      </c>
      <c r="F4203" s="32" t="str">
        <f t="shared" si="199"/>
        <v>.0</v>
      </c>
      <c r="G4203" s="37" t="str">
        <f t="shared" si="200"/>
        <v/>
      </c>
    </row>
    <row r="4204" spans="5:7" x14ac:dyDescent="0.45">
      <c r="E4204" s="32" t="str">
        <f t="shared" si="198"/>
        <v>.0</v>
      </c>
      <c r="F4204" s="32" t="str">
        <f t="shared" si="199"/>
        <v>.0</v>
      </c>
      <c r="G4204" s="37" t="str">
        <f t="shared" si="200"/>
        <v/>
      </c>
    </row>
    <row r="4205" spans="5:7" x14ac:dyDescent="0.45">
      <c r="E4205" s="32" t="str">
        <f t="shared" si="198"/>
        <v>.0</v>
      </c>
      <c r="F4205" s="32" t="str">
        <f t="shared" si="199"/>
        <v>.0</v>
      </c>
      <c r="G4205" s="37" t="str">
        <f t="shared" si="200"/>
        <v/>
      </c>
    </row>
    <row r="4206" spans="5:7" x14ac:dyDescent="0.45">
      <c r="E4206" s="32" t="str">
        <f t="shared" si="198"/>
        <v>.0</v>
      </c>
      <c r="F4206" s="32" t="str">
        <f t="shared" si="199"/>
        <v>.0</v>
      </c>
      <c r="G4206" s="37" t="str">
        <f t="shared" si="200"/>
        <v/>
      </c>
    </row>
    <row r="4207" spans="5:7" x14ac:dyDescent="0.45">
      <c r="E4207" s="32" t="str">
        <f t="shared" si="198"/>
        <v>.0</v>
      </c>
      <c r="F4207" s="32" t="str">
        <f t="shared" si="199"/>
        <v>.0</v>
      </c>
      <c r="G4207" s="37" t="str">
        <f t="shared" si="200"/>
        <v/>
      </c>
    </row>
    <row r="4208" spans="5:7" x14ac:dyDescent="0.45">
      <c r="E4208" s="32" t="str">
        <f t="shared" si="198"/>
        <v>.0</v>
      </c>
      <c r="F4208" s="32" t="str">
        <f t="shared" si="199"/>
        <v>.0</v>
      </c>
      <c r="G4208" s="37" t="str">
        <f t="shared" si="200"/>
        <v/>
      </c>
    </row>
    <row r="4209" spans="5:7" x14ac:dyDescent="0.45">
      <c r="E4209" s="32" t="str">
        <f t="shared" si="198"/>
        <v>.0</v>
      </c>
      <c r="F4209" s="32" t="str">
        <f t="shared" si="199"/>
        <v>.0</v>
      </c>
      <c r="G4209" s="37" t="str">
        <f t="shared" si="200"/>
        <v/>
      </c>
    </row>
    <row r="4210" spans="5:7" x14ac:dyDescent="0.45">
      <c r="E4210" s="32" t="str">
        <f t="shared" si="198"/>
        <v>.0</v>
      </c>
      <c r="F4210" s="32" t="str">
        <f t="shared" si="199"/>
        <v>.0</v>
      </c>
      <c r="G4210" s="37" t="str">
        <f t="shared" si="200"/>
        <v/>
      </c>
    </row>
    <row r="4211" spans="5:7" x14ac:dyDescent="0.45">
      <c r="E4211" s="32" t="str">
        <f t="shared" si="198"/>
        <v>.0</v>
      </c>
      <c r="F4211" s="32" t="str">
        <f t="shared" si="199"/>
        <v>.0</v>
      </c>
      <c r="G4211" s="37" t="str">
        <f t="shared" si="200"/>
        <v/>
      </c>
    </row>
    <row r="4212" spans="5:7" x14ac:dyDescent="0.45">
      <c r="E4212" s="32" t="str">
        <f t="shared" si="198"/>
        <v>.0</v>
      </c>
      <c r="F4212" s="32" t="str">
        <f t="shared" si="199"/>
        <v>.0</v>
      </c>
      <c r="G4212" s="37" t="str">
        <f t="shared" si="200"/>
        <v/>
      </c>
    </row>
    <row r="4213" spans="5:7" x14ac:dyDescent="0.45">
      <c r="E4213" s="32" t="str">
        <f t="shared" si="198"/>
        <v>.0</v>
      </c>
      <c r="F4213" s="32" t="str">
        <f t="shared" si="199"/>
        <v>.0</v>
      </c>
      <c r="G4213" s="37" t="str">
        <f t="shared" si="200"/>
        <v/>
      </c>
    </row>
    <row r="4214" spans="5:7" x14ac:dyDescent="0.45">
      <c r="E4214" s="32" t="str">
        <f t="shared" si="198"/>
        <v>.0</v>
      </c>
      <c r="F4214" s="32" t="str">
        <f t="shared" si="199"/>
        <v>.0</v>
      </c>
      <c r="G4214" s="37" t="str">
        <f t="shared" si="200"/>
        <v/>
      </c>
    </row>
    <row r="4215" spans="5:7" x14ac:dyDescent="0.45">
      <c r="E4215" s="32" t="str">
        <f t="shared" si="198"/>
        <v>.0</v>
      </c>
      <c r="F4215" s="32" t="str">
        <f t="shared" si="199"/>
        <v>.0</v>
      </c>
      <c r="G4215" s="37" t="str">
        <f t="shared" si="200"/>
        <v/>
      </c>
    </row>
    <row r="4216" spans="5:7" x14ac:dyDescent="0.45">
      <c r="E4216" s="32" t="str">
        <f t="shared" si="198"/>
        <v>.0</v>
      </c>
      <c r="F4216" s="32" t="str">
        <f t="shared" si="199"/>
        <v>.0</v>
      </c>
      <c r="G4216" s="37" t="str">
        <f t="shared" si="200"/>
        <v/>
      </c>
    </row>
    <row r="4217" spans="5:7" x14ac:dyDescent="0.45">
      <c r="E4217" s="32" t="str">
        <f t="shared" si="198"/>
        <v>.0</v>
      </c>
      <c r="F4217" s="32" t="str">
        <f t="shared" si="199"/>
        <v>.0</v>
      </c>
      <c r="G4217" s="37" t="str">
        <f t="shared" si="200"/>
        <v/>
      </c>
    </row>
    <row r="4218" spans="5:7" x14ac:dyDescent="0.45">
      <c r="E4218" s="32" t="str">
        <f t="shared" si="198"/>
        <v>.0</v>
      </c>
      <c r="F4218" s="32" t="str">
        <f t="shared" si="199"/>
        <v>.0</v>
      </c>
      <c r="G4218" s="37" t="str">
        <f t="shared" si="200"/>
        <v/>
      </c>
    </row>
    <row r="4219" spans="5:7" x14ac:dyDescent="0.45">
      <c r="E4219" s="32" t="str">
        <f t="shared" si="198"/>
        <v>.0</v>
      </c>
      <c r="F4219" s="32" t="str">
        <f t="shared" si="199"/>
        <v>.0</v>
      </c>
      <c r="G4219" s="37" t="str">
        <f t="shared" si="200"/>
        <v/>
      </c>
    </row>
    <row r="4220" spans="5:7" x14ac:dyDescent="0.45">
      <c r="E4220" s="32" t="str">
        <f t="shared" si="198"/>
        <v>.0</v>
      </c>
      <c r="F4220" s="32" t="str">
        <f t="shared" si="199"/>
        <v>.0</v>
      </c>
      <c r="G4220" s="37" t="str">
        <f t="shared" si="200"/>
        <v/>
      </c>
    </row>
    <row r="4221" spans="5:7" x14ac:dyDescent="0.45">
      <c r="E4221" s="32" t="str">
        <f t="shared" si="198"/>
        <v>.0</v>
      </c>
      <c r="F4221" s="32" t="str">
        <f t="shared" si="199"/>
        <v>.0</v>
      </c>
      <c r="G4221" s="37" t="str">
        <f t="shared" si="200"/>
        <v/>
      </c>
    </row>
    <row r="4222" spans="5:7" x14ac:dyDescent="0.45">
      <c r="E4222" s="32" t="str">
        <f t="shared" si="198"/>
        <v>.0</v>
      </c>
      <c r="F4222" s="32" t="str">
        <f t="shared" si="199"/>
        <v>.0</v>
      </c>
      <c r="G4222" s="37" t="str">
        <f t="shared" si="200"/>
        <v/>
      </c>
    </row>
    <row r="4223" spans="5:7" x14ac:dyDescent="0.45">
      <c r="E4223" s="32" t="str">
        <f t="shared" si="198"/>
        <v>.0</v>
      </c>
      <c r="F4223" s="32" t="str">
        <f t="shared" si="199"/>
        <v>.0</v>
      </c>
      <c r="G4223" s="37" t="str">
        <f t="shared" si="200"/>
        <v/>
      </c>
    </row>
    <row r="4224" spans="5:7" x14ac:dyDescent="0.45">
      <c r="E4224" s="32" t="str">
        <f t="shared" si="198"/>
        <v>.0</v>
      </c>
      <c r="F4224" s="32" t="str">
        <f t="shared" si="199"/>
        <v>.0</v>
      </c>
      <c r="G4224" s="37" t="str">
        <f t="shared" si="200"/>
        <v/>
      </c>
    </row>
    <row r="4225" spans="5:7" x14ac:dyDescent="0.45">
      <c r="E4225" s="32" t="str">
        <f t="shared" si="198"/>
        <v>.0</v>
      </c>
      <c r="F4225" s="32" t="str">
        <f t="shared" si="199"/>
        <v>.0</v>
      </c>
      <c r="G4225" s="37" t="str">
        <f t="shared" si="200"/>
        <v/>
      </c>
    </row>
    <row r="4226" spans="5:7" x14ac:dyDescent="0.45">
      <c r="E4226" s="32" t="str">
        <f t="shared" si="198"/>
        <v>.0</v>
      </c>
      <c r="F4226" s="32" t="str">
        <f t="shared" si="199"/>
        <v>.0</v>
      </c>
      <c r="G4226" s="37" t="str">
        <f t="shared" si="200"/>
        <v/>
      </c>
    </row>
    <row r="4227" spans="5:7" x14ac:dyDescent="0.45">
      <c r="E4227" s="32" t="str">
        <f t="shared" si="198"/>
        <v>.0</v>
      </c>
      <c r="F4227" s="32" t="str">
        <f t="shared" si="199"/>
        <v>.0</v>
      </c>
      <c r="G4227" s="37" t="str">
        <f t="shared" si="200"/>
        <v/>
      </c>
    </row>
    <row r="4228" spans="5:7" x14ac:dyDescent="0.45">
      <c r="E4228" s="32" t="str">
        <f t="shared" si="198"/>
        <v>.0</v>
      </c>
      <c r="F4228" s="32" t="str">
        <f t="shared" si="199"/>
        <v>.0</v>
      </c>
      <c r="G4228" s="37" t="str">
        <f t="shared" si="200"/>
        <v/>
      </c>
    </row>
    <row r="4229" spans="5:7" x14ac:dyDescent="0.45">
      <c r="E4229" s="32" t="str">
        <f t="shared" si="198"/>
        <v>.0</v>
      </c>
      <c r="F4229" s="32" t="str">
        <f t="shared" si="199"/>
        <v>.0</v>
      </c>
      <c r="G4229" s="37" t="str">
        <f t="shared" si="200"/>
        <v/>
      </c>
    </row>
    <row r="4230" spans="5:7" x14ac:dyDescent="0.45">
      <c r="E4230" s="32" t="str">
        <f t="shared" si="198"/>
        <v>.0</v>
      </c>
      <c r="F4230" s="32" t="str">
        <f t="shared" si="199"/>
        <v>.0</v>
      </c>
      <c r="G4230" s="37" t="str">
        <f t="shared" si="200"/>
        <v/>
      </c>
    </row>
    <row r="4231" spans="5:7" x14ac:dyDescent="0.45">
      <c r="E4231" s="32" t="str">
        <f t="shared" si="198"/>
        <v>.0</v>
      </c>
      <c r="F4231" s="32" t="str">
        <f t="shared" si="199"/>
        <v>.0</v>
      </c>
      <c r="G4231" s="37" t="str">
        <f t="shared" si="200"/>
        <v/>
      </c>
    </row>
    <row r="4232" spans="5:7" x14ac:dyDescent="0.45">
      <c r="E4232" s="32" t="str">
        <f t="shared" si="198"/>
        <v>.0</v>
      </c>
      <c r="F4232" s="32" t="str">
        <f t="shared" si="199"/>
        <v>.0</v>
      </c>
      <c r="G4232" s="37" t="str">
        <f t="shared" si="200"/>
        <v/>
      </c>
    </row>
    <row r="4233" spans="5:7" x14ac:dyDescent="0.45">
      <c r="E4233" s="32" t="str">
        <f t="shared" si="198"/>
        <v>.0</v>
      </c>
      <c r="F4233" s="32" t="str">
        <f t="shared" si="199"/>
        <v>.0</v>
      </c>
      <c r="G4233" s="37" t="str">
        <f t="shared" si="200"/>
        <v/>
      </c>
    </row>
    <row r="4234" spans="5:7" x14ac:dyDescent="0.45">
      <c r="E4234" s="32" t="str">
        <f t="shared" si="198"/>
        <v>.0</v>
      </c>
      <c r="F4234" s="32" t="str">
        <f t="shared" si="199"/>
        <v>.0</v>
      </c>
      <c r="G4234" s="37" t="str">
        <f t="shared" si="200"/>
        <v/>
      </c>
    </row>
    <row r="4235" spans="5:7" x14ac:dyDescent="0.45">
      <c r="E4235" s="32" t="str">
        <f t="shared" si="198"/>
        <v>.0</v>
      </c>
      <c r="F4235" s="32" t="str">
        <f t="shared" si="199"/>
        <v>.0</v>
      </c>
      <c r="G4235" s="37" t="str">
        <f t="shared" si="200"/>
        <v/>
      </c>
    </row>
    <row r="4236" spans="5:7" x14ac:dyDescent="0.45">
      <c r="E4236" s="32" t="str">
        <f t="shared" si="198"/>
        <v>.0</v>
      </c>
      <c r="F4236" s="32" t="str">
        <f t="shared" si="199"/>
        <v>.0</v>
      </c>
      <c r="G4236" s="37" t="str">
        <f t="shared" si="200"/>
        <v/>
      </c>
    </row>
    <row r="4237" spans="5:7" x14ac:dyDescent="0.45">
      <c r="E4237" s="32" t="str">
        <f t="shared" si="198"/>
        <v>.0</v>
      </c>
      <c r="F4237" s="32" t="str">
        <f t="shared" si="199"/>
        <v>.0</v>
      </c>
      <c r="G4237" s="37" t="str">
        <f t="shared" si="200"/>
        <v/>
      </c>
    </row>
    <row r="4238" spans="5:7" x14ac:dyDescent="0.45">
      <c r="E4238" s="32" t="str">
        <f t="shared" si="198"/>
        <v>.0</v>
      </c>
      <c r="F4238" s="32" t="str">
        <f t="shared" si="199"/>
        <v>.0</v>
      </c>
      <c r="G4238" s="37" t="str">
        <f t="shared" si="200"/>
        <v/>
      </c>
    </row>
    <row r="4239" spans="5:7" x14ac:dyDescent="0.45">
      <c r="E4239" s="32" t="str">
        <f t="shared" si="198"/>
        <v>.0</v>
      </c>
      <c r="F4239" s="32" t="str">
        <f t="shared" si="199"/>
        <v>.0</v>
      </c>
      <c r="G4239" s="37" t="str">
        <f t="shared" si="200"/>
        <v/>
      </c>
    </row>
    <row r="4240" spans="5:7" x14ac:dyDescent="0.45">
      <c r="E4240" s="32" t="str">
        <f t="shared" si="198"/>
        <v>.0</v>
      </c>
      <c r="F4240" s="32" t="str">
        <f t="shared" si="199"/>
        <v>.0</v>
      </c>
      <c r="G4240" s="37" t="str">
        <f t="shared" si="200"/>
        <v/>
      </c>
    </row>
    <row r="4241" spans="5:7" x14ac:dyDescent="0.45">
      <c r="E4241" s="32" t="str">
        <f t="shared" si="198"/>
        <v>.0</v>
      </c>
      <c r="F4241" s="32" t="str">
        <f t="shared" si="199"/>
        <v>.0</v>
      </c>
      <c r="G4241" s="37" t="str">
        <f t="shared" si="200"/>
        <v/>
      </c>
    </row>
    <row r="4242" spans="5:7" x14ac:dyDescent="0.45">
      <c r="E4242" s="32" t="str">
        <f t="shared" si="198"/>
        <v>.0</v>
      </c>
      <c r="F4242" s="32" t="str">
        <f t="shared" si="199"/>
        <v>.0</v>
      </c>
      <c r="G4242" s="37" t="str">
        <f t="shared" si="200"/>
        <v/>
      </c>
    </row>
    <row r="4243" spans="5:7" x14ac:dyDescent="0.45">
      <c r="E4243" s="32" t="str">
        <f t="shared" si="198"/>
        <v>.0</v>
      </c>
      <c r="F4243" s="32" t="str">
        <f t="shared" si="199"/>
        <v>.0</v>
      </c>
      <c r="G4243" s="37" t="str">
        <f t="shared" si="200"/>
        <v/>
      </c>
    </row>
    <row r="4244" spans="5:7" x14ac:dyDescent="0.45">
      <c r="E4244" s="32" t="str">
        <f t="shared" si="198"/>
        <v>.0</v>
      </c>
      <c r="F4244" s="32" t="str">
        <f t="shared" si="199"/>
        <v>.0</v>
      </c>
      <c r="G4244" s="37" t="str">
        <f t="shared" si="200"/>
        <v/>
      </c>
    </row>
    <row r="4245" spans="5:7" x14ac:dyDescent="0.45">
      <c r="E4245" s="32" t="str">
        <f t="shared" si="198"/>
        <v>.0</v>
      </c>
      <c r="F4245" s="32" t="str">
        <f t="shared" si="199"/>
        <v>.0</v>
      </c>
      <c r="G4245" s="37" t="str">
        <f t="shared" si="200"/>
        <v/>
      </c>
    </row>
    <row r="4246" spans="5:7" x14ac:dyDescent="0.45">
      <c r="E4246" s="32" t="str">
        <f t="shared" si="198"/>
        <v>.0</v>
      </c>
      <c r="F4246" s="32" t="str">
        <f t="shared" si="199"/>
        <v>.0</v>
      </c>
      <c r="G4246" s="37" t="str">
        <f t="shared" si="200"/>
        <v/>
      </c>
    </row>
    <row r="4247" spans="5:7" x14ac:dyDescent="0.45">
      <c r="E4247" s="32" t="str">
        <f t="shared" si="198"/>
        <v>.0</v>
      </c>
      <c r="F4247" s="32" t="str">
        <f t="shared" si="199"/>
        <v>.0</v>
      </c>
      <c r="G4247" s="37" t="str">
        <f t="shared" si="200"/>
        <v/>
      </c>
    </row>
    <row r="4248" spans="5:7" x14ac:dyDescent="0.45">
      <c r="E4248" s="32" t="str">
        <f t="shared" si="198"/>
        <v>.0</v>
      </c>
      <c r="F4248" s="32" t="str">
        <f t="shared" si="199"/>
        <v>.0</v>
      </c>
      <c r="G4248" s="37" t="str">
        <f t="shared" si="200"/>
        <v/>
      </c>
    </row>
    <row r="4249" spans="5:7" x14ac:dyDescent="0.45">
      <c r="E4249" s="32" t="str">
        <f t="shared" si="198"/>
        <v>.0</v>
      </c>
      <c r="F4249" s="32" t="str">
        <f t="shared" si="199"/>
        <v>.0</v>
      </c>
      <c r="G4249" s="37" t="str">
        <f t="shared" si="200"/>
        <v/>
      </c>
    </row>
    <row r="4250" spans="5:7" x14ac:dyDescent="0.45">
      <c r="E4250" s="32" t="str">
        <f t="shared" si="198"/>
        <v>.0</v>
      </c>
      <c r="F4250" s="32" t="str">
        <f t="shared" si="199"/>
        <v>.0</v>
      </c>
      <c r="G4250" s="37" t="str">
        <f t="shared" si="200"/>
        <v/>
      </c>
    </row>
    <row r="4251" spans="5:7" x14ac:dyDescent="0.45">
      <c r="E4251" s="32" t="str">
        <f t="shared" si="198"/>
        <v>.0</v>
      </c>
      <c r="F4251" s="32" t="str">
        <f t="shared" si="199"/>
        <v>.0</v>
      </c>
      <c r="G4251" s="37" t="str">
        <f t="shared" si="200"/>
        <v/>
      </c>
    </row>
    <row r="4252" spans="5:7" x14ac:dyDescent="0.45">
      <c r="E4252" s="32" t="str">
        <f t="shared" si="198"/>
        <v>.0</v>
      </c>
      <c r="F4252" s="32" t="str">
        <f t="shared" si="199"/>
        <v>.0</v>
      </c>
      <c r="G4252" s="37" t="str">
        <f t="shared" si="200"/>
        <v/>
      </c>
    </row>
    <row r="4253" spans="5:7" x14ac:dyDescent="0.45">
      <c r="E4253" s="32" t="str">
        <f t="shared" si="198"/>
        <v>.0</v>
      </c>
      <c r="F4253" s="32" t="str">
        <f t="shared" si="199"/>
        <v>.0</v>
      </c>
      <c r="G4253" s="37" t="str">
        <f t="shared" si="200"/>
        <v/>
      </c>
    </row>
    <row r="4254" spans="5:7" x14ac:dyDescent="0.45">
      <c r="E4254" s="32" t="str">
        <f t="shared" ref="E4254:E4317" si="201">MID(B4254,3,2)&amp;"."&amp;IF(C4254&lt;10,"0"&amp;C4254,C4254)</f>
        <v>.0</v>
      </c>
      <c r="F4254" s="32" t="str">
        <f t="shared" ref="F4254:F4317" si="202">MID(B4254,3,2)&amp;"."&amp;IF(C4254&lt;10,"0"&amp;C4254,C4254)</f>
        <v>.0</v>
      </c>
      <c r="G4254" s="37" t="str">
        <f t="shared" ref="G4254:G4317" si="203">TEXT(D4254,"#,###,")</f>
        <v/>
      </c>
    </row>
    <row r="4255" spans="5:7" x14ac:dyDescent="0.45">
      <c r="E4255" s="32" t="str">
        <f t="shared" si="201"/>
        <v>.0</v>
      </c>
      <c r="F4255" s="32" t="str">
        <f t="shared" si="202"/>
        <v>.0</v>
      </c>
      <c r="G4255" s="37" t="str">
        <f t="shared" si="203"/>
        <v/>
      </c>
    </row>
    <row r="4256" spans="5:7" x14ac:dyDescent="0.45">
      <c r="E4256" s="32" t="str">
        <f t="shared" si="201"/>
        <v>.0</v>
      </c>
      <c r="F4256" s="32" t="str">
        <f t="shared" si="202"/>
        <v>.0</v>
      </c>
      <c r="G4256" s="37" t="str">
        <f t="shared" si="203"/>
        <v/>
      </c>
    </row>
    <row r="4257" spans="5:7" x14ac:dyDescent="0.45">
      <c r="E4257" s="32" t="str">
        <f t="shared" si="201"/>
        <v>.0</v>
      </c>
      <c r="F4257" s="32" t="str">
        <f t="shared" si="202"/>
        <v>.0</v>
      </c>
      <c r="G4257" s="37" t="str">
        <f t="shared" si="203"/>
        <v/>
      </c>
    </row>
    <row r="4258" spans="5:7" x14ac:dyDescent="0.45">
      <c r="E4258" s="32" t="str">
        <f t="shared" si="201"/>
        <v>.0</v>
      </c>
      <c r="F4258" s="32" t="str">
        <f t="shared" si="202"/>
        <v>.0</v>
      </c>
      <c r="G4258" s="37" t="str">
        <f t="shared" si="203"/>
        <v/>
      </c>
    </row>
    <row r="4259" spans="5:7" x14ac:dyDescent="0.45">
      <c r="E4259" s="32" t="str">
        <f t="shared" si="201"/>
        <v>.0</v>
      </c>
      <c r="F4259" s="32" t="str">
        <f t="shared" si="202"/>
        <v>.0</v>
      </c>
      <c r="G4259" s="37" t="str">
        <f t="shared" si="203"/>
        <v/>
      </c>
    </row>
    <row r="4260" spans="5:7" x14ac:dyDescent="0.45">
      <c r="E4260" s="32" t="str">
        <f t="shared" si="201"/>
        <v>.0</v>
      </c>
      <c r="F4260" s="32" t="str">
        <f t="shared" si="202"/>
        <v>.0</v>
      </c>
      <c r="G4260" s="37" t="str">
        <f t="shared" si="203"/>
        <v/>
      </c>
    </row>
    <row r="4261" spans="5:7" x14ac:dyDescent="0.45">
      <c r="E4261" s="32" t="str">
        <f t="shared" si="201"/>
        <v>.0</v>
      </c>
      <c r="F4261" s="32" t="str">
        <f t="shared" si="202"/>
        <v>.0</v>
      </c>
      <c r="G4261" s="37" t="str">
        <f t="shared" si="203"/>
        <v/>
      </c>
    </row>
    <row r="4262" spans="5:7" x14ac:dyDescent="0.45">
      <c r="E4262" s="32" t="str">
        <f t="shared" si="201"/>
        <v>.0</v>
      </c>
      <c r="F4262" s="32" t="str">
        <f t="shared" si="202"/>
        <v>.0</v>
      </c>
      <c r="G4262" s="37" t="str">
        <f t="shared" si="203"/>
        <v/>
      </c>
    </row>
    <row r="4263" spans="5:7" x14ac:dyDescent="0.45">
      <c r="E4263" s="32" t="str">
        <f t="shared" si="201"/>
        <v>.0</v>
      </c>
      <c r="F4263" s="32" t="str">
        <f t="shared" si="202"/>
        <v>.0</v>
      </c>
      <c r="G4263" s="37" t="str">
        <f t="shared" si="203"/>
        <v/>
      </c>
    </row>
    <row r="4264" spans="5:7" x14ac:dyDescent="0.45">
      <c r="E4264" s="32" t="str">
        <f t="shared" si="201"/>
        <v>.0</v>
      </c>
      <c r="F4264" s="32" t="str">
        <f t="shared" si="202"/>
        <v>.0</v>
      </c>
      <c r="G4264" s="37" t="str">
        <f t="shared" si="203"/>
        <v/>
      </c>
    </row>
    <row r="4265" spans="5:7" x14ac:dyDescent="0.45">
      <c r="E4265" s="32" t="str">
        <f t="shared" si="201"/>
        <v>.0</v>
      </c>
      <c r="F4265" s="32" t="str">
        <f t="shared" si="202"/>
        <v>.0</v>
      </c>
      <c r="G4265" s="37" t="str">
        <f t="shared" si="203"/>
        <v/>
      </c>
    </row>
    <row r="4266" spans="5:7" x14ac:dyDescent="0.45">
      <c r="E4266" s="32" t="str">
        <f t="shared" si="201"/>
        <v>.0</v>
      </c>
      <c r="F4266" s="32" t="str">
        <f t="shared" si="202"/>
        <v>.0</v>
      </c>
      <c r="G4266" s="37" t="str">
        <f t="shared" si="203"/>
        <v/>
      </c>
    </row>
    <row r="4267" spans="5:7" x14ac:dyDescent="0.45">
      <c r="E4267" s="32" t="str">
        <f t="shared" si="201"/>
        <v>.0</v>
      </c>
      <c r="F4267" s="32" t="str">
        <f t="shared" si="202"/>
        <v>.0</v>
      </c>
      <c r="G4267" s="37" t="str">
        <f t="shared" si="203"/>
        <v/>
      </c>
    </row>
    <row r="4268" spans="5:7" x14ac:dyDescent="0.45">
      <c r="E4268" s="32" t="str">
        <f t="shared" si="201"/>
        <v>.0</v>
      </c>
      <c r="F4268" s="32" t="str">
        <f t="shared" si="202"/>
        <v>.0</v>
      </c>
      <c r="G4268" s="37" t="str">
        <f t="shared" si="203"/>
        <v/>
      </c>
    </row>
    <row r="4269" spans="5:7" x14ac:dyDescent="0.45">
      <c r="E4269" s="32" t="str">
        <f t="shared" si="201"/>
        <v>.0</v>
      </c>
      <c r="F4269" s="32" t="str">
        <f t="shared" si="202"/>
        <v>.0</v>
      </c>
      <c r="G4269" s="37" t="str">
        <f t="shared" si="203"/>
        <v/>
      </c>
    </row>
    <row r="4270" spans="5:7" x14ac:dyDescent="0.45">
      <c r="E4270" s="32" t="str">
        <f t="shared" si="201"/>
        <v>.0</v>
      </c>
      <c r="F4270" s="32" t="str">
        <f t="shared" si="202"/>
        <v>.0</v>
      </c>
      <c r="G4270" s="37" t="str">
        <f t="shared" si="203"/>
        <v/>
      </c>
    </row>
    <row r="4271" spans="5:7" x14ac:dyDescent="0.45">
      <c r="E4271" s="32" t="str">
        <f t="shared" si="201"/>
        <v>.0</v>
      </c>
      <c r="F4271" s="32" t="str">
        <f t="shared" si="202"/>
        <v>.0</v>
      </c>
      <c r="G4271" s="37" t="str">
        <f t="shared" si="203"/>
        <v/>
      </c>
    </row>
    <row r="4272" spans="5:7" x14ac:dyDescent="0.45">
      <c r="E4272" s="32" t="str">
        <f t="shared" si="201"/>
        <v>.0</v>
      </c>
      <c r="F4272" s="32" t="str">
        <f t="shared" si="202"/>
        <v>.0</v>
      </c>
      <c r="G4272" s="37" t="str">
        <f t="shared" si="203"/>
        <v/>
      </c>
    </row>
    <row r="4273" spans="5:7" x14ac:dyDescent="0.45">
      <c r="E4273" s="32" t="str">
        <f t="shared" si="201"/>
        <v>.0</v>
      </c>
      <c r="F4273" s="32" t="str">
        <f t="shared" si="202"/>
        <v>.0</v>
      </c>
      <c r="G4273" s="37" t="str">
        <f t="shared" si="203"/>
        <v/>
      </c>
    </row>
    <row r="4274" spans="5:7" x14ac:dyDescent="0.45">
      <c r="E4274" s="32" t="str">
        <f t="shared" si="201"/>
        <v>.0</v>
      </c>
      <c r="F4274" s="32" t="str">
        <f t="shared" si="202"/>
        <v>.0</v>
      </c>
      <c r="G4274" s="37" t="str">
        <f t="shared" si="203"/>
        <v/>
      </c>
    </row>
    <row r="4275" spans="5:7" x14ac:dyDescent="0.45">
      <c r="E4275" s="32" t="str">
        <f t="shared" si="201"/>
        <v>.0</v>
      </c>
      <c r="F4275" s="32" t="str">
        <f t="shared" si="202"/>
        <v>.0</v>
      </c>
      <c r="G4275" s="37" t="str">
        <f t="shared" si="203"/>
        <v/>
      </c>
    </row>
    <row r="4276" spans="5:7" x14ac:dyDescent="0.45">
      <c r="E4276" s="32" t="str">
        <f t="shared" si="201"/>
        <v>.0</v>
      </c>
      <c r="F4276" s="32" t="str">
        <f t="shared" si="202"/>
        <v>.0</v>
      </c>
      <c r="G4276" s="37" t="str">
        <f t="shared" si="203"/>
        <v/>
      </c>
    </row>
    <row r="4277" spans="5:7" x14ac:dyDescent="0.45">
      <c r="E4277" s="32" t="str">
        <f t="shared" si="201"/>
        <v>.0</v>
      </c>
      <c r="F4277" s="32" t="str">
        <f t="shared" si="202"/>
        <v>.0</v>
      </c>
      <c r="G4277" s="37" t="str">
        <f t="shared" si="203"/>
        <v/>
      </c>
    </row>
    <row r="4278" spans="5:7" x14ac:dyDescent="0.45">
      <c r="E4278" s="32" t="str">
        <f t="shared" si="201"/>
        <v>.0</v>
      </c>
      <c r="F4278" s="32" t="str">
        <f t="shared" si="202"/>
        <v>.0</v>
      </c>
      <c r="G4278" s="37" t="str">
        <f t="shared" si="203"/>
        <v/>
      </c>
    </row>
    <row r="4279" spans="5:7" x14ac:dyDescent="0.45">
      <c r="E4279" s="32" t="str">
        <f t="shared" si="201"/>
        <v>.0</v>
      </c>
      <c r="F4279" s="32" t="str">
        <f t="shared" si="202"/>
        <v>.0</v>
      </c>
      <c r="G4279" s="37" t="str">
        <f t="shared" si="203"/>
        <v/>
      </c>
    </row>
    <row r="4280" spans="5:7" x14ac:dyDescent="0.45">
      <c r="E4280" s="32" t="str">
        <f t="shared" si="201"/>
        <v>.0</v>
      </c>
      <c r="F4280" s="32" t="str">
        <f t="shared" si="202"/>
        <v>.0</v>
      </c>
      <c r="G4280" s="37" t="str">
        <f t="shared" si="203"/>
        <v/>
      </c>
    </row>
    <row r="4281" spans="5:7" x14ac:dyDescent="0.45">
      <c r="E4281" s="32" t="str">
        <f t="shared" si="201"/>
        <v>.0</v>
      </c>
      <c r="F4281" s="32" t="str">
        <f t="shared" si="202"/>
        <v>.0</v>
      </c>
      <c r="G4281" s="37" t="str">
        <f t="shared" si="203"/>
        <v/>
      </c>
    </row>
    <row r="4282" spans="5:7" x14ac:dyDescent="0.45">
      <c r="E4282" s="32" t="str">
        <f t="shared" si="201"/>
        <v>.0</v>
      </c>
      <c r="F4282" s="32" t="str">
        <f t="shared" si="202"/>
        <v>.0</v>
      </c>
      <c r="G4282" s="37" t="str">
        <f t="shared" si="203"/>
        <v/>
      </c>
    </row>
    <row r="4283" spans="5:7" x14ac:dyDescent="0.45">
      <c r="E4283" s="32" t="str">
        <f t="shared" si="201"/>
        <v>.0</v>
      </c>
      <c r="F4283" s="32" t="str">
        <f t="shared" si="202"/>
        <v>.0</v>
      </c>
      <c r="G4283" s="37" t="str">
        <f t="shared" si="203"/>
        <v/>
      </c>
    </row>
    <row r="4284" spans="5:7" x14ac:dyDescent="0.45">
      <c r="E4284" s="32" t="str">
        <f t="shared" si="201"/>
        <v>.0</v>
      </c>
      <c r="F4284" s="32" t="str">
        <f t="shared" si="202"/>
        <v>.0</v>
      </c>
      <c r="G4284" s="37" t="str">
        <f t="shared" si="203"/>
        <v/>
      </c>
    </row>
    <row r="4285" spans="5:7" x14ac:dyDescent="0.45">
      <c r="E4285" s="32" t="str">
        <f t="shared" si="201"/>
        <v>.0</v>
      </c>
      <c r="F4285" s="32" t="str">
        <f t="shared" si="202"/>
        <v>.0</v>
      </c>
      <c r="G4285" s="37" t="str">
        <f t="shared" si="203"/>
        <v/>
      </c>
    </row>
    <row r="4286" spans="5:7" x14ac:dyDescent="0.45">
      <c r="E4286" s="32" t="str">
        <f t="shared" si="201"/>
        <v>.0</v>
      </c>
      <c r="F4286" s="32" t="str">
        <f t="shared" si="202"/>
        <v>.0</v>
      </c>
      <c r="G4286" s="37" t="str">
        <f t="shared" si="203"/>
        <v/>
      </c>
    </row>
    <row r="4287" spans="5:7" x14ac:dyDescent="0.45">
      <c r="E4287" s="32" t="str">
        <f t="shared" si="201"/>
        <v>.0</v>
      </c>
      <c r="F4287" s="32" t="str">
        <f t="shared" si="202"/>
        <v>.0</v>
      </c>
      <c r="G4287" s="37" t="str">
        <f t="shared" si="203"/>
        <v/>
      </c>
    </row>
    <row r="4288" spans="5:7" x14ac:dyDescent="0.45">
      <c r="E4288" s="32" t="str">
        <f t="shared" si="201"/>
        <v>.0</v>
      </c>
      <c r="F4288" s="32" t="str">
        <f t="shared" si="202"/>
        <v>.0</v>
      </c>
      <c r="G4288" s="37" t="str">
        <f t="shared" si="203"/>
        <v/>
      </c>
    </row>
    <row r="4289" spans="5:7" x14ac:dyDescent="0.45">
      <c r="E4289" s="32" t="str">
        <f t="shared" si="201"/>
        <v>.0</v>
      </c>
      <c r="F4289" s="32" t="str">
        <f t="shared" si="202"/>
        <v>.0</v>
      </c>
      <c r="G4289" s="37" t="str">
        <f t="shared" si="203"/>
        <v/>
      </c>
    </row>
    <row r="4290" spans="5:7" x14ac:dyDescent="0.45">
      <c r="E4290" s="32" t="str">
        <f t="shared" si="201"/>
        <v>.0</v>
      </c>
      <c r="F4290" s="32" t="str">
        <f t="shared" si="202"/>
        <v>.0</v>
      </c>
      <c r="G4290" s="37" t="str">
        <f t="shared" si="203"/>
        <v/>
      </c>
    </row>
    <row r="4291" spans="5:7" x14ac:dyDescent="0.45">
      <c r="E4291" s="32" t="str">
        <f t="shared" si="201"/>
        <v>.0</v>
      </c>
      <c r="F4291" s="32" t="str">
        <f t="shared" si="202"/>
        <v>.0</v>
      </c>
      <c r="G4291" s="37" t="str">
        <f t="shared" si="203"/>
        <v/>
      </c>
    </row>
    <row r="4292" spans="5:7" x14ac:dyDescent="0.45">
      <c r="E4292" s="32" t="str">
        <f t="shared" si="201"/>
        <v>.0</v>
      </c>
      <c r="F4292" s="32" t="str">
        <f t="shared" si="202"/>
        <v>.0</v>
      </c>
      <c r="G4292" s="37" t="str">
        <f t="shared" si="203"/>
        <v/>
      </c>
    </row>
    <row r="4293" spans="5:7" x14ac:dyDescent="0.45">
      <c r="E4293" s="32" t="str">
        <f t="shared" si="201"/>
        <v>.0</v>
      </c>
      <c r="F4293" s="32" t="str">
        <f t="shared" si="202"/>
        <v>.0</v>
      </c>
      <c r="G4293" s="37" t="str">
        <f t="shared" si="203"/>
        <v/>
      </c>
    </row>
    <row r="4294" spans="5:7" x14ac:dyDescent="0.45">
      <c r="E4294" s="32" t="str">
        <f t="shared" si="201"/>
        <v>.0</v>
      </c>
      <c r="F4294" s="32" t="str">
        <f t="shared" si="202"/>
        <v>.0</v>
      </c>
      <c r="G4294" s="37" t="str">
        <f t="shared" si="203"/>
        <v/>
      </c>
    </row>
    <row r="4295" spans="5:7" x14ac:dyDescent="0.45">
      <c r="E4295" s="32" t="str">
        <f t="shared" si="201"/>
        <v>.0</v>
      </c>
      <c r="F4295" s="32" t="str">
        <f t="shared" si="202"/>
        <v>.0</v>
      </c>
      <c r="G4295" s="37" t="str">
        <f t="shared" si="203"/>
        <v/>
      </c>
    </row>
    <row r="4296" spans="5:7" x14ac:dyDescent="0.45">
      <c r="E4296" s="32" t="str">
        <f t="shared" si="201"/>
        <v>.0</v>
      </c>
      <c r="F4296" s="32" t="str">
        <f t="shared" si="202"/>
        <v>.0</v>
      </c>
      <c r="G4296" s="37" t="str">
        <f t="shared" si="203"/>
        <v/>
      </c>
    </row>
    <row r="4297" spans="5:7" x14ac:dyDescent="0.45">
      <c r="E4297" s="32" t="str">
        <f t="shared" si="201"/>
        <v>.0</v>
      </c>
      <c r="F4297" s="32" t="str">
        <f t="shared" si="202"/>
        <v>.0</v>
      </c>
      <c r="G4297" s="37" t="str">
        <f t="shared" si="203"/>
        <v/>
      </c>
    </row>
    <row r="4298" spans="5:7" x14ac:dyDescent="0.45">
      <c r="E4298" s="32" t="str">
        <f t="shared" si="201"/>
        <v>.0</v>
      </c>
      <c r="F4298" s="32" t="str">
        <f t="shared" si="202"/>
        <v>.0</v>
      </c>
      <c r="G4298" s="37" t="str">
        <f t="shared" si="203"/>
        <v/>
      </c>
    </row>
    <row r="4299" spans="5:7" x14ac:dyDescent="0.45">
      <c r="E4299" s="32" t="str">
        <f t="shared" si="201"/>
        <v>.0</v>
      </c>
      <c r="F4299" s="32" t="str">
        <f t="shared" si="202"/>
        <v>.0</v>
      </c>
      <c r="G4299" s="37" t="str">
        <f t="shared" si="203"/>
        <v/>
      </c>
    </row>
    <row r="4300" spans="5:7" x14ac:dyDescent="0.45">
      <c r="E4300" s="32" t="str">
        <f t="shared" si="201"/>
        <v>.0</v>
      </c>
      <c r="F4300" s="32" t="str">
        <f t="shared" si="202"/>
        <v>.0</v>
      </c>
      <c r="G4300" s="37" t="str">
        <f t="shared" si="203"/>
        <v/>
      </c>
    </row>
    <row r="4301" spans="5:7" x14ac:dyDescent="0.45">
      <c r="E4301" s="32" t="str">
        <f t="shared" si="201"/>
        <v>.0</v>
      </c>
      <c r="F4301" s="32" t="str">
        <f t="shared" si="202"/>
        <v>.0</v>
      </c>
      <c r="G4301" s="37" t="str">
        <f t="shared" si="203"/>
        <v/>
      </c>
    </row>
    <row r="4302" spans="5:7" x14ac:dyDescent="0.45">
      <c r="E4302" s="32" t="str">
        <f t="shared" si="201"/>
        <v>.0</v>
      </c>
      <c r="F4302" s="32" t="str">
        <f t="shared" si="202"/>
        <v>.0</v>
      </c>
      <c r="G4302" s="37" t="str">
        <f t="shared" si="203"/>
        <v/>
      </c>
    </row>
    <row r="4303" spans="5:7" x14ac:dyDescent="0.45">
      <c r="E4303" s="32" t="str">
        <f t="shared" si="201"/>
        <v>.0</v>
      </c>
      <c r="F4303" s="32" t="str">
        <f t="shared" si="202"/>
        <v>.0</v>
      </c>
      <c r="G4303" s="37" t="str">
        <f t="shared" si="203"/>
        <v/>
      </c>
    </row>
    <row r="4304" spans="5:7" x14ac:dyDescent="0.45">
      <c r="E4304" s="32" t="str">
        <f t="shared" si="201"/>
        <v>.0</v>
      </c>
      <c r="F4304" s="32" t="str">
        <f t="shared" si="202"/>
        <v>.0</v>
      </c>
      <c r="G4304" s="37" t="str">
        <f t="shared" si="203"/>
        <v/>
      </c>
    </row>
    <row r="4305" spans="5:7" x14ac:dyDescent="0.45">
      <c r="E4305" s="32" t="str">
        <f t="shared" si="201"/>
        <v>.0</v>
      </c>
      <c r="F4305" s="32" t="str">
        <f t="shared" si="202"/>
        <v>.0</v>
      </c>
      <c r="G4305" s="37" t="str">
        <f t="shared" si="203"/>
        <v/>
      </c>
    </row>
    <row r="4306" spans="5:7" x14ac:dyDescent="0.45">
      <c r="E4306" s="32" t="str">
        <f t="shared" si="201"/>
        <v>.0</v>
      </c>
      <c r="F4306" s="32" t="str">
        <f t="shared" si="202"/>
        <v>.0</v>
      </c>
      <c r="G4306" s="37" t="str">
        <f t="shared" si="203"/>
        <v/>
      </c>
    </row>
    <row r="4307" spans="5:7" x14ac:dyDescent="0.45">
      <c r="E4307" s="32" t="str">
        <f t="shared" si="201"/>
        <v>.0</v>
      </c>
      <c r="F4307" s="32" t="str">
        <f t="shared" si="202"/>
        <v>.0</v>
      </c>
      <c r="G4307" s="37" t="str">
        <f t="shared" si="203"/>
        <v/>
      </c>
    </row>
    <row r="4308" spans="5:7" x14ac:dyDescent="0.45">
      <c r="E4308" s="32" t="str">
        <f t="shared" si="201"/>
        <v>.0</v>
      </c>
      <c r="F4308" s="32" t="str">
        <f t="shared" si="202"/>
        <v>.0</v>
      </c>
      <c r="G4308" s="37" t="str">
        <f t="shared" si="203"/>
        <v/>
      </c>
    </row>
    <row r="4309" spans="5:7" x14ac:dyDescent="0.45">
      <c r="E4309" s="32" t="str">
        <f t="shared" si="201"/>
        <v>.0</v>
      </c>
      <c r="F4309" s="32" t="str">
        <f t="shared" si="202"/>
        <v>.0</v>
      </c>
      <c r="G4309" s="37" t="str">
        <f t="shared" si="203"/>
        <v/>
      </c>
    </row>
    <row r="4310" spans="5:7" x14ac:dyDescent="0.45">
      <c r="E4310" s="32" t="str">
        <f t="shared" si="201"/>
        <v>.0</v>
      </c>
      <c r="F4310" s="32" t="str">
        <f t="shared" si="202"/>
        <v>.0</v>
      </c>
      <c r="G4310" s="37" t="str">
        <f t="shared" si="203"/>
        <v/>
      </c>
    </row>
    <row r="4311" spans="5:7" x14ac:dyDescent="0.45">
      <c r="E4311" s="32" t="str">
        <f t="shared" si="201"/>
        <v>.0</v>
      </c>
      <c r="F4311" s="32" t="str">
        <f t="shared" si="202"/>
        <v>.0</v>
      </c>
      <c r="G4311" s="37" t="str">
        <f t="shared" si="203"/>
        <v/>
      </c>
    </row>
    <row r="4312" spans="5:7" x14ac:dyDescent="0.45">
      <c r="E4312" s="32" t="str">
        <f t="shared" si="201"/>
        <v>.0</v>
      </c>
      <c r="F4312" s="32" t="str">
        <f t="shared" si="202"/>
        <v>.0</v>
      </c>
      <c r="G4312" s="37" t="str">
        <f t="shared" si="203"/>
        <v/>
      </c>
    </row>
    <row r="4313" spans="5:7" x14ac:dyDescent="0.45">
      <c r="E4313" s="32" t="str">
        <f t="shared" si="201"/>
        <v>.0</v>
      </c>
      <c r="F4313" s="32" t="str">
        <f t="shared" si="202"/>
        <v>.0</v>
      </c>
      <c r="G4313" s="37" t="str">
        <f t="shared" si="203"/>
        <v/>
      </c>
    </row>
    <row r="4314" spans="5:7" x14ac:dyDescent="0.45">
      <c r="E4314" s="32" t="str">
        <f t="shared" si="201"/>
        <v>.0</v>
      </c>
      <c r="F4314" s="32" t="str">
        <f t="shared" si="202"/>
        <v>.0</v>
      </c>
      <c r="G4314" s="37" t="str">
        <f t="shared" si="203"/>
        <v/>
      </c>
    </row>
    <row r="4315" spans="5:7" x14ac:dyDescent="0.45">
      <c r="E4315" s="32" t="str">
        <f t="shared" si="201"/>
        <v>.0</v>
      </c>
      <c r="F4315" s="32" t="str">
        <f t="shared" si="202"/>
        <v>.0</v>
      </c>
      <c r="G4315" s="37" t="str">
        <f t="shared" si="203"/>
        <v/>
      </c>
    </row>
    <row r="4316" spans="5:7" x14ac:dyDescent="0.45">
      <c r="E4316" s="32" t="str">
        <f t="shared" si="201"/>
        <v>.0</v>
      </c>
      <c r="F4316" s="32" t="str">
        <f t="shared" si="202"/>
        <v>.0</v>
      </c>
      <c r="G4316" s="37" t="str">
        <f t="shared" si="203"/>
        <v/>
      </c>
    </row>
    <row r="4317" spans="5:7" x14ac:dyDescent="0.45">
      <c r="E4317" s="32" t="str">
        <f t="shared" si="201"/>
        <v>.0</v>
      </c>
      <c r="F4317" s="32" t="str">
        <f t="shared" si="202"/>
        <v>.0</v>
      </c>
      <c r="G4317" s="37" t="str">
        <f t="shared" si="203"/>
        <v/>
      </c>
    </row>
    <row r="4318" spans="5:7" x14ac:dyDescent="0.45">
      <c r="E4318" s="32" t="str">
        <f t="shared" ref="E4318:E4381" si="204">MID(B4318,3,2)&amp;"."&amp;IF(C4318&lt;10,"0"&amp;C4318,C4318)</f>
        <v>.0</v>
      </c>
      <c r="F4318" s="32" t="str">
        <f t="shared" ref="F4318:F4381" si="205">MID(B4318,3,2)&amp;"."&amp;IF(C4318&lt;10,"0"&amp;C4318,C4318)</f>
        <v>.0</v>
      </c>
      <c r="G4318" s="37" t="str">
        <f t="shared" ref="G4318:G4381" si="206">TEXT(D4318,"#,###,")</f>
        <v/>
      </c>
    </row>
    <row r="4319" spans="5:7" x14ac:dyDescent="0.45">
      <c r="E4319" s="32" t="str">
        <f t="shared" si="204"/>
        <v>.0</v>
      </c>
      <c r="F4319" s="32" t="str">
        <f t="shared" si="205"/>
        <v>.0</v>
      </c>
      <c r="G4319" s="37" t="str">
        <f t="shared" si="206"/>
        <v/>
      </c>
    </row>
    <row r="4320" spans="5:7" x14ac:dyDescent="0.45">
      <c r="E4320" s="32" t="str">
        <f t="shared" si="204"/>
        <v>.0</v>
      </c>
      <c r="F4320" s="32" t="str">
        <f t="shared" si="205"/>
        <v>.0</v>
      </c>
      <c r="G4320" s="37" t="str">
        <f t="shared" si="206"/>
        <v/>
      </c>
    </row>
    <row r="4321" spans="5:7" x14ac:dyDescent="0.45">
      <c r="E4321" s="32" t="str">
        <f t="shared" si="204"/>
        <v>.0</v>
      </c>
      <c r="F4321" s="32" t="str">
        <f t="shared" si="205"/>
        <v>.0</v>
      </c>
      <c r="G4321" s="37" t="str">
        <f t="shared" si="206"/>
        <v/>
      </c>
    </row>
    <row r="4322" spans="5:7" x14ac:dyDescent="0.45">
      <c r="E4322" s="32" t="str">
        <f t="shared" si="204"/>
        <v>.0</v>
      </c>
      <c r="F4322" s="32" t="str">
        <f t="shared" si="205"/>
        <v>.0</v>
      </c>
      <c r="G4322" s="37" t="str">
        <f t="shared" si="206"/>
        <v/>
      </c>
    </row>
    <row r="4323" spans="5:7" x14ac:dyDescent="0.45">
      <c r="E4323" s="32" t="str">
        <f t="shared" si="204"/>
        <v>.0</v>
      </c>
      <c r="F4323" s="32" t="str">
        <f t="shared" si="205"/>
        <v>.0</v>
      </c>
      <c r="G4323" s="37" t="str">
        <f t="shared" si="206"/>
        <v/>
      </c>
    </row>
    <row r="4324" spans="5:7" x14ac:dyDescent="0.45">
      <c r="E4324" s="32" t="str">
        <f t="shared" si="204"/>
        <v>.0</v>
      </c>
      <c r="F4324" s="32" t="str">
        <f t="shared" si="205"/>
        <v>.0</v>
      </c>
      <c r="G4324" s="37" t="str">
        <f t="shared" si="206"/>
        <v/>
      </c>
    </row>
    <row r="4325" spans="5:7" x14ac:dyDescent="0.45">
      <c r="E4325" s="32" t="str">
        <f t="shared" si="204"/>
        <v>.0</v>
      </c>
      <c r="F4325" s="32" t="str">
        <f t="shared" si="205"/>
        <v>.0</v>
      </c>
      <c r="G4325" s="37" t="str">
        <f t="shared" si="206"/>
        <v/>
      </c>
    </row>
    <row r="4326" spans="5:7" x14ac:dyDescent="0.45">
      <c r="E4326" s="32" t="str">
        <f t="shared" si="204"/>
        <v>.0</v>
      </c>
      <c r="F4326" s="32" t="str">
        <f t="shared" si="205"/>
        <v>.0</v>
      </c>
      <c r="G4326" s="37" t="str">
        <f t="shared" si="206"/>
        <v/>
      </c>
    </row>
    <row r="4327" spans="5:7" x14ac:dyDescent="0.45">
      <c r="E4327" s="32" t="str">
        <f t="shared" si="204"/>
        <v>.0</v>
      </c>
      <c r="F4327" s="32" t="str">
        <f t="shared" si="205"/>
        <v>.0</v>
      </c>
      <c r="G4327" s="37" t="str">
        <f t="shared" si="206"/>
        <v/>
      </c>
    </row>
    <row r="4328" spans="5:7" x14ac:dyDescent="0.45">
      <c r="E4328" s="32" t="str">
        <f t="shared" si="204"/>
        <v>.0</v>
      </c>
      <c r="F4328" s="32" t="str">
        <f t="shared" si="205"/>
        <v>.0</v>
      </c>
      <c r="G4328" s="37" t="str">
        <f t="shared" si="206"/>
        <v/>
      </c>
    </row>
    <row r="4329" spans="5:7" x14ac:dyDescent="0.45">
      <c r="E4329" s="32" t="str">
        <f t="shared" si="204"/>
        <v>.0</v>
      </c>
      <c r="F4329" s="32" t="str">
        <f t="shared" si="205"/>
        <v>.0</v>
      </c>
      <c r="G4329" s="37" t="str">
        <f t="shared" si="206"/>
        <v/>
      </c>
    </row>
    <row r="4330" spans="5:7" x14ac:dyDescent="0.45">
      <c r="E4330" s="32" t="str">
        <f t="shared" si="204"/>
        <v>.0</v>
      </c>
      <c r="F4330" s="32" t="str">
        <f t="shared" si="205"/>
        <v>.0</v>
      </c>
      <c r="G4330" s="37" t="str">
        <f t="shared" si="206"/>
        <v/>
      </c>
    </row>
    <row r="4331" spans="5:7" x14ac:dyDescent="0.45">
      <c r="E4331" s="32" t="str">
        <f t="shared" si="204"/>
        <v>.0</v>
      </c>
      <c r="F4331" s="32" t="str">
        <f t="shared" si="205"/>
        <v>.0</v>
      </c>
      <c r="G4331" s="37" t="str">
        <f t="shared" si="206"/>
        <v/>
      </c>
    </row>
    <row r="4332" spans="5:7" x14ac:dyDescent="0.45">
      <c r="E4332" s="32" t="str">
        <f t="shared" si="204"/>
        <v>.0</v>
      </c>
      <c r="F4332" s="32" t="str">
        <f t="shared" si="205"/>
        <v>.0</v>
      </c>
      <c r="G4332" s="37" t="str">
        <f t="shared" si="206"/>
        <v/>
      </c>
    </row>
    <row r="4333" spans="5:7" x14ac:dyDescent="0.45">
      <c r="E4333" s="32" t="str">
        <f t="shared" si="204"/>
        <v>.0</v>
      </c>
      <c r="F4333" s="32" t="str">
        <f t="shared" si="205"/>
        <v>.0</v>
      </c>
      <c r="G4333" s="37" t="str">
        <f t="shared" si="206"/>
        <v/>
      </c>
    </row>
    <row r="4334" spans="5:7" x14ac:dyDescent="0.45">
      <c r="E4334" s="32" t="str">
        <f t="shared" si="204"/>
        <v>.0</v>
      </c>
      <c r="F4334" s="32" t="str">
        <f t="shared" si="205"/>
        <v>.0</v>
      </c>
      <c r="G4334" s="37" t="str">
        <f t="shared" si="206"/>
        <v/>
      </c>
    </row>
    <row r="4335" spans="5:7" x14ac:dyDescent="0.45">
      <c r="E4335" s="32" t="str">
        <f t="shared" si="204"/>
        <v>.0</v>
      </c>
      <c r="F4335" s="32" t="str">
        <f t="shared" si="205"/>
        <v>.0</v>
      </c>
      <c r="G4335" s="37" t="str">
        <f t="shared" si="206"/>
        <v/>
      </c>
    </row>
    <row r="4336" spans="5:7" x14ac:dyDescent="0.45">
      <c r="E4336" s="32" t="str">
        <f t="shared" si="204"/>
        <v>.0</v>
      </c>
      <c r="F4336" s="32" t="str">
        <f t="shared" si="205"/>
        <v>.0</v>
      </c>
      <c r="G4336" s="37" t="str">
        <f t="shared" si="206"/>
        <v/>
      </c>
    </row>
    <row r="4337" spans="5:7" x14ac:dyDescent="0.45">
      <c r="E4337" s="32" t="str">
        <f t="shared" si="204"/>
        <v>.0</v>
      </c>
      <c r="F4337" s="32" t="str">
        <f t="shared" si="205"/>
        <v>.0</v>
      </c>
      <c r="G4337" s="37" t="str">
        <f t="shared" si="206"/>
        <v/>
      </c>
    </row>
    <row r="4338" spans="5:7" x14ac:dyDescent="0.45">
      <c r="E4338" s="32" t="str">
        <f t="shared" si="204"/>
        <v>.0</v>
      </c>
      <c r="F4338" s="32" t="str">
        <f t="shared" si="205"/>
        <v>.0</v>
      </c>
      <c r="G4338" s="37" t="str">
        <f t="shared" si="206"/>
        <v/>
      </c>
    </row>
    <row r="4339" spans="5:7" x14ac:dyDescent="0.45">
      <c r="E4339" s="32" t="str">
        <f t="shared" si="204"/>
        <v>.0</v>
      </c>
      <c r="F4339" s="32" t="str">
        <f t="shared" si="205"/>
        <v>.0</v>
      </c>
      <c r="G4339" s="37" t="str">
        <f t="shared" si="206"/>
        <v/>
      </c>
    </row>
    <row r="4340" spans="5:7" x14ac:dyDescent="0.45">
      <c r="E4340" s="32" t="str">
        <f t="shared" si="204"/>
        <v>.0</v>
      </c>
      <c r="F4340" s="32" t="str">
        <f t="shared" si="205"/>
        <v>.0</v>
      </c>
      <c r="G4340" s="37" t="str">
        <f t="shared" si="206"/>
        <v/>
      </c>
    </row>
    <row r="4341" spans="5:7" x14ac:dyDescent="0.45">
      <c r="E4341" s="32" t="str">
        <f t="shared" si="204"/>
        <v>.0</v>
      </c>
      <c r="F4341" s="32" t="str">
        <f t="shared" si="205"/>
        <v>.0</v>
      </c>
      <c r="G4341" s="37" t="str">
        <f t="shared" si="206"/>
        <v/>
      </c>
    </row>
    <row r="4342" spans="5:7" x14ac:dyDescent="0.45">
      <c r="E4342" s="32" t="str">
        <f t="shared" si="204"/>
        <v>.0</v>
      </c>
      <c r="F4342" s="32" t="str">
        <f t="shared" si="205"/>
        <v>.0</v>
      </c>
      <c r="G4342" s="37" t="str">
        <f t="shared" si="206"/>
        <v/>
      </c>
    </row>
    <row r="4343" spans="5:7" x14ac:dyDescent="0.45">
      <c r="E4343" s="32" t="str">
        <f t="shared" si="204"/>
        <v>.0</v>
      </c>
      <c r="F4343" s="32" t="str">
        <f t="shared" si="205"/>
        <v>.0</v>
      </c>
      <c r="G4343" s="37" t="str">
        <f t="shared" si="206"/>
        <v/>
      </c>
    </row>
    <row r="4344" spans="5:7" x14ac:dyDescent="0.45">
      <c r="E4344" s="32" t="str">
        <f t="shared" si="204"/>
        <v>.0</v>
      </c>
      <c r="F4344" s="32" t="str">
        <f t="shared" si="205"/>
        <v>.0</v>
      </c>
      <c r="G4344" s="37" t="str">
        <f t="shared" si="206"/>
        <v/>
      </c>
    </row>
    <row r="4345" spans="5:7" x14ac:dyDescent="0.45">
      <c r="E4345" s="32" t="str">
        <f t="shared" si="204"/>
        <v>.0</v>
      </c>
      <c r="F4345" s="32" t="str">
        <f t="shared" si="205"/>
        <v>.0</v>
      </c>
      <c r="G4345" s="37" t="str">
        <f t="shared" si="206"/>
        <v/>
      </c>
    </row>
    <row r="4346" spans="5:7" x14ac:dyDescent="0.45">
      <c r="E4346" s="32" t="str">
        <f t="shared" si="204"/>
        <v>.0</v>
      </c>
      <c r="F4346" s="32" t="str">
        <f t="shared" si="205"/>
        <v>.0</v>
      </c>
      <c r="G4346" s="37" t="str">
        <f t="shared" si="206"/>
        <v/>
      </c>
    </row>
    <row r="4347" spans="5:7" x14ac:dyDescent="0.45">
      <c r="E4347" s="32" t="str">
        <f t="shared" si="204"/>
        <v>.0</v>
      </c>
      <c r="F4347" s="32" t="str">
        <f t="shared" si="205"/>
        <v>.0</v>
      </c>
      <c r="G4347" s="37" t="str">
        <f t="shared" si="206"/>
        <v/>
      </c>
    </row>
    <row r="4348" spans="5:7" x14ac:dyDescent="0.45">
      <c r="E4348" s="32" t="str">
        <f t="shared" si="204"/>
        <v>.0</v>
      </c>
      <c r="F4348" s="32" t="str">
        <f t="shared" si="205"/>
        <v>.0</v>
      </c>
      <c r="G4348" s="37" t="str">
        <f t="shared" si="206"/>
        <v/>
      </c>
    </row>
    <row r="4349" spans="5:7" x14ac:dyDescent="0.45">
      <c r="E4349" s="32" t="str">
        <f t="shared" si="204"/>
        <v>.0</v>
      </c>
      <c r="F4349" s="32" t="str">
        <f t="shared" si="205"/>
        <v>.0</v>
      </c>
      <c r="G4349" s="37" t="str">
        <f t="shared" si="206"/>
        <v/>
      </c>
    </row>
    <row r="4350" spans="5:7" x14ac:dyDescent="0.45">
      <c r="E4350" s="32" t="str">
        <f t="shared" si="204"/>
        <v>.0</v>
      </c>
      <c r="F4350" s="32" t="str">
        <f t="shared" si="205"/>
        <v>.0</v>
      </c>
      <c r="G4350" s="37" t="str">
        <f t="shared" si="206"/>
        <v/>
      </c>
    </row>
    <row r="4351" spans="5:7" x14ac:dyDescent="0.45">
      <c r="E4351" s="32" t="str">
        <f t="shared" si="204"/>
        <v>.0</v>
      </c>
      <c r="F4351" s="32" t="str">
        <f t="shared" si="205"/>
        <v>.0</v>
      </c>
      <c r="G4351" s="37" t="str">
        <f t="shared" si="206"/>
        <v/>
      </c>
    </row>
    <row r="4352" spans="5:7" x14ac:dyDescent="0.45">
      <c r="E4352" s="32" t="str">
        <f t="shared" si="204"/>
        <v>.0</v>
      </c>
      <c r="F4352" s="32" t="str">
        <f t="shared" si="205"/>
        <v>.0</v>
      </c>
      <c r="G4352" s="37" t="str">
        <f t="shared" si="206"/>
        <v/>
      </c>
    </row>
    <row r="4353" spans="5:7" x14ac:dyDescent="0.45">
      <c r="E4353" s="32" t="str">
        <f t="shared" si="204"/>
        <v>.0</v>
      </c>
      <c r="F4353" s="32" t="str">
        <f t="shared" si="205"/>
        <v>.0</v>
      </c>
      <c r="G4353" s="37" t="str">
        <f t="shared" si="206"/>
        <v/>
      </c>
    </row>
    <row r="4354" spans="5:7" x14ac:dyDescent="0.45">
      <c r="E4354" s="32" t="str">
        <f t="shared" si="204"/>
        <v>.0</v>
      </c>
      <c r="F4354" s="32" t="str">
        <f t="shared" si="205"/>
        <v>.0</v>
      </c>
      <c r="G4354" s="37" t="str">
        <f t="shared" si="206"/>
        <v/>
      </c>
    </row>
    <row r="4355" spans="5:7" x14ac:dyDescent="0.45">
      <c r="E4355" s="32" t="str">
        <f t="shared" si="204"/>
        <v>.0</v>
      </c>
      <c r="F4355" s="32" t="str">
        <f t="shared" si="205"/>
        <v>.0</v>
      </c>
      <c r="G4355" s="37" t="str">
        <f t="shared" si="206"/>
        <v/>
      </c>
    </row>
    <row r="4356" spans="5:7" x14ac:dyDescent="0.45">
      <c r="E4356" s="32" t="str">
        <f t="shared" si="204"/>
        <v>.0</v>
      </c>
      <c r="F4356" s="32" t="str">
        <f t="shared" si="205"/>
        <v>.0</v>
      </c>
      <c r="G4356" s="37" t="str">
        <f t="shared" si="206"/>
        <v/>
      </c>
    </row>
    <row r="4357" spans="5:7" x14ac:dyDescent="0.45">
      <c r="E4357" s="32" t="str">
        <f t="shared" si="204"/>
        <v>.0</v>
      </c>
      <c r="F4357" s="32" t="str">
        <f t="shared" si="205"/>
        <v>.0</v>
      </c>
      <c r="G4357" s="37" t="str">
        <f t="shared" si="206"/>
        <v/>
      </c>
    </row>
    <row r="4358" spans="5:7" x14ac:dyDescent="0.45">
      <c r="E4358" s="32" t="str">
        <f t="shared" si="204"/>
        <v>.0</v>
      </c>
      <c r="F4358" s="32" t="str">
        <f t="shared" si="205"/>
        <v>.0</v>
      </c>
      <c r="G4358" s="37" t="str">
        <f t="shared" si="206"/>
        <v/>
      </c>
    </row>
    <row r="4359" spans="5:7" x14ac:dyDescent="0.45">
      <c r="E4359" s="32" t="str">
        <f t="shared" si="204"/>
        <v>.0</v>
      </c>
      <c r="F4359" s="32" t="str">
        <f t="shared" si="205"/>
        <v>.0</v>
      </c>
      <c r="G4359" s="37" t="str">
        <f t="shared" si="206"/>
        <v/>
      </c>
    </row>
    <row r="4360" spans="5:7" x14ac:dyDescent="0.45">
      <c r="E4360" s="32" t="str">
        <f t="shared" si="204"/>
        <v>.0</v>
      </c>
      <c r="F4360" s="32" t="str">
        <f t="shared" si="205"/>
        <v>.0</v>
      </c>
      <c r="G4360" s="37" t="str">
        <f t="shared" si="206"/>
        <v/>
      </c>
    </row>
    <row r="4361" spans="5:7" x14ac:dyDescent="0.45">
      <c r="E4361" s="32" t="str">
        <f t="shared" si="204"/>
        <v>.0</v>
      </c>
      <c r="F4361" s="32" t="str">
        <f t="shared" si="205"/>
        <v>.0</v>
      </c>
      <c r="G4361" s="37" t="str">
        <f t="shared" si="206"/>
        <v/>
      </c>
    </row>
    <row r="4362" spans="5:7" x14ac:dyDescent="0.45">
      <c r="E4362" s="32" t="str">
        <f t="shared" si="204"/>
        <v>.0</v>
      </c>
      <c r="F4362" s="32" t="str">
        <f t="shared" si="205"/>
        <v>.0</v>
      </c>
      <c r="G4362" s="37" t="str">
        <f t="shared" si="206"/>
        <v/>
      </c>
    </row>
    <row r="4363" spans="5:7" x14ac:dyDescent="0.45">
      <c r="E4363" s="32" t="str">
        <f t="shared" si="204"/>
        <v>.0</v>
      </c>
      <c r="F4363" s="32" t="str">
        <f t="shared" si="205"/>
        <v>.0</v>
      </c>
      <c r="G4363" s="37" t="str">
        <f t="shared" si="206"/>
        <v/>
      </c>
    </row>
    <row r="4364" spans="5:7" x14ac:dyDescent="0.45">
      <c r="E4364" s="32" t="str">
        <f t="shared" si="204"/>
        <v>.0</v>
      </c>
      <c r="F4364" s="32" t="str">
        <f t="shared" si="205"/>
        <v>.0</v>
      </c>
      <c r="G4364" s="37" t="str">
        <f t="shared" si="206"/>
        <v/>
      </c>
    </row>
    <row r="4365" spans="5:7" x14ac:dyDescent="0.45">
      <c r="E4365" s="32" t="str">
        <f t="shared" si="204"/>
        <v>.0</v>
      </c>
      <c r="F4365" s="32" t="str">
        <f t="shared" si="205"/>
        <v>.0</v>
      </c>
      <c r="G4365" s="37" t="str">
        <f t="shared" si="206"/>
        <v/>
      </c>
    </row>
    <row r="4366" spans="5:7" x14ac:dyDescent="0.45">
      <c r="E4366" s="32" t="str">
        <f t="shared" si="204"/>
        <v>.0</v>
      </c>
      <c r="F4366" s="32" t="str">
        <f t="shared" si="205"/>
        <v>.0</v>
      </c>
      <c r="G4366" s="37" t="str">
        <f t="shared" si="206"/>
        <v/>
      </c>
    </row>
    <row r="4367" spans="5:7" x14ac:dyDescent="0.45">
      <c r="E4367" s="32" t="str">
        <f t="shared" si="204"/>
        <v>.0</v>
      </c>
      <c r="F4367" s="32" t="str">
        <f t="shared" si="205"/>
        <v>.0</v>
      </c>
      <c r="G4367" s="37" t="str">
        <f t="shared" si="206"/>
        <v/>
      </c>
    </row>
    <row r="4368" spans="5:7" x14ac:dyDescent="0.45">
      <c r="E4368" s="32" t="str">
        <f t="shared" si="204"/>
        <v>.0</v>
      </c>
      <c r="F4368" s="32" t="str">
        <f t="shared" si="205"/>
        <v>.0</v>
      </c>
      <c r="G4368" s="37" t="str">
        <f t="shared" si="206"/>
        <v/>
      </c>
    </row>
    <row r="4369" spans="5:7" x14ac:dyDescent="0.45">
      <c r="E4369" s="32" t="str">
        <f t="shared" si="204"/>
        <v>.0</v>
      </c>
      <c r="F4369" s="32" t="str">
        <f t="shared" si="205"/>
        <v>.0</v>
      </c>
      <c r="G4369" s="37" t="str">
        <f t="shared" si="206"/>
        <v/>
      </c>
    </row>
    <row r="4370" spans="5:7" x14ac:dyDescent="0.45">
      <c r="E4370" s="32" t="str">
        <f t="shared" si="204"/>
        <v>.0</v>
      </c>
      <c r="F4370" s="32" t="str">
        <f t="shared" si="205"/>
        <v>.0</v>
      </c>
      <c r="G4370" s="37" t="str">
        <f t="shared" si="206"/>
        <v/>
      </c>
    </row>
    <row r="4371" spans="5:7" x14ac:dyDescent="0.45">
      <c r="E4371" s="32" t="str">
        <f t="shared" si="204"/>
        <v>.0</v>
      </c>
      <c r="F4371" s="32" t="str">
        <f t="shared" si="205"/>
        <v>.0</v>
      </c>
      <c r="G4371" s="37" t="str">
        <f t="shared" si="206"/>
        <v/>
      </c>
    </row>
    <row r="4372" spans="5:7" x14ac:dyDescent="0.45">
      <c r="E4372" s="32" t="str">
        <f t="shared" si="204"/>
        <v>.0</v>
      </c>
      <c r="F4372" s="32" t="str">
        <f t="shared" si="205"/>
        <v>.0</v>
      </c>
      <c r="G4372" s="37" t="str">
        <f t="shared" si="206"/>
        <v/>
      </c>
    </row>
    <row r="4373" spans="5:7" x14ac:dyDescent="0.45">
      <c r="E4373" s="32" t="str">
        <f t="shared" si="204"/>
        <v>.0</v>
      </c>
      <c r="F4373" s="32" t="str">
        <f t="shared" si="205"/>
        <v>.0</v>
      </c>
      <c r="G4373" s="37" t="str">
        <f t="shared" si="206"/>
        <v/>
      </c>
    </row>
    <row r="4374" spans="5:7" x14ac:dyDescent="0.45">
      <c r="E4374" s="32" t="str">
        <f t="shared" si="204"/>
        <v>.0</v>
      </c>
      <c r="F4374" s="32" t="str">
        <f t="shared" si="205"/>
        <v>.0</v>
      </c>
      <c r="G4374" s="37" t="str">
        <f t="shared" si="206"/>
        <v/>
      </c>
    </row>
    <row r="4375" spans="5:7" x14ac:dyDescent="0.45">
      <c r="E4375" s="32" t="str">
        <f t="shared" si="204"/>
        <v>.0</v>
      </c>
      <c r="F4375" s="32" t="str">
        <f t="shared" si="205"/>
        <v>.0</v>
      </c>
      <c r="G4375" s="37" t="str">
        <f t="shared" si="206"/>
        <v/>
      </c>
    </row>
    <row r="4376" spans="5:7" x14ac:dyDescent="0.45">
      <c r="E4376" s="32" t="str">
        <f t="shared" si="204"/>
        <v>.0</v>
      </c>
      <c r="F4376" s="32" t="str">
        <f t="shared" si="205"/>
        <v>.0</v>
      </c>
      <c r="G4376" s="37" t="str">
        <f t="shared" si="206"/>
        <v/>
      </c>
    </row>
    <row r="4377" spans="5:7" x14ac:dyDescent="0.45">
      <c r="E4377" s="32" t="str">
        <f t="shared" si="204"/>
        <v>.0</v>
      </c>
      <c r="F4377" s="32" t="str">
        <f t="shared" si="205"/>
        <v>.0</v>
      </c>
      <c r="G4377" s="37" t="str">
        <f t="shared" si="206"/>
        <v/>
      </c>
    </row>
    <row r="4378" spans="5:7" x14ac:dyDescent="0.45">
      <c r="E4378" s="32" t="str">
        <f t="shared" si="204"/>
        <v>.0</v>
      </c>
      <c r="F4378" s="32" t="str">
        <f t="shared" si="205"/>
        <v>.0</v>
      </c>
      <c r="G4378" s="37" t="str">
        <f t="shared" si="206"/>
        <v/>
      </c>
    </row>
    <row r="4379" spans="5:7" x14ac:dyDescent="0.45">
      <c r="E4379" s="32" t="str">
        <f t="shared" si="204"/>
        <v>.0</v>
      </c>
      <c r="F4379" s="32" t="str">
        <f t="shared" si="205"/>
        <v>.0</v>
      </c>
      <c r="G4379" s="37" t="str">
        <f t="shared" si="206"/>
        <v/>
      </c>
    </row>
    <row r="4380" spans="5:7" x14ac:dyDescent="0.45">
      <c r="E4380" s="32" t="str">
        <f t="shared" si="204"/>
        <v>.0</v>
      </c>
      <c r="F4380" s="32" t="str">
        <f t="shared" si="205"/>
        <v>.0</v>
      </c>
      <c r="G4380" s="37" t="str">
        <f t="shared" si="206"/>
        <v/>
      </c>
    </row>
    <row r="4381" spans="5:7" x14ac:dyDescent="0.45">
      <c r="E4381" s="32" t="str">
        <f t="shared" si="204"/>
        <v>.0</v>
      </c>
      <c r="F4381" s="32" t="str">
        <f t="shared" si="205"/>
        <v>.0</v>
      </c>
      <c r="G4381" s="37" t="str">
        <f t="shared" si="206"/>
        <v/>
      </c>
    </row>
    <row r="4382" spans="5:7" x14ac:dyDescent="0.45">
      <c r="E4382" s="32" t="str">
        <f t="shared" ref="E4382:E4445" si="207">MID(B4382,3,2)&amp;"."&amp;IF(C4382&lt;10,"0"&amp;C4382,C4382)</f>
        <v>.0</v>
      </c>
      <c r="F4382" s="32" t="str">
        <f t="shared" ref="F4382:F4445" si="208">MID(B4382,3,2)&amp;"."&amp;IF(C4382&lt;10,"0"&amp;C4382,C4382)</f>
        <v>.0</v>
      </c>
      <c r="G4382" s="37" t="str">
        <f t="shared" ref="G4382:G4445" si="209">TEXT(D4382,"#,###,")</f>
        <v/>
      </c>
    </row>
    <row r="4383" spans="5:7" x14ac:dyDescent="0.45">
      <c r="E4383" s="32" t="str">
        <f t="shared" si="207"/>
        <v>.0</v>
      </c>
      <c r="F4383" s="32" t="str">
        <f t="shared" si="208"/>
        <v>.0</v>
      </c>
      <c r="G4383" s="37" t="str">
        <f t="shared" si="209"/>
        <v/>
      </c>
    </row>
    <row r="4384" spans="5:7" x14ac:dyDescent="0.45">
      <c r="E4384" s="32" t="str">
        <f t="shared" si="207"/>
        <v>.0</v>
      </c>
      <c r="F4384" s="32" t="str">
        <f t="shared" si="208"/>
        <v>.0</v>
      </c>
      <c r="G4384" s="37" t="str">
        <f t="shared" si="209"/>
        <v/>
      </c>
    </row>
    <row r="4385" spans="5:7" x14ac:dyDescent="0.45">
      <c r="E4385" s="32" t="str">
        <f t="shared" si="207"/>
        <v>.0</v>
      </c>
      <c r="F4385" s="32" t="str">
        <f t="shared" si="208"/>
        <v>.0</v>
      </c>
      <c r="G4385" s="37" t="str">
        <f t="shared" si="209"/>
        <v/>
      </c>
    </row>
    <row r="4386" spans="5:7" x14ac:dyDescent="0.45">
      <c r="E4386" s="32" t="str">
        <f t="shared" si="207"/>
        <v>.0</v>
      </c>
      <c r="F4386" s="32" t="str">
        <f t="shared" si="208"/>
        <v>.0</v>
      </c>
      <c r="G4386" s="37" t="str">
        <f t="shared" si="209"/>
        <v/>
      </c>
    </row>
    <row r="4387" spans="5:7" x14ac:dyDescent="0.45">
      <c r="E4387" s="32" t="str">
        <f t="shared" si="207"/>
        <v>.0</v>
      </c>
      <c r="F4387" s="32" t="str">
        <f t="shared" si="208"/>
        <v>.0</v>
      </c>
      <c r="G4387" s="37" t="str">
        <f t="shared" si="209"/>
        <v/>
      </c>
    </row>
    <row r="4388" spans="5:7" x14ac:dyDescent="0.45">
      <c r="E4388" s="32" t="str">
        <f t="shared" si="207"/>
        <v>.0</v>
      </c>
      <c r="F4388" s="32" t="str">
        <f t="shared" si="208"/>
        <v>.0</v>
      </c>
      <c r="G4388" s="37" t="str">
        <f t="shared" si="209"/>
        <v/>
      </c>
    </row>
    <row r="4389" spans="5:7" x14ac:dyDescent="0.45">
      <c r="E4389" s="32" t="str">
        <f t="shared" si="207"/>
        <v>.0</v>
      </c>
      <c r="F4389" s="32" t="str">
        <f t="shared" si="208"/>
        <v>.0</v>
      </c>
      <c r="G4389" s="37" t="str">
        <f t="shared" si="209"/>
        <v/>
      </c>
    </row>
    <row r="4390" spans="5:7" x14ac:dyDescent="0.45">
      <c r="E4390" s="32" t="str">
        <f t="shared" si="207"/>
        <v>.0</v>
      </c>
      <c r="F4390" s="32" t="str">
        <f t="shared" si="208"/>
        <v>.0</v>
      </c>
      <c r="G4390" s="37" t="str">
        <f t="shared" si="209"/>
        <v/>
      </c>
    </row>
    <row r="4391" spans="5:7" x14ac:dyDescent="0.45">
      <c r="E4391" s="32" t="str">
        <f t="shared" si="207"/>
        <v>.0</v>
      </c>
      <c r="F4391" s="32" t="str">
        <f t="shared" si="208"/>
        <v>.0</v>
      </c>
      <c r="G4391" s="37" t="str">
        <f t="shared" si="209"/>
        <v/>
      </c>
    </row>
    <row r="4392" spans="5:7" x14ac:dyDescent="0.45">
      <c r="E4392" s="32" t="str">
        <f t="shared" si="207"/>
        <v>.0</v>
      </c>
      <c r="F4392" s="32" t="str">
        <f t="shared" si="208"/>
        <v>.0</v>
      </c>
      <c r="G4392" s="37" t="str">
        <f t="shared" si="209"/>
        <v/>
      </c>
    </row>
    <row r="4393" spans="5:7" x14ac:dyDescent="0.45">
      <c r="E4393" s="32" t="str">
        <f t="shared" si="207"/>
        <v>.0</v>
      </c>
      <c r="F4393" s="32" t="str">
        <f t="shared" si="208"/>
        <v>.0</v>
      </c>
      <c r="G4393" s="37" t="str">
        <f t="shared" si="209"/>
        <v/>
      </c>
    </row>
    <row r="4394" spans="5:7" x14ac:dyDescent="0.45">
      <c r="E4394" s="32" t="str">
        <f t="shared" si="207"/>
        <v>.0</v>
      </c>
      <c r="F4394" s="32" t="str">
        <f t="shared" si="208"/>
        <v>.0</v>
      </c>
      <c r="G4394" s="37" t="str">
        <f t="shared" si="209"/>
        <v/>
      </c>
    </row>
    <row r="4395" spans="5:7" x14ac:dyDescent="0.45">
      <c r="E4395" s="32" t="str">
        <f t="shared" si="207"/>
        <v>.0</v>
      </c>
      <c r="F4395" s="32" t="str">
        <f t="shared" si="208"/>
        <v>.0</v>
      </c>
      <c r="G4395" s="37" t="str">
        <f t="shared" si="209"/>
        <v/>
      </c>
    </row>
    <row r="4396" spans="5:7" x14ac:dyDescent="0.45">
      <c r="E4396" s="32" t="str">
        <f t="shared" si="207"/>
        <v>.0</v>
      </c>
      <c r="F4396" s="32" t="str">
        <f t="shared" si="208"/>
        <v>.0</v>
      </c>
      <c r="G4396" s="37" t="str">
        <f t="shared" si="209"/>
        <v/>
      </c>
    </row>
    <row r="4397" spans="5:7" x14ac:dyDescent="0.45">
      <c r="E4397" s="32" t="str">
        <f t="shared" si="207"/>
        <v>.0</v>
      </c>
      <c r="F4397" s="32" t="str">
        <f t="shared" si="208"/>
        <v>.0</v>
      </c>
      <c r="G4397" s="37" t="str">
        <f t="shared" si="209"/>
        <v/>
      </c>
    </row>
    <row r="4398" spans="5:7" x14ac:dyDescent="0.45">
      <c r="E4398" s="32" t="str">
        <f t="shared" si="207"/>
        <v>.0</v>
      </c>
      <c r="F4398" s="32" t="str">
        <f t="shared" si="208"/>
        <v>.0</v>
      </c>
      <c r="G4398" s="37" t="str">
        <f t="shared" si="209"/>
        <v/>
      </c>
    </row>
    <row r="4399" spans="5:7" x14ac:dyDescent="0.45">
      <c r="E4399" s="32" t="str">
        <f t="shared" si="207"/>
        <v>.0</v>
      </c>
      <c r="F4399" s="32" t="str">
        <f t="shared" si="208"/>
        <v>.0</v>
      </c>
      <c r="G4399" s="37" t="str">
        <f t="shared" si="209"/>
        <v/>
      </c>
    </row>
    <row r="4400" spans="5:7" x14ac:dyDescent="0.45">
      <c r="E4400" s="32" t="str">
        <f t="shared" si="207"/>
        <v>.0</v>
      </c>
      <c r="F4400" s="32" t="str">
        <f t="shared" si="208"/>
        <v>.0</v>
      </c>
      <c r="G4400" s="37" t="str">
        <f t="shared" si="209"/>
        <v/>
      </c>
    </row>
    <row r="4401" spans="5:7" x14ac:dyDescent="0.45">
      <c r="E4401" s="32" t="str">
        <f t="shared" si="207"/>
        <v>.0</v>
      </c>
      <c r="F4401" s="32" t="str">
        <f t="shared" si="208"/>
        <v>.0</v>
      </c>
      <c r="G4401" s="37" t="str">
        <f t="shared" si="209"/>
        <v/>
      </c>
    </row>
    <row r="4402" spans="5:7" x14ac:dyDescent="0.45">
      <c r="E4402" s="32" t="str">
        <f t="shared" si="207"/>
        <v>.0</v>
      </c>
      <c r="F4402" s="32" t="str">
        <f t="shared" si="208"/>
        <v>.0</v>
      </c>
      <c r="G4402" s="37" t="str">
        <f t="shared" si="209"/>
        <v/>
      </c>
    </row>
    <row r="4403" spans="5:7" x14ac:dyDescent="0.45">
      <c r="E4403" s="32" t="str">
        <f t="shared" si="207"/>
        <v>.0</v>
      </c>
      <c r="F4403" s="32" t="str">
        <f t="shared" si="208"/>
        <v>.0</v>
      </c>
      <c r="G4403" s="37" t="str">
        <f t="shared" si="209"/>
        <v/>
      </c>
    </row>
    <row r="4404" spans="5:7" x14ac:dyDescent="0.45">
      <c r="E4404" s="32" t="str">
        <f t="shared" si="207"/>
        <v>.0</v>
      </c>
      <c r="F4404" s="32" t="str">
        <f t="shared" si="208"/>
        <v>.0</v>
      </c>
      <c r="G4404" s="37" t="str">
        <f t="shared" si="209"/>
        <v/>
      </c>
    </row>
    <row r="4405" spans="5:7" x14ac:dyDescent="0.45">
      <c r="E4405" s="32" t="str">
        <f t="shared" si="207"/>
        <v>.0</v>
      </c>
      <c r="F4405" s="32" t="str">
        <f t="shared" si="208"/>
        <v>.0</v>
      </c>
      <c r="G4405" s="37" t="str">
        <f t="shared" si="209"/>
        <v/>
      </c>
    </row>
    <row r="4406" spans="5:7" x14ac:dyDescent="0.45">
      <c r="E4406" s="32" t="str">
        <f t="shared" si="207"/>
        <v>.0</v>
      </c>
      <c r="F4406" s="32" t="str">
        <f t="shared" si="208"/>
        <v>.0</v>
      </c>
      <c r="G4406" s="37" t="str">
        <f t="shared" si="209"/>
        <v/>
      </c>
    </row>
    <row r="4407" spans="5:7" x14ac:dyDescent="0.45">
      <c r="E4407" s="32" t="str">
        <f t="shared" si="207"/>
        <v>.0</v>
      </c>
      <c r="F4407" s="32" t="str">
        <f t="shared" si="208"/>
        <v>.0</v>
      </c>
      <c r="G4407" s="37" t="str">
        <f t="shared" si="209"/>
        <v/>
      </c>
    </row>
    <row r="4408" spans="5:7" x14ac:dyDescent="0.45">
      <c r="E4408" s="32" t="str">
        <f t="shared" si="207"/>
        <v>.0</v>
      </c>
      <c r="F4408" s="32" t="str">
        <f t="shared" si="208"/>
        <v>.0</v>
      </c>
      <c r="G4408" s="37" t="str">
        <f t="shared" si="209"/>
        <v/>
      </c>
    </row>
    <row r="4409" spans="5:7" x14ac:dyDescent="0.45">
      <c r="E4409" s="32" t="str">
        <f t="shared" si="207"/>
        <v>.0</v>
      </c>
      <c r="F4409" s="32" t="str">
        <f t="shared" si="208"/>
        <v>.0</v>
      </c>
      <c r="G4409" s="37" t="str">
        <f t="shared" si="209"/>
        <v/>
      </c>
    </row>
    <row r="4410" spans="5:7" x14ac:dyDescent="0.45">
      <c r="E4410" s="32" t="str">
        <f t="shared" si="207"/>
        <v>.0</v>
      </c>
      <c r="F4410" s="32" t="str">
        <f t="shared" si="208"/>
        <v>.0</v>
      </c>
      <c r="G4410" s="37" t="str">
        <f t="shared" si="209"/>
        <v/>
      </c>
    </row>
    <row r="4411" spans="5:7" x14ac:dyDescent="0.45">
      <c r="E4411" s="32" t="str">
        <f t="shared" si="207"/>
        <v>.0</v>
      </c>
      <c r="F4411" s="32" t="str">
        <f t="shared" si="208"/>
        <v>.0</v>
      </c>
      <c r="G4411" s="37" t="str">
        <f t="shared" si="209"/>
        <v/>
      </c>
    </row>
    <row r="4412" spans="5:7" x14ac:dyDescent="0.45">
      <c r="E4412" s="32" t="str">
        <f t="shared" si="207"/>
        <v>.0</v>
      </c>
      <c r="F4412" s="32" t="str">
        <f t="shared" si="208"/>
        <v>.0</v>
      </c>
      <c r="G4412" s="37" t="str">
        <f t="shared" si="209"/>
        <v/>
      </c>
    </row>
    <row r="4413" spans="5:7" x14ac:dyDescent="0.45">
      <c r="E4413" s="32" t="str">
        <f t="shared" si="207"/>
        <v>.0</v>
      </c>
      <c r="F4413" s="32" t="str">
        <f t="shared" si="208"/>
        <v>.0</v>
      </c>
      <c r="G4413" s="37" t="str">
        <f t="shared" si="209"/>
        <v/>
      </c>
    </row>
    <row r="4414" spans="5:7" x14ac:dyDescent="0.45">
      <c r="E4414" s="32" t="str">
        <f t="shared" si="207"/>
        <v>.0</v>
      </c>
      <c r="F4414" s="32" t="str">
        <f t="shared" si="208"/>
        <v>.0</v>
      </c>
      <c r="G4414" s="37" t="str">
        <f t="shared" si="209"/>
        <v/>
      </c>
    </row>
    <row r="4415" spans="5:7" x14ac:dyDescent="0.45">
      <c r="E4415" s="32" t="str">
        <f t="shared" si="207"/>
        <v>.0</v>
      </c>
      <c r="F4415" s="32" t="str">
        <f t="shared" si="208"/>
        <v>.0</v>
      </c>
      <c r="G4415" s="37" t="str">
        <f t="shared" si="209"/>
        <v/>
      </c>
    </row>
    <row r="4416" spans="5:7" x14ac:dyDescent="0.45">
      <c r="E4416" s="32" t="str">
        <f t="shared" si="207"/>
        <v>.0</v>
      </c>
      <c r="F4416" s="32" t="str">
        <f t="shared" si="208"/>
        <v>.0</v>
      </c>
      <c r="G4416" s="37" t="str">
        <f t="shared" si="209"/>
        <v/>
      </c>
    </row>
    <row r="4417" spans="5:7" x14ac:dyDescent="0.45">
      <c r="E4417" s="32" t="str">
        <f t="shared" si="207"/>
        <v>.0</v>
      </c>
      <c r="F4417" s="32" t="str">
        <f t="shared" si="208"/>
        <v>.0</v>
      </c>
      <c r="G4417" s="37" t="str">
        <f t="shared" si="209"/>
        <v/>
      </c>
    </row>
    <row r="4418" spans="5:7" x14ac:dyDescent="0.45">
      <c r="E4418" s="32" t="str">
        <f t="shared" si="207"/>
        <v>.0</v>
      </c>
      <c r="F4418" s="32" t="str">
        <f t="shared" si="208"/>
        <v>.0</v>
      </c>
      <c r="G4418" s="37" t="str">
        <f t="shared" si="209"/>
        <v/>
      </c>
    </row>
    <row r="4419" spans="5:7" x14ac:dyDescent="0.45">
      <c r="E4419" s="32" t="str">
        <f t="shared" si="207"/>
        <v>.0</v>
      </c>
      <c r="F4419" s="32" t="str">
        <f t="shared" si="208"/>
        <v>.0</v>
      </c>
      <c r="G4419" s="37" t="str">
        <f t="shared" si="209"/>
        <v/>
      </c>
    </row>
    <row r="4420" spans="5:7" x14ac:dyDescent="0.45">
      <c r="E4420" s="32" t="str">
        <f t="shared" si="207"/>
        <v>.0</v>
      </c>
      <c r="F4420" s="32" t="str">
        <f t="shared" si="208"/>
        <v>.0</v>
      </c>
      <c r="G4420" s="37" t="str">
        <f t="shared" si="209"/>
        <v/>
      </c>
    </row>
    <row r="4421" spans="5:7" x14ac:dyDescent="0.45">
      <c r="E4421" s="32" t="str">
        <f t="shared" si="207"/>
        <v>.0</v>
      </c>
      <c r="F4421" s="32" t="str">
        <f t="shared" si="208"/>
        <v>.0</v>
      </c>
      <c r="G4421" s="37" t="str">
        <f t="shared" si="209"/>
        <v/>
      </c>
    </row>
    <row r="4422" spans="5:7" x14ac:dyDescent="0.45">
      <c r="E4422" s="32" t="str">
        <f t="shared" si="207"/>
        <v>.0</v>
      </c>
      <c r="F4422" s="32" t="str">
        <f t="shared" si="208"/>
        <v>.0</v>
      </c>
      <c r="G4422" s="37" t="str">
        <f t="shared" si="209"/>
        <v/>
      </c>
    </row>
    <row r="4423" spans="5:7" x14ac:dyDescent="0.45">
      <c r="E4423" s="32" t="str">
        <f t="shared" si="207"/>
        <v>.0</v>
      </c>
      <c r="F4423" s="32" t="str">
        <f t="shared" si="208"/>
        <v>.0</v>
      </c>
      <c r="G4423" s="37" t="str">
        <f t="shared" si="209"/>
        <v/>
      </c>
    </row>
    <row r="4424" spans="5:7" x14ac:dyDescent="0.45">
      <c r="E4424" s="32" t="str">
        <f t="shared" si="207"/>
        <v>.0</v>
      </c>
      <c r="F4424" s="32" t="str">
        <f t="shared" si="208"/>
        <v>.0</v>
      </c>
      <c r="G4424" s="37" t="str">
        <f t="shared" si="209"/>
        <v/>
      </c>
    </row>
    <row r="4425" spans="5:7" x14ac:dyDescent="0.45">
      <c r="E4425" s="32" t="str">
        <f t="shared" si="207"/>
        <v>.0</v>
      </c>
      <c r="F4425" s="32" t="str">
        <f t="shared" si="208"/>
        <v>.0</v>
      </c>
      <c r="G4425" s="37" t="str">
        <f t="shared" si="209"/>
        <v/>
      </c>
    </row>
    <row r="4426" spans="5:7" x14ac:dyDescent="0.45">
      <c r="E4426" s="32" t="str">
        <f t="shared" si="207"/>
        <v>.0</v>
      </c>
      <c r="F4426" s="32" t="str">
        <f t="shared" si="208"/>
        <v>.0</v>
      </c>
      <c r="G4426" s="37" t="str">
        <f t="shared" si="209"/>
        <v/>
      </c>
    </row>
    <row r="4427" spans="5:7" x14ac:dyDescent="0.45">
      <c r="E4427" s="32" t="str">
        <f t="shared" si="207"/>
        <v>.0</v>
      </c>
      <c r="F4427" s="32" t="str">
        <f t="shared" si="208"/>
        <v>.0</v>
      </c>
      <c r="G4427" s="37" t="str">
        <f t="shared" si="209"/>
        <v/>
      </c>
    </row>
    <row r="4428" spans="5:7" x14ac:dyDescent="0.45">
      <c r="E4428" s="32" t="str">
        <f t="shared" si="207"/>
        <v>.0</v>
      </c>
      <c r="F4428" s="32" t="str">
        <f t="shared" si="208"/>
        <v>.0</v>
      </c>
      <c r="G4428" s="37" t="str">
        <f t="shared" si="209"/>
        <v/>
      </c>
    </row>
    <row r="4429" spans="5:7" x14ac:dyDescent="0.45">
      <c r="E4429" s="32" t="str">
        <f t="shared" si="207"/>
        <v>.0</v>
      </c>
      <c r="F4429" s="32" t="str">
        <f t="shared" si="208"/>
        <v>.0</v>
      </c>
      <c r="G4429" s="37" t="str">
        <f t="shared" si="209"/>
        <v/>
      </c>
    </row>
    <row r="4430" spans="5:7" x14ac:dyDescent="0.45">
      <c r="E4430" s="32" t="str">
        <f t="shared" si="207"/>
        <v>.0</v>
      </c>
      <c r="F4430" s="32" t="str">
        <f t="shared" si="208"/>
        <v>.0</v>
      </c>
      <c r="G4430" s="37" t="str">
        <f t="shared" si="209"/>
        <v/>
      </c>
    </row>
    <row r="4431" spans="5:7" x14ac:dyDescent="0.45">
      <c r="E4431" s="32" t="str">
        <f t="shared" si="207"/>
        <v>.0</v>
      </c>
      <c r="F4431" s="32" t="str">
        <f t="shared" si="208"/>
        <v>.0</v>
      </c>
      <c r="G4431" s="37" t="str">
        <f t="shared" si="209"/>
        <v/>
      </c>
    </row>
    <row r="4432" spans="5:7" x14ac:dyDescent="0.45">
      <c r="E4432" s="32" t="str">
        <f t="shared" si="207"/>
        <v>.0</v>
      </c>
      <c r="F4432" s="32" t="str">
        <f t="shared" si="208"/>
        <v>.0</v>
      </c>
      <c r="G4432" s="37" t="str">
        <f t="shared" si="209"/>
        <v/>
      </c>
    </row>
    <row r="4433" spans="5:7" x14ac:dyDescent="0.45">
      <c r="E4433" s="32" t="str">
        <f t="shared" si="207"/>
        <v>.0</v>
      </c>
      <c r="F4433" s="32" t="str">
        <f t="shared" si="208"/>
        <v>.0</v>
      </c>
      <c r="G4433" s="37" t="str">
        <f t="shared" si="209"/>
        <v/>
      </c>
    </row>
    <row r="4434" spans="5:7" x14ac:dyDescent="0.45">
      <c r="E4434" s="32" t="str">
        <f t="shared" si="207"/>
        <v>.0</v>
      </c>
      <c r="F4434" s="32" t="str">
        <f t="shared" si="208"/>
        <v>.0</v>
      </c>
      <c r="G4434" s="37" t="str">
        <f t="shared" si="209"/>
        <v/>
      </c>
    </row>
    <row r="4435" spans="5:7" x14ac:dyDescent="0.45">
      <c r="E4435" s="32" t="str">
        <f t="shared" si="207"/>
        <v>.0</v>
      </c>
      <c r="F4435" s="32" t="str">
        <f t="shared" si="208"/>
        <v>.0</v>
      </c>
      <c r="G4435" s="37" t="str">
        <f t="shared" si="209"/>
        <v/>
      </c>
    </row>
    <row r="4436" spans="5:7" x14ac:dyDescent="0.45">
      <c r="E4436" s="32" t="str">
        <f t="shared" si="207"/>
        <v>.0</v>
      </c>
      <c r="F4436" s="32" t="str">
        <f t="shared" si="208"/>
        <v>.0</v>
      </c>
      <c r="G4436" s="37" t="str">
        <f t="shared" si="209"/>
        <v/>
      </c>
    </row>
    <row r="4437" spans="5:7" x14ac:dyDescent="0.45">
      <c r="E4437" s="32" t="str">
        <f t="shared" si="207"/>
        <v>.0</v>
      </c>
      <c r="F4437" s="32" t="str">
        <f t="shared" si="208"/>
        <v>.0</v>
      </c>
      <c r="G4437" s="37" t="str">
        <f t="shared" si="209"/>
        <v/>
      </c>
    </row>
    <row r="4438" spans="5:7" x14ac:dyDescent="0.45">
      <c r="E4438" s="32" t="str">
        <f t="shared" si="207"/>
        <v>.0</v>
      </c>
      <c r="F4438" s="32" t="str">
        <f t="shared" si="208"/>
        <v>.0</v>
      </c>
      <c r="G4438" s="37" t="str">
        <f t="shared" si="209"/>
        <v/>
      </c>
    </row>
    <row r="4439" spans="5:7" x14ac:dyDescent="0.45">
      <c r="E4439" s="32" t="str">
        <f t="shared" si="207"/>
        <v>.0</v>
      </c>
      <c r="F4439" s="32" t="str">
        <f t="shared" si="208"/>
        <v>.0</v>
      </c>
      <c r="G4439" s="37" t="str">
        <f t="shared" si="209"/>
        <v/>
      </c>
    </row>
    <row r="4440" spans="5:7" x14ac:dyDescent="0.45">
      <c r="E4440" s="32" t="str">
        <f t="shared" si="207"/>
        <v>.0</v>
      </c>
      <c r="F4440" s="32" t="str">
        <f t="shared" si="208"/>
        <v>.0</v>
      </c>
      <c r="G4440" s="37" t="str">
        <f t="shared" si="209"/>
        <v/>
      </c>
    </row>
    <row r="4441" spans="5:7" x14ac:dyDescent="0.45">
      <c r="E4441" s="32" t="str">
        <f t="shared" si="207"/>
        <v>.0</v>
      </c>
      <c r="F4441" s="32" t="str">
        <f t="shared" si="208"/>
        <v>.0</v>
      </c>
      <c r="G4441" s="37" t="str">
        <f t="shared" si="209"/>
        <v/>
      </c>
    </row>
    <row r="4442" spans="5:7" x14ac:dyDescent="0.45">
      <c r="E4442" s="32" t="str">
        <f t="shared" si="207"/>
        <v>.0</v>
      </c>
      <c r="F4442" s="32" t="str">
        <f t="shared" si="208"/>
        <v>.0</v>
      </c>
      <c r="G4442" s="37" t="str">
        <f t="shared" si="209"/>
        <v/>
      </c>
    </row>
    <row r="4443" spans="5:7" x14ac:dyDescent="0.45">
      <c r="E4443" s="32" t="str">
        <f t="shared" si="207"/>
        <v>.0</v>
      </c>
      <c r="F4443" s="32" t="str">
        <f t="shared" si="208"/>
        <v>.0</v>
      </c>
      <c r="G4443" s="37" t="str">
        <f t="shared" si="209"/>
        <v/>
      </c>
    </row>
    <row r="4444" spans="5:7" x14ac:dyDescent="0.45">
      <c r="E4444" s="32" t="str">
        <f t="shared" si="207"/>
        <v>.0</v>
      </c>
      <c r="F4444" s="32" t="str">
        <f t="shared" si="208"/>
        <v>.0</v>
      </c>
      <c r="G4444" s="37" t="str">
        <f t="shared" si="209"/>
        <v/>
      </c>
    </row>
    <row r="4445" spans="5:7" x14ac:dyDescent="0.45">
      <c r="E4445" s="32" t="str">
        <f t="shared" si="207"/>
        <v>.0</v>
      </c>
      <c r="F4445" s="32" t="str">
        <f t="shared" si="208"/>
        <v>.0</v>
      </c>
      <c r="G4445" s="37" t="str">
        <f t="shared" si="209"/>
        <v/>
      </c>
    </row>
    <row r="4446" spans="5:7" x14ac:dyDescent="0.45">
      <c r="E4446" s="32" t="str">
        <f t="shared" ref="E4446:E4509" si="210">MID(B4446,3,2)&amp;"."&amp;IF(C4446&lt;10,"0"&amp;C4446,C4446)</f>
        <v>.0</v>
      </c>
      <c r="F4446" s="32" t="str">
        <f t="shared" ref="F4446:F4509" si="211">MID(B4446,3,2)&amp;"."&amp;IF(C4446&lt;10,"0"&amp;C4446,C4446)</f>
        <v>.0</v>
      </c>
      <c r="G4446" s="37" t="str">
        <f t="shared" ref="G4446:G4509" si="212">TEXT(D4446,"#,###,")</f>
        <v/>
      </c>
    </row>
    <row r="4447" spans="5:7" x14ac:dyDescent="0.45">
      <c r="E4447" s="32" t="str">
        <f t="shared" si="210"/>
        <v>.0</v>
      </c>
      <c r="F4447" s="32" t="str">
        <f t="shared" si="211"/>
        <v>.0</v>
      </c>
      <c r="G4447" s="37" t="str">
        <f t="shared" si="212"/>
        <v/>
      </c>
    </row>
    <row r="4448" spans="5:7" x14ac:dyDescent="0.45">
      <c r="E4448" s="32" t="str">
        <f t="shared" si="210"/>
        <v>.0</v>
      </c>
      <c r="F4448" s="32" t="str">
        <f t="shared" si="211"/>
        <v>.0</v>
      </c>
      <c r="G4448" s="37" t="str">
        <f t="shared" si="212"/>
        <v/>
      </c>
    </row>
    <row r="4449" spans="5:7" x14ac:dyDescent="0.45">
      <c r="E4449" s="32" t="str">
        <f t="shared" si="210"/>
        <v>.0</v>
      </c>
      <c r="F4449" s="32" t="str">
        <f t="shared" si="211"/>
        <v>.0</v>
      </c>
      <c r="G4449" s="37" t="str">
        <f t="shared" si="212"/>
        <v/>
      </c>
    </row>
    <row r="4450" spans="5:7" x14ac:dyDescent="0.45">
      <c r="E4450" s="32" t="str">
        <f t="shared" si="210"/>
        <v>.0</v>
      </c>
      <c r="F4450" s="32" t="str">
        <f t="shared" si="211"/>
        <v>.0</v>
      </c>
      <c r="G4450" s="37" t="str">
        <f t="shared" si="212"/>
        <v/>
      </c>
    </row>
    <row r="4451" spans="5:7" x14ac:dyDescent="0.45">
      <c r="E4451" s="32" t="str">
        <f t="shared" si="210"/>
        <v>.0</v>
      </c>
      <c r="F4451" s="32" t="str">
        <f t="shared" si="211"/>
        <v>.0</v>
      </c>
      <c r="G4451" s="37" t="str">
        <f t="shared" si="212"/>
        <v/>
      </c>
    </row>
    <row r="4452" spans="5:7" x14ac:dyDescent="0.45">
      <c r="E4452" s="32" t="str">
        <f t="shared" si="210"/>
        <v>.0</v>
      </c>
      <c r="F4452" s="32" t="str">
        <f t="shared" si="211"/>
        <v>.0</v>
      </c>
      <c r="G4452" s="37" t="str">
        <f t="shared" si="212"/>
        <v/>
      </c>
    </row>
    <row r="4453" spans="5:7" x14ac:dyDescent="0.45">
      <c r="E4453" s="32" t="str">
        <f t="shared" si="210"/>
        <v>.0</v>
      </c>
      <c r="F4453" s="32" t="str">
        <f t="shared" si="211"/>
        <v>.0</v>
      </c>
      <c r="G4453" s="37" t="str">
        <f t="shared" si="212"/>
        <v/>
      </c>
    </row>
    <row r="4454" spans="5:7" x14ac:dyDescent="0.45">
      <c r="E4454" s="32" t="str">
        <f t="shared" si="210"/>
        <v>.0</v>
      </c>
      <c r="F4454" s="32" t="str">
        <f t="shared" si="211"/>
        <v>.0</v>
      </c>
      <c r="G4454" s="37" t="str">
        <f t="shared" si="212"/>
        <v/>
      </c>
    </row>
    <row r="4455" spans="5:7" x14ac:dyDescent="0.45">
      <c r="E4455" s="32" t="str">
        <f t="shared" si="210"/>
        <v>.0</v>
      </c>
      <c r="F4455" s="32" t="str">
        <f t="shared" si="211"/>
        <v>.0</v>
      </c>
      <c r="G4455" s="37" t="str">
        <f t="shared" si="212"/>
        <v/>
      </c>
    </row>
    <row r="4456" spans="5:7" x14ac:dyDescent="0.45">
      <c r="E4456" s="32" t="str">
        <f t="shared" si="210"/>
        <v>.0</v>
      </c>
      <c r="F4456" s="32" t="str">
        <f t="shared" si="211"/>
        <v>.0</v>
      </c>
      <c r="G4456" s="37" t="str">
        <f t="shared" si="212"/>
        <v/>
      </c>
    </row>
    <row r="4457" spans="5:7" x14ac:dyDescent="0.45">
      <c r="E4457" s="32" t="str">
        <f t="shared" si="210"/>
        <v>.0</v>
      </c>
      <c r="F4457" s="32" t="str">
        <f t="shared" si="211"/>
        <v>.0</v>
      </c>
      <c r="G4457" s="37" t="str">
        <f t="shared" si="212"/>
        <v/>
      </c>
    </row>
    <row r="4458" spans="5:7" x14ac:dyDescent="0.45">
      <c r="E4458" s="32" t="str">
        <f t="shared" si="210"/>
        <v>.0</v>
      </c>
      <c r="F4458" s="32" t="str">
        <f t="shared" si="211"/>
        <v>.0</v>
      </c>
      <c r="G4458" s="37" t="str">
        <f t="shared" si="212"/>
        <v/>
      </c>
    </row>
    <row r="4459" spans="5:7" x14ac:dyDescent="0.45">
      <c r="E4459" s="32" t="str">
        <f t="shared" si="210"/>
        <v>.0</v>
      </c>
      <c r="F4459" s="32" t="str">
        <f t="shared" si="211"/>
        <v>.0</v>
      </c>
      <c r="G4459" s="37" t="str">
        <f t="shared" si="212"/>
        <v/>
      </c>
    </row>
    <row r="4460" spans="5:7" x14ac:dyDescent="0.45">
      <c r="E4460" s="32" t="str">
        <f t="shared" si="210"/>
        <v>.0</v>
      </c>
      <c r="F4460" s="32" t="str">
        <f t="shared" si="211"/>
        <v>.0</v>
      </c>
      <c r="G4460" s="37" t="str">
        <f t="shared" si="212"/>
        <v/>
      </c>
    </row>
    <row r="4461" spans="5:7" x14ac:dyDescent="0.45">
      <c r="E4461" s="32" t="str">
        <f t="shared" si="210"/>
        <v>.0</v>
      </c>
      <c r="F4461" s="32" t="str">
        <f t="shared" si="211"/>
        <v>.0</v>
      </c>
      <c r="G4461" s="37" t="str">
        <f t="shared" si="212"/>
        <v/>
      </c>
    </row>
    <row r="4462" spans="5:7" x14ac:dyDescent="0.45">
      <c r="E4462" s="32" t="str">
        <f t="shared" si="210"/>
        <v>.0</v>
      </c>
      <c r="F4462" s="32" t="str">
        <f t="shared" si="211"/>
        <v>.0</v>
      </c>
      <c r="G4462" s="37" t="str">
        <f t="shared" si="212"/>
        <v/>
      </c>
    </row>
    <row r="4463" spans="5:7" x14ac:dyDescent="0.45">
      <c r="E4463" s="32" t="str">
        <f t="shared" si="210"/>
        <v>.0</v>
      </c>
      <c r="F4463" s="32" t="str">
        <f t="shared" si="211"/>
        <v>.0</v>
      </c>
      <c r="G4463" s="37" t="str">
        <f t="shared" si="212"/>
        <v/>
      </c>
    </row>
    <row r="4464" spans="5:7" x14ac:dyDescent="0.45">
      <c r="E4464" s="32" t="str">
        <f t="shared" si="210"/>
        <v>.0</v>
      </c>
      <c r="F4464" s="32" t="str">
        <f t="shared" si="211"/>
        <v>.0</v>
      </c>
      <c r="G4464" s="37" t="str">
        <f t="shared" si="212"/>
        <v/>
      </c>
    </row>
    <row r="4465" spans="5:7" x14ac:dyDescent="0.45">
      <c r="E4465" s="32" t="str">
        <f t="shared" si="210"/>
        <v>.0</v>
      </c>
      <c r="F4465" s="32" t="str">
        <f t="shared" si="211"/>
        <v>.0</v>
      </c>
      <c r="G4465" s="37" t="str">
        <f t="shared" si="212"/>
        <v/>
      </c>
    </row>
    <row r="4466" spans="5:7" x14ac:dyDescent="0.45">
      <c r="E4466" s="32" t="str">
        <f t="shared" si="210"/>
        <v>.0</v>
      </c>
      <c r="F4466" s="32" t="str">
        <f t="shared" si="211"/>
        <v>.0</v>
      </c>
      <c r="G4466" s="37" t="str">
        <f t="shared" si="212"/>
        <v/>
      </c>
    </row>
    <row r="4467" spans="5:7" x14ac:dyDescent="0.45">
      <c r="E4467" s="32" t="str">
        <f t="shared" si="210"/>
        <v>.0</v>
      </c>
      <c r="F4467" s="32" t="str">
        <f t="shared" si="211"/>
        <v>.0</v>
      </c>
      <c r="G4467" s="37" t="str">
        <f t="shared" si="212"/>
        <v/>
      </c>
    </row>
    <row r="4468" spans="5:7" x14ac:dyDescent="0.45">
      <c r="E4468" s="32" t="str">
        <f t="shared" si="210"/>
        <v>.0</v>
      </c>
      <c r="F4468" s="32" t="str">
        <f t="shared" si="211"/>
        <v>.0</v>
      </c>
      <c r="G4468" s="37" t="str">
        <f t="shared" si="212"/>
        <v/>
      </c>
    </row>
    <row r="4469" spans="5:7" x14ac:dyDescent="0.45">
      <c r="E4469" s="32" t="str">
        <f t="shared" si="210"/>
        <v>.0</v>
      </c>
      <c r="F4469" s="32" t="str">
        <f t="shared" si="211"/>
        <v>.0</v>
      </c>
      <c r="G4469" s="37" t="str">
        <f t="shared" si="212"/>
        <v/>
      </c>
    </row>
    <row r="4470" spans="5:7" x14ac:dyDescent="0.45">
      <c r="E4470" s="32" t="str">
        <f t="shared" si="210"/>
        <v>.0</v>
      </c>
      <c r="F4470" s="32" t="str">
        <f t="shared" si="211"/>
        <v>.0</v>
      </c>
      <c r="G4470" s="37" t="str">
        <f t="shared" si="212"/>
        <v/>
      </c>
    </row>
    <row r="4471" spans="5:7" x14ac:dyDescent="0.45">
      <c r="E4471" s="32" t="str">
        <f t="shared" si="210"/>
        <v>.0</v>
      </c>
      <c r="F4471" s="32" t="str">
        <f t="shared" si="211"/>
        <v>.0</v>
      </c>
      <c r="G4471" s="37" t="str">
        <f t="shared" si="212"/>
        <v/>
      </c>
    </row>
    <row r="4472" spans="5:7" x14ac:dyDescent="0.45">
      <c r="E4472" s="32" t="str">
        <f t="shared" si="210"/>
        <v>.0</v>
      </c>
      <c r="F4472" s="32" t="str">
        <f t="shared" si="211"/>
        <v>.0</v>
      </c>
      <c r="G4472" s="37" t="str">
        <f t="shared" si="212"/>
        <v/>
      </c>
    </row>
    <row r="4473" spans="5:7" x14ac:dyDescent="0.45">
      <c r="E4473" s="32" t="str">
        <f t="shared" si="210"/>
        <v>.0</v>
      </c>
      <c r="F4473" s="32" t="str">
        <f t="shared" si="211"/>
        <v>.0</v>
      </c>
      <c r="G4473" s="37" t="str">
        <f t="shared" si="212"/>
        <v/>
      </c>
    </row>
    <row r="4474" spans="5:7" x14ac:dyDescent="0.45">
      <c r="E4474" s="32" t="str">
        <f t="shared" si="210"/>
        <v>.0</v>
      </c>
      <c r="F4474" s="32" t="str">
        <f t="shared" si="211"/>
        <v>.0</v>
      </c>
      <c r="G4474" s="37" t="str">
        <f t="shared" si="212"/>
        <v/>
      </c>
    </row>
    <row r="4475" spans="5:7" x14ac:dyDescent="0.45">
      <c r="E4475" s="32" t="str">
        <f t="shared" si="210"/>
        <v>.0</v>
      </c>
      <c r="F4475" s="32" t="str">
        <f t="shared" si="211"/>
        <v>.0</v>
      </c>
      <c r="G4475" s="37" t="str">
        <f t="shared" si="212"/>
        <v/>
      </c>
    </row>
    <row r="4476" spans="5:7" x14ac:dyDescent="0.45">
      <c r="E4476" s="32" t="str">
        <f t="shared" si="210"/>
        <v>.0</v>
      </c>
      <c r="F4476" s="32" t="str">
        <f t="shared" si="211"/>
        <v>.0</v>
      </c>
      <c r="G4476" s="37" t="str">
        <f t="shared" si="212"/>
        <v/>
      </c>
    </row>
    <row r="4477" spans="5:7" x14ac:dyDescent="0.45">
      <c r="E4477" s="32" t="str">
        <f t="shared" si="210"/>
        <v>.0</v>
      </c>
      <c r="F4477" s="32" t="str">
        <f t="shared" si="211"/>
        <v>.0</v>
      </c>
      <c r="G4477" s="37" t="str">
        <f t="shared" si="212"/>
        <v/>
      </c>
    </row>
    <row r="4478" spans="5:7" x14ac:dyDescent="0.45">
      <c r="E4478" s="32" t="str">
        <f t="shared" si="210"/>
        <v>.0</v>
      </c>
      <c r="F4478" s="32" t="str">
        <f t="shared" si="211"/>
        <v>.0</v>
      </c>
      <c r="G4478" s="37" t="str">
        <f t="shared" si="212"/>
        <v/>
      </c>
    </row>
    <row r="4479" spans="5:7" x14ac:dyDescent="0.45">
      <c r="E4479" s="32" t="str">
        <f t="shared" si="210"/>
        <v>.0</v>
      </c>
      <c r="F4479" s="32" t="str">
        <f t="shared" si="211"/>
        <v>.0</v>
      </c>
      <c r="G4479" s="37" t="str">
        <f t="shared" si="212"/>
        <v/>
      </c>
    </row>
    <row r="4480" spans="5:7" x14ac:dyDescent="0.45">
      <c r="E4480" s="32" t="str">
        <f t="shared" si="210"/>
        <v>.0</v>
      </c>
      <c r="F4480" s="32" t="str">
        <f t="shared" si="211"/>
        <v>.0</v>
      </c>
      <c r="G4480" s="37" t="str">
        <f t="shared" si="212"/>
        <v/>
      </c>
    </row>
    <row r="4481" spans="5:7" x14ac:dyDescent="0.45">
      <c r="E4481" s="32" t="str">
        <f t="shared" si="210"/>
        <v>.0</v>
      </c>
      <c r="F4481" s="32" t="str">
        <f t="shared" si="211"/>
        <v>.0</v>
      </c>
      <c r="G4481" s="37" t="str">
        <f t="shared" si="212"/>
        <v/>
      </c>
    </row>
    <row r="4482" spans="5:7" x14ac:dyDescent="0.45">
      <c r="E4482" s="32" t="str">
        <f t="shared" si="210"/>
        <v>.0</v>
      </c>
      <c r="F4482" s="32" t="str">
        <f t="shared" si="211"/>
        <v>.0</v>
      </c>
      <c r="G4482" s="37" t="str">
        <f t="shared" si="212"/>
        <v/>
      </c>
    </row>
    <row r="4483" spans="5:7" x14ac:dyDescent="0.45">
      <c r="E4483" s="32" t="str">
        <f t="shared" si="210"/>
        <v>.0</v>
      </c>
      <c r="F4483" s="32" t="str">
        <f t="shared" si="211"/>
        <v>.0</v>
      </c>
      <c r="G4483" s="37" t="str">
        <f t="shared" si="212"/>
        <v/>
      </c>
    </row>
    <row r="4484" spans="5:7" x14ac:dyDescent="0.45">
      <c r="E4484" s="32" t="str">
        <f t="shared" si="210"/>
        <v>.0</v>
      </c>
      <c r="F4484" s="32" t="str">
        <f t="shared" si="211"/>
        <v>.0</v>
      </c>
      <c r="G4484" s="37" t="str">
        <f t="shared" si="212"/>
        <v/>
      </c>
    </row>
    <row r="4485" spans="5:7" x14ac:dyDescent="0.45">
      <c r="E4485" s="32" t="str">
        <f t="shared" si="210"/>
        <v>.0</v>
      </c>
      <c r="F4485" s="32" t="str">
        <f t="shared" si="211"/>
        <v>.0</v>
      </c>
      <c r="G4485" s="37" t="str">
        <f t="shared" si="212"/>
        <v/>
      </c>
    </row>
    <row r="4486" spans="5:7" x14ac:dyDescent="0.45">
      <c r="E4486" s="32" t="str">
        <f t="shared" si="210"/>
        <v>.0</v>
      </c>
      <c r="F4486" s="32" t="str">
        <f t="shared" si="211"/>
        <v>.0</v>
      </c>
      <c r="G4486" s="37" t="str">
        <f t="shared" si="212"/>
        <v/>
      </c>
    </row>
    <row r="4487" spans="5:7" x14ac:dyDescent="0.45">
      <c r="E4487" s="32" t="str">
        <f t="shared" si="210"/>
        <v>.0</v>
      </c>
      <c r="F4487" s="32" t="str">
        <f t="shared" si="211"/>
        <v>.0</v>
      </c>
      <c r="G4487" s="37" t="str">
        <f t="shared" si="212"/>
        <v/>
      </c>
    </row>
    <row r="4488" spans="5:7" x14ac:dyDescent="0.45">
      <c r="E4488" s="32" t="str">
        <f t="shared" si="210"/>
        <v>.0</v>
      </c>
      <c r="F4488" s="32" t="str">
        <f t="shared" si="211"/>
        <v>.0</v>
      </c>
      <c r="G4488" s="37" t="str">
        <f t="shared" si="212"/>
        <v/>
      </c>
    </row>
    <row r="4489" spans="5:7" x14ac:dyDescent="0.45">
      <c r="E4489" s="32" t="str">
        <f t="shared" si="210"/>
        <v>.0</v>
      </c>
      <c r="F4489" s="32" t="str">
        <f t="shared" si="211"/>
        <v>.0</v>
      </c>
      <c r="G4489" s="37" t="str">
        <f t="shared" si="212"/>
        <v/>
      </c>
    </row>
    <row r="4490" spans="5:7" x14ac:dyDescent="0.45">
      <c r="E4490" s="32" t="str">
        <f t="shared" si="210"/>
        <v>.0</v>
      </c>
      <c r="F4490" s="32" t="str">
        <f t="shared" si="211"/>
        <v>.0</v>
      </c>
      <c r="G4490" s="37" t="str">
        <f t="shared" si="212"/>
        <v/>
      </c>
    </row>
    <row r="4491" spans="5:7" x14ac:dyDescent="0.45">
      <c r="E4491" s="32" t="str">
        <f t="shared" si="210"/>
        <v>.0</v>
      </c>
      <c r="F4491" s="32" t="str">
        <f t="shared" si="211"/>
        <v>.0</v>
      </c>
      <c r="G4491" s="37" t="str">
        <f t="shared" si="212"/>
        <v/>
      </c>
    </row>
    <row r="4492" spans="5:7" x14ac:dyDescent="0.45">
      <c r="E4492" s="32" t="str">
        <f t="shared" si="210"/>
        <v>.0</v>
      </c>
      <c r="F4492" s="32" t="str">
        <f t="shared" si="211"/>
        <v>.0</v>
      </c>
      <c r="G4492" s="37" t="str">
        <f t="shared" si="212"/>
        <v/>
      </c>
    </row>
    <row r="4493" spans="5:7" x14ac:dyDescent="0.45">
      <c r="E4493" s="32" t="str">
        <f t="shared" si="210"/>
        <v>.0</v>
      </c>
      <c r="F4493" s="32" t="str">
        <f t="shared" si="211"/>
        <v>.0</v>
      </c>
      <c r="G4493" s="37" t="str">
        <f t="shared" si="212"/>
        <v/>
      </c>
    </row>
    <row r="4494" spans="5:7" x14ac:dyDescent="0.45">
      <c r="E4494" s="32" t="str">
        <f t="shared" si="210"/>
        <v>.0</v>
      </c>
      <c r="F4494" s="32" t="str">
        <f t="shared" si="211"/>
        <v>.0</v>
      </c>
      <c r="G4494" s="37" t="str">
        <f t="shared" si="212"/>
        <v/>
      </c>
    </row>
    <row r="4495" spans="5:7" x14ac:dyDescent="0.45">
      <c r="E4495" s="32" t="str">
        <f t="shared" si="210"/>
        <v>.0</v>
      </c>
      <c r="F4495" s="32" t="str">
        <f t="shared" si="211"/>
        <v>.0</v>
      </c>
      <c r="G4495" s="37" t="str">
        <f t="shared" si="212"/>
        <v/>
      </c>
    </row>
    <row r="4496" spans="5:7" x14ac:dyDescent="0.45">
      <c r="E4496" s="32" t="str">
        <f t="shared" si="210"/>
        <v>.0</v>
      </c>
      <c r="F4496" s="32" t="str">
        <f t="shared" si="211"/>
        <v>.0</v>
      </c>
      <c r="G4496" s="37" t="str">
        <f t="shared" si="212"/>
        <v/>
      </c>
    </row>
    <row r="4497" spans="5:7" x14ac:dyDescent="0.45">
      <c r="E4497" s="32" t="str">
        <f t="shared" si="210"/>
        <v>.0</v>
      </c>
      <c r="F4497" s="32" t="str">
        <f t="shared" si="211"/>
        <v>.0</v>
      </c>
      <c r="G4497" s="37" t="str">
        <f t="shared" si="212"/>
        <v/>
      </c>
    </row>
    <row r="4498" spans="5:7" x14ac:dyDescent="0.45">
      <c r="E4498" s="32" t="str">
        <f t="shared" si="210"/>
        <v>.0</v>
      </c>
      <c r="F4498" s="32" t="str">
        <f t="shared" si="211"/>
        <v>.0</v>
      </c>
      <c r="G4498" s="37" t="str">
        <f t="shared" si="212"/>
        <v/>
      </c>
    </row>
    <row r="4499" spans="5:7" x14ac:dyDescent="0.45">
      <c r="E4499" s="32" t="str">
        <f t="shared" si="210"/>
        <v>.0</v>
      </c>
      <c r="F4499" s="32" t="str">
        <f t="shared" si="211"/>
        <v>.0</v>
      </c>
      <c r="G4499" s="37" t="str">
        <f t="shared" si="212"/>
        <v/>
      </c>
    </row>
    <row r="4500" spans="5:7" x14ac:dyDescent="0.45">
      <c r="E4500" s="32" t="str">
        <f t="shared" si="210"/>
        <v>.0</v>
      </c>
      <c r="F4500" s="32" t="str">
        <f t="shared" si="211"/>
        <v>.0</v>
      </c>
      <c r="G4500" s="37" t="str">
        <f t="shared" si="212"/>
        <v/>
      </c>
    </row>
    <row r="4501" spans="5:7" x14ac:dyDescent="0.45">
      <c r="E4501" s="32" t="str">
        <f t="shared" si="210"/>
        <v>.0</v>
      </c>
      <c r="F4501" s="32" t="str">
        <f t="shared" si="211"/>
        <v>.0</v>
      </c>
      <c r="G4501" s="37" t="str">
        <f t="shared" si="212"/>
        <v/>
      </c>
    </row>
    <row r="4502" spans="5:7" x14ac:dyDescent="0.45">
      <c r="E4502" s="32" t="str">
        <f t="shared" si="210"/>
        <v>.0</v>
      </c>
      <c r="F4502" s="32" t="str">
        <f t="shared" si="211"/>
        <v>.0</v>
      </c>
      <c r="G4502" s="37" t="str">
        <f t="shared" si="212"/>
        <v/>
      </c>
    </row>
    <row r="4503" spans="5:7" x14ac:dyDescent="0.45">
      <c r="E4503" s="32" t="str">
        <f t="shared" si="210"/>
        <v>.0</v>
      </c>
      <c r="F4503" s="32" t="str">
        <f t="shared" si="211"/>
        <v>.0</v>
      </c>
      <c r="G4503" s="37" t="str">
        <f t="shared" si="212"/>
        <v/>
      </c>
    </row>
    <row r="4504" spans="5:7" x14ac:dyDescent="0.45">
      <c r="E4504" s="32" t="str">
        <f t="shared" si="210"/>
        <v>.0</v>
      </c>
      <c r="F4504" s="32" t="str">
        <f t="shared" si="211"/>
        <v>.0</v>
      </c>
      <c r="G4504" s="37" t="str">
        <f t="shared" si="212"/>
        <v/>
      </c>
    </row>
    <row r="4505" spans="5:7" x14ac:dyDescent="0.45">
      <c r="E4505" s="32" t="str">
        <f t="shared" si="210"/>
        <v>.0</v>
      </c>
      <c r="F4505" s="32" t="str">
        <f t="shared" si="211"/>
        <v>.0</v>
      </c>
      <c r="G4505" s="37" t="str">
        <f t="shared" si="212"/>
        <v/>
      </c>
    </row>
    <row r="4506" spans="5:7" x14ac:dyDescent="0.45">
      <c r="E4506" s="32" t="str">
        <f t="shared" si="210"/>
        <v>.0</v>
      </c>
      <c r="F4506" s="32" t="str">
        <f t="shared" si="211"/>
        <v>.0</v>
      </c>
      <c r="G4506" s="37" t="str">
        <f t="shared" si="212"/>
        <v/>
      </c>
    </row>
    <row r="4507" spans="5:7" x14ac:dyDescent="0.45">
      <c r="E4507" s="32" t="str">
        <f t="shared" si="210"/>
        <v>.0</v>
      </c>
      <c r="F4507" s="32" t="str">
        <f t="shared" si="211"/>
        <v>.0</v>
      </c>
      <c r="G4507" s="37" t="str">
        <f t="shared" si="212"/>
        <v/>
      </c>
    </row>
    <row r="4508" spans="5:7" x14ac:dyDescent="0.45">
      <c r="E4508" s="32" t="str">
        <f t="shared" si="210"/>
        <v>.0</v>
      </c>
      <c r="F4508" s="32" t="str">
        <f t="shared" si="211"/>
        <v>.0</v>
      </c>
      <c r="G4508" s="37" t="str">
        <f t="shared" si="212"/>
        <v/>
      </c>
    </row>
    <row r="4509" spans="5:7" x14ac:dyDescent="0.45">
      <c r="E4509" s="32" t="str">
        <f t="shared" si="210"/>
        <v>.0</v>
      </c>
      <c r="F4509" s="32" t="str">
        <f t="shared" si="211"/>
        <v>.0</v>
      </c>
      <c r="G4509" s="37" t="str">
        <f t="shared" si="212"/>
        <v/>
      </c>
    </row>
    <row r="4510" spans="5:7" x14ac:dyDescent="0.45">
      <c r="E4510" s="32" t="str">
        <f t="shared" ref="E4510:E4573" si="213">MID(B4510,3,2)&amp;"."&amp;IF(C4510&lt;10,"0"&amp;C4510,C4510)</f>
        <v>.0</v>
      </c>
      <c r="F4510" s="32" t="str">
        <f t="shared" ref="F4510:F4573" si="214">MID(B4510,3,2)&amp;"."&amp;IF(C4510&lt;10,"0"&amp;C4510,C4510)</f>
        <v>.0</v>
      </c>
      <c r="G4510" s="37" t="str">
        <f t="shared" ref="G4510:G4573" si="215">TEXT(D4510,"#,###,")</f>
        <v/>
      </c>
    </row>
    <row r="4511" spans="5:7" x14ac:dyDescent="0.45">
      <c r="E4511" s="32" t="str">
        <f t="shared" si="213"/>
        <v>.0</v>
      </c>
      <c r="F4511" s="32" t="str">
        <f t="shared" si="214"/>
        <v>.0</v>
      </c>
      <c r="G4511" s="37" t="str">
        <f t="shared" si="215"/>
        <v/>
      </c>
    </row>
    <row r="4512" spans="5:7" x14ac:dyDescent="0.45">
      <c r="E4512" s="32" t="str">
        <f t="shared" si="213"/>
        <v>.0</v>
      </c>
      <c r="F4512" s="32" t="str">
        <f t="shared" si="214"/>
        <v>.0</v>
      </c>
      <c r="G4512" s="37" t="str">
        <f t="shared" si="215"/>
        <v/>
      </c>
    </row>
    <row r="4513" spans="5:7" x14ac:dyDescent="0.45">
      <c r="E4513" s="32" t="str">
        <f t="shared" si="213"/>
        <v>.0</v>
      </c>
      <c r="F4513" s="32" t="str">
        <f t="shared" si="214"/>
        <v>.0</v>
      </c>
      <c r="G4513" s="37" t="str">
        <f t="shared" si="215"/>
        <v/>
      </c>
    </row>
    <row r="4514" spans="5:7" x14ac:dyDescent="0.45">
      <c r="E4514" s="32" t="str">
        <f t="shared" si="213"/>
        <v>.0</v>
      </c>
      <c r="F4514" s="32" t="str">
        <f t="shared" si="214"/>
        <v>.0</v>
      </c>
      <c r="G4514" s="37" t="str">
        <f t="shared" si="215"/>
        <v/>
      </c>
    </row>
    <row r="4515" spans="5:7" x14ac:dyDescent="0.45">
      <c r="E4515" s="32" t="str">
        <f t="shared" si="213"/>
        <v>.0</v>
      </c>
      <c r="F4515" s="32" t="str">
        <f t="shared" si="214"/>
        <v>.0</v>
      </c>
      <c r="G4515" s="37" t="str">
        <f t="shared" si="215"/>
        <v/>
      </c>
    </row>
    <row r="4516" spans="5:7" x14ac:dyDescent="0.45">
      <c r="E4516" s="32" t="str">
        <f t="shared" si="213"/>
        <v>.0</v>
      </c>
      <c r="F4516" s="32" t="str">
        <f t="shared" si="214"/>
        <v>.0</v>
      </c>
      <c r="G4516" s="37" t="str">
        <f t="shared" si="215"/>
        <v/>
      </c>
    </row>
    <row r="4517" spans="5:7" x14ac:dyDescent="0.45">
      <c r="E4517" s="32" t="str">
        <f t="shared" si="213"/>
        <v>.0</v>
      </c>
      <c r="F4517" s="32" t="str">
        <f t="shared" si="214"/>
        <v>.0</v>
      </c>
      <c r="G4517" s="37" t="str">
        <f t="shared" si="215"/>
        <v/>
      </c>
    </row>
    <row r="4518" spans="5:7" x14ac:dyDescent="0.45">
      <c r="E4518" s="32" t="str">
        <f t="shared" si="213"/>
        <v>.0</v>
      </c>
      <c r="F4518" s="32" t="str">
        <f t="shared" si="214"/>
        <v>.0</v>
      </c>
      <c r="G4518" s="37" t="str">
        <f t="shared" si="215"/>
        <v/>
      </c>
    </row>
    <row r="4519" spans="5:7" x14ac:dyDescent="0.45">
      <c r="E4519" s="32" t="str">
        <f t="shared" si="213"/>
        <v>.0</v>
      </c>
      <c r="F4519" s="32" t="str">
        <f t="shared" si="214"/>
        <v>.0</v>
      </c>
      <c r="G4519" s="37" t="str">
        <f t="shared" si="215"/>
        <v/>
      </c>
    </row>
    <row r="4520" spans="5:7" x14ac:dyDescent="0.45">
      <c r="E4520" s="32" t="str">
        <f t="shared" si="213"/>
        <v>.0</v>
      </c>
      <c r="F4520" s="32" t="str">
        <f t="shared" si="214"/>
        <v>.0</v>
      </c>
      <c r="G4520" s="37" t="str">
        <f t="shared" si="215"/>
        <v/>
      </c>
    </row>
    <row r="4521" spans="5:7" x14ac:dyDescent="0.45">
      <c r="E4521" s="32" t="str">
        <f t="shared" si="213"/>
        <v>.0</v>
      </c>
      <c r="F4521" s="32" t="str">
        <f t="shared" si="214"/>
        <v>.0</v>
      </c>
      <c r="G4521" s="37" t="str">
        <f t="shared" si="215"/>
        <v/>
      </c>
    </row>
    <row r="4522" spans="5:7" x14ac:dyDescent="0.45">
      <c r="E4522" s="32" t="str">
        <f t="shared" si="213"/>
        <v>.0</v>
      </c>
      <c r="F4522" s="32" t="str">
        <f t="shared" si="214"/>
        <v>.0</v>
      </c>
      <c r="G4522" s="37" t="str">
        <f t="shared" si="215"/>
        <v/>
      </c>
    </row>
    <row r="4523" spans="5:7" x14ac:dyDescent="0.45">
      <c r="E4523" s="32" t="str">
        <f t="shared" si="213"/>
        <v>.0</v>
      </c>
      <c r="F4523" s="32" t="str">
        <f t="shared" si="214"/>
        <v>.0</v>
      </c>
      <c r="G4523" s="37" t="str">
        <f t="shared" si="215"/>
        <v/>
      </c>
    </row>
    <row r="4524" spans="5:7" x14ac:dyDescent="0.45">
      <c r="E4524" s="32" t="str">
        <f t="shared" si="213"/>
        <v>.0</v>
      </c>
      <c r="F4524" s="32" t="str">
        <f t="shared" si="214"/>
        <v>.0</v>
      </c>
      <c r="G4524" s="37" t="str">
        <f t="shared" si="215"/>
        <v/>
      </c>
    </row>
    <row r="4525" spans="5:7" x14ac:dyDescent="0.45">
      <c r="E4525" s="32" t="str">
        <f t="shared" si="213"/>
        <v>.0</v>
      </c>
      <c r="F4525" s="32" t="str">
        <f t="shared" si="214"/>
        <v>.0</v>
      </c>
      <c r="G4525" s="37" t="str">
        <f t="shared" si="215"/>
        <v/>
      </c>
    </row>
    <row r="4526" spans="5:7" x14ac:dyDescent="0.45">
      <c r="E4526" s="32" t="str">
        <f t="shared" si="213"/>
        <v>.0</v>
      </c>
      <c r="F4526" s="32" t="str">
        <f t="shared" si="214"/>
        <v>.0</v>
      </c>
      <c r="G4526" s="37" t="str">
        <f t="shared" si="215"/>
        <v/>
      </c>
    </row>
    <row r="4527" spans="5:7" x14ac:dyDescent="0.45">
      <c r="E4527" s="32" t="str">
        <f t="shared" si="213"/>
        <v>.0</v>
      </c>
      <c r="F4527" s="32" t="str">
        <f t="shared" si="214"/>
        <v>.0</v>
      </c>
      <c r="G4527" s="37" t="str">
        <f t="shared" si="215"/>
        <v/>
      </c>
    </row>
    <row r="4528" spans="5:7" x14ac:dyDescent="0.45">
      <c r="E4528" s="32" t="str">
        <f t="shared" si="213"/>
        <v>.0</v>
      </c>
      <c r="F4528" s="32" t="str">
        <f t="shared" si="214"/>
        <v>.0</v>
      </c>
      <c r="G4528" s="37" t="str">
        <f t="shared" si="215"/>
        <v/>
      </c>
    </row>
    <row r="4529" spans="5:7" x14ac:dyDescent="0.45">
      <c r="E4529" s="32" t="str">
        <f t="shared" si="213"/>
        <v>.0</v>
      </c>
      <c r="F4529" s="32" t="str">
        <f t="shared" si="214"/>
        <v>.0</v>
      </c>
      <c r="G4529" s="37" t="str">
        <f t="shared" si="215"/>
        <v/>
      </c>
    </row>
    <row r="4530" spans="5:7" x14ac:dyDescent="0.45">
      <c r="E4530" s="32" t="str">
        <f t="shared" si="213"/>
        <v>.0</v>
      </c>
      <c r="F4530" s="32" t="str">
        <f t="shared" si="214"/>
        <v>.0</v>
      </c>
      <c r="G4530" s="37" t="str">
        <f t="shared" si="215"/>
        <v/>
      </c>
    </row>
    <row r="4531" spans="5:7" x14ac:dyDescent="0.45">
      <c r="E4531" s="32" t="str">
        <f t="shared" si="213"/>
        <v>.0</v>
      </c>
      <c r="F4531" s="32" t="str">
        <f t="shared" si="214"/>
        <v>.0</v>
      </c>
      <c r="G4531" s="37" t="str">
        <f t="shared" si="215"/>
        <v/>
      </c>
    </row>
    <row r="4532" spans="5:7" x14ac:dyDescent="0.45">
      <c r="E4532" s="32" t="str">
        <f t="shared" si="213"/>
        <v>.0</v>
      </c>
      <c r="F4532" s="32" t="str">
        <f t="shared" si="214"/>
        <v>.0</v>
      </c>
      <c r="G4532" s="37" t="str">
        <f t="shared" si="215"/>
        <v/>
      </c>
    </row>
    <row r="4533" spans="5:7" x14ac:dyDescent="0.45">
      <c r="E4533" s="32" t="str">
        <f t="shared" si="213"/>
        <v>.0</v>
      </c>
      <c r="F4533" s="32" t="str">
        <f t="shared" si="214"/>
        <v>.0</v>
      </c>
      <c r="G4533" s="37" t="str">
        <f t="shared" si="215"/>
        <v/>
      </c>
    </row>
    <row r="4534" spans="5:7" x14ac:dyDescent="0.45">
      <c r="E4534" s="32" t="str">
        <f t="shared" si="213"/>
        <v>.0</v>
      </c>
      <c r="F4534" s="32" t="str">
        <f t="shared" si="214"/>
        <v>.0</v>
      </c>
      <c r="G4534" s="37" t="str">
        <f t="shared" si="215"/>
        <v/>
      </c>
    </row>
    <row r="4535" spans="5:7" x14ac:dyDescent="0.45">
      <c r="E4535" s="32" t="str">
        <f t="shared" si="213"/>
        <v>.0</v>
      </c>
      <c r="F4535" s="32" t="str">
        <f t="shared" si="214"/>
        <v>.0</v>
      </c>
      <c r="G4535" s="37" t="str">
        <f t="shared" si="215"/>
        <v/>
      </c>
    </row>
    <row r="4536" spans="5:7" x14ac:dyDescent="0.45">
      <c r="E4536" s="32" t="str">
        <f t="shared" si="213"/>
        <v>.0</v>
      </c>
      <c r="F4536" s="32" t="str">
        <f t="shared" si="214"/>
        <v>.0</v>
      </c>
      <c r="G4536" s="37" t="str">
        <f t="shared" si="215"/>
        <v/>
      </c>
    </row>
    <row r="4537" spans="5:7" x14ac:dyDescent="0.45">
      <c r="E4537" s="32" t="str">
        <f t="shared" si="213"/>
        <v>.0</v>
      </c>
      <c r="F4537" s="32" t="str">
        <f t="shared" si="214"/>
        <v>.0</v>
      </c>
      <c r="G4537" s="37" t="str">
        <f t="shared" si="215"/>
        <v/>
      </c>
    </row>
    <row r="4538" spans="5:7" x14ac:dyDescent="0.45">
      <c r="E4538" s="32" t="str">
        <f t="shared" si="213"/>
        <v>.0</v>
      </c>
      <c r="F4538" s="32" t="str">
        <f t="shared" si="214"/>
        <v>.0</v>
      </c>
      <c r="G4538" s="37" t="str">
        <f t="shared" si="215"/>
        <v/>
      </c>
    </row>
    <row r="4539" spans="5:7" x14ac:dyDescent="0.45">
      <c r="E4539" s="32" t="str">
        <f t="shared" si="213"/>
        <v>.0</v>
      </c>
      <c r="F4539" s="32" t="str">
        <f t="shared" si="214"/>
        <v>.0</v>
      </c>
      <c r="G4539" s="37" t="str">
        <f t="shared" si="215"/>
        <v/>
      </c>
    </row>
    <row r="4540" spans="5:7" x14ac:dyDescent="0.45">
      <c r="E4540" s="32" t="str">
        <f t="shared" si="213"/>
        <v>.0</v>
      </c>
      <c r="F4540" s="32" t="str">
        <f t="shared" si="214"/>
        <v>.0</v>
      </c>
      <c r="G4540" s="37" t="str">
        <f t="shared" si="215"/>
        <v/>
      </c>
    </row>
    <row r="4541" spans="5:7" x14ac:dyDescent="0.45">
      <c r="E4541" s="32" t="str">
        <f t="shared" si="213"/>
        <v>.0</v>
      </c>
      <c r="F4541" s="32" t="str">
        <f t="shared" si="214"/>
        <v>.0</v>
      </c>
      <c r="G4541" s="37" t="str">
        <f t="shared" si="215"/>
        <v/>
      </c>
    </row>
    <row r="4542" spans="5:7" x14ac:dyDescent="0.45">
      <c r="E4542" s="32" t="str">
        <f t="shared" si="213"/>
        <v>.0</v>
      </c>
      <c r="F4542" s="32" t="str">
        <f t="shared" si="214"/>
        <v>.0</v>
      </c>
      <c r="G4542" s="37" t="str">
        <f t="shared" si="215"/>
        <v/>
      </c>
    </row>
    <row r="4543" spans="5:7" x14ac:dyDescent="0.45">
      <c r="E4543" s="32" t="str">
        <f t="shared" si="213"/>
        <v>.0</v>
      </c>
      <c r="F4543" s="32" t="str">
        <f t="shared" si="214"/>
        <v>.0</v>
      </c>
      <c r="G4543" s="37" t="str">
        <f t="shared" si="215"/>
        <v/>
      </c>
    </row>
    <row r="4544" spans="5:7" x14ac:dyDescent="0.45">
      <c r="E4544" s="32" t="str">
        <f t="shared" si="213"/>
        <v>.0</v>
      </c>
      <c r="F4544" s="32" t="str">
        <f t="shared" si="214"/>
        <v>.0</v>
      </c>
      <c r="G4544" s="37" t="str">
        <f t="shared" si="215"/>
        <v/>
      </c>
    </row>
    <row r="4545" spans="5:7" x14ac:dyDescent="0.45">
      <c r="E4545" s="32" t="str">
        <f t="shared" si="213"/>
        <v>.0</v>
      </c>
      <c r="F4545" s="32" t="str">
        <f t="shared" si="214"/>
        <v>.0</v>
      </c>
      <c r="G4545" s="37" t="str">
        <f t="shared" si="215"/>
        <v/>
      </c>
    </row>
    <row r="4546" spans="5:7" x14ac:dyDescent="0.45">
      <c r="E4546" s="32" t="str">
        <f t="shared" si="213"/>
        <v>.0</v>
      </c>
      <c r="F4546" s="32" t="str">
        <f t="shared" si="214"/>
        <v>.0</v>
      </c>
      <c r="G4546" s="37" t="str">
        <f t="shared" si="215"/>
        <v/>
      </c>
    </row>
    <row r="4547" spans="5:7" x14ac:dyDescent="0.45">
      <c r="E4547" s="32" t="str">
        <f t="shared" si="213"/>
        <v>.0</v>
      </c>
      <c r="F4547" s="32" t="str">
        <f t="shared" si="214"/>
        <v>.0</v>
      </c>
      <c r="G4547" s="37" t="str">
        <f t="shared" si="215"/>
        <v/>
      </c>
    </row>
    <row r="4548" spans="5:7" x14ac:dyDescent="0.45">
      <c r="E4548" s="32" t="str">
        <f t="shared" si="213"/>
        <v>.0</v>
      </c>
      <c r="F4548" s="32" t="str">
        <f t="shared" si="214"/>
        <v>.0</v>
      </c>
      <c r="G4548" s="37" t="str">
        <f t="shared" si="215"/>
        <v/>
      </c>
    </row>
    <row r="4549" spans="5:7" x14ac:dyDescent="0.45">
      <c r="E4549" s="32" t="str">
        <f t="shared" si="213"/>
        <v>.0</v>
      </c>
      <c r="F4549" s="32" t="str">
        <f t="shared" si="214"/>
        <v>.0</v>
      </c>
      <c r="G4549" s="37" t="str">
        <f t="shared" si="215"/>
        <v/>
      </c>
    </row>
    <row r="4550" spans="5:7" x14ac:dyDescent="0.45">
      <c r="E4550" s="32" t="str">
        <f t="shared" si="213"/>
        <v>.0</v>
      </c>
      <c r="F4550" s="32" t="str">
        <f t="shared" si="214"/>
        <v>.0</v>
      </c>
      <c r="G4550" s="37" t="str">
        <f t="shared" si="215"/>
        <v/>
      </c>
    </row>
    <row r="4551" spans="5:7" x14ac:dyDescent="0.45">
      <c r="E4551" s="32" t="str">
        <f t="shared" si="213"/>
        <v>.0</v>
      </c>
      <c r="F4551" s="32" t="str">
        <f t="shared" si="214"/>
        <v>.0</v>
      </c>
      <c r="G4551" s="37" t="str">
        <f t="shared" si="215"/>
        <v/>
      </c>
    </row>
    <row r="4552" spans="5:7" x14ac:dyDescent="0.45">
      <c r="E4552" s="32" t="str">
        <f t="shared" si="213"/>
        <v>.0</v>
      </c>
      <c r="F4552" s="32" t="str">
        <f t="shared" si="214"/>
        <v>.0</v>
      </c>
      <c r="G4552" s="37" t="str">
        <f t="shared" si="215"/>
        <v/>
      </c>
    </row>
    <row r="4553" spans="5:7" x14ac:dyDescent="0.45">
      <c r="E4553" s="32" t="str">
        <f t="shared" si="213"/>
        <v>.0</v>
      </c>
      <c r="F4553" s="32" t="str">
        <f t="shared" si="214"/>
        <v>.0</v>
      </c>
      <c r="G4553" s="37" t="str">
        <f t="shared" si="215"/>
        <v/>
      </c>
    </row>
    <row r="4554" spans="5:7" x14ac:dyDescent="0.45">
      <c r="E4554" s="32" t="str">
        <f t="shared" si="213"/>
        <v>.0</v>
      </c>
      <c r="F4554" s="32" t="str">
        <f t="shared" si="214"/>
        <v>.0</v>
      </c>
      <c r="G4554" s="37" t="str">
        <f t="shared" si="215"/>
        <v/>
      </c>
    </row>
    <row r="4555" spans="5:7" x14ac:dyDescent="0.45">
      <c r="E4555" s="32" t="str">
        <f t="shared" si="213"/>
        <v>.0</v>
      </c>
      <c r="F4555" s="32" t="str">
        <f t="shared" si="214"/>
        <v>.0</v>
      </c>
      <c r="G4555" s="37" t="str">
        <f t="shared" si="215"/>
        <v/>
      </c>
    </row>
    <row r="4556" spans="5:7" x14ac:dyDescent="0.45">
      <c r="E4556" s="32" t="str">
        <f t="shared" si="213"/>
        <v>.0</v>
      </c>
      <c r="F4556" s="32" t="str">
        <f t="shared" si="214"/>
        <v>.0</v>
      </c>
      <c r="G4556" s="37" t="str">
        <f t="shared" si="215"/>
        <v/>
      </c>
    </row>
    <row r="4557" spans="5:7" x14ac:dyDescent="0.45">
      <c r="E4557" s="32" t="str">
        <f t="shared" si="213"/>
        <v>.0</v>
      </c>
      <c r="F4557" s="32" t="str">
        <f t="shared" si="214"/>
        <v>.0</v>
      </c>
      <c r="G4557" s="37" t="str">
        <f t="shared" si="215"/>
        <v/>
      </c>
    </row>
    <row r="4558" spans="5:7" x14ac:dyDescent="0.45">
      <c r="E4558" s="32" t="str">
        <f t="shared" si="213"/>
        <v>.0</v>
      </c>
      <c r="F4558" s="32" t="str">
        <f t="shared" si="214"/>
        <v>.0</v>
      </c>
      <c r="G4558" s="37" t="str">
        <f t="shared" si="215"/>
        <v/>
      </c>
    </row>
    <row r="4559" spans="5:7" x14ac:dyDescent="0.45">
      <c r="E4559" s="32" t="str">
        <f t="shared" si="213"/>
        <v>.0</v>
      </c>
      <c r="F4559" s="32" t="str">
        <f t="shared" si="214"/>
        <v>.0</v>
      </c>
      <c r="G4559" s="37" t="str">
        <f t="shared" si="215"/>
        <v/>
      </c>
    </row>
    <row r="4560" spans="5:7" x14ac:dyDescent="0.45">
      <c r="E4560" s="32" t="str">
        <f t="shared" si="213"/>
        <v>.0</v>
      </c>
      <c r="F4560" s="32" t="str">
        <f t="shared" si="214"/>
        <v>.0</v>
      </c>
      <c r="G4560" s="37" t="str">
        <f t="shared" si="215"/>
        <v/>
      </c>
    </row>
    <row r="4561" spans="5:7" x14ac:dyDescent="0.45">
      <c r="E4561" s="32" t="str">
        <f t="shared" si="213"/>
        <v>.0</v>
      </c>
      <c r="F4561" s="32" t="str">
        <f t="shared" si="214"/>
        <v>.0</v>
      </c>
      <c r="G4561" s="37" t="str">
        <f t="shared" si="215"/>
        <v/>
      </c>
    </row>
    <row r="4562" spans="5:7" x14ac:dyDescent="0.45">
      <c r="E4562" s="32" t="str">
        <f t="shared" si="213"/>
        <v>.0</v>
      </c>
      <c r="F4562" s="32" t="str">
        <f t="shared" si="214"/>
        <v>.0</v>
      </c>
      <c r="G4562" s="37" t="str">
        <f t="shared" si="215"/>
        <v/>
      </c>
    </row>
    <row r="4563" spans="5:7" x14ac:dyDescent="0.45">
      <c r="E4563" s="32" t="str">
        <f t="shared" si="213"/>
        <v>.0</v>
      </c>
      <c r="F4563" s="32" t="str">
        <f t="shared" si="214"/>
        <v>.0</v>
      </c>
      <c r="G4563" s="37" t="str">
        <f t="shared" si="215"/>
        <v/>
      </c>
    </row>
    <row r="4564" spans="5:7" x14ac:dyDescent="0.45">
      <c r="E4564" s="32" t="str">
        <f t="shared" si="213"/>
        <v>.0</v>
      </c>
      <c r="F4564" s="32" t="str">
        <f t="shared" si="214"/>
        <v>.0</v>
      </c>
      <c r="G4564" s="37" t="str">
        <f t="shared" si="215"/>
        <v/>
      </c>
    </row>
    <row r="4565" spans="5:7" x14ac:dyDescent="0.45">
      <c r="E4565" s="32" t="str">
        <f t="shared" si="213"/>
        <v>.0</v>
      </c>
      <c r="F4565" s="32" t="str">
        <f t="shared" si="214"/>
        <v>.0</v>
      </c>
      <c r="G4565" s="37" t="str">
        <f t="shared" si="215"/>
        <v/>
      </c>
    </row>
    <row r="4566" spans="5:7" x14ac:dyDescent="0.45">
      <c r="E4566" s="32" t="str">
        <f t="shared" si="213"/>
        <v>.0</v>
      </c>
      <c r="F4566" s="32" t="str">
        <f t="shared" si="214"/>
        <v>.0</v>
      </c>
      <c r="G4566" s="37" t="str">
        <f t="shared" si="215"/>
        <v/>
      </c>
    </row>
    <row r="4567" spans="5:7" x14ac:dyDescent="0.45">
      <c r="E4567" s="32" t="str">
        <f t="shared" si="213"/>
        <v>.0</v>
      </c>
      <c r="F4567" s="32" t="str">
        <f t="shared" si="214"/>
        <v>.0</v>
      </c>
      <c r="G4567" s="37" t="str">
        <f t="shared" si="215"/>
        <v/>
      </c>
    </row>
    <row r="4568" spans="5:7" x14ac:dyDescent="0.45">
      <c r="E4568" s="32" t="str">
        <f t="shared" si="213"/>
        <v>.0</v>
      </c>
      <c r="F4568" s="32" t="str">
        <f t="shared" si="214"/>
        <v>.0</v>
      </c>
      <c r="G4568" s="37" t="str">
        <f t="shared" si="215"/>
        <v/>
      </c>
    </row>
    <row r="4569" spans="5:7" x14ac:dyDescent="0.45">
      <c r="E4569" s="32" t="str">
        <f t="shared" si="213"/>
        <v>.0</v>
      </c>
      <c r="F4569" s="32" t="str">
        <f t="shared" si="214"/>
        <v>.0</v>
      </c>
      <c r="G4569" s="37" t="str">
        <f t="shared" si="215"/>
        <v/>
      </c>
    </row>
    <row r="4570" spans="5:7" x14ac:dyDescent="0.45">
      <c r="E4570" s="32" t="str">
        <f t="shared" si="213"/>
        <v>.0</v>
      </c>
      <c r="F4570" s="32" t="str">
        <f t="shared" si="214"/>
        <v>.0</v>
      </c>
      <c r="G4570" s="37" t="str">
        <f t="shared" si="215"/>
        <v/>
      </c>
    </row>
    <row r="4571" spans="5:7" x14ac:dyDescent="0.45">
      <c r="E4571" s="32" t="str">
        <f t="shared" si="213"/>
        <v>.0</v>
      </c>
      <c r="F4571" s="32" t="str">
        <f t="shared" si="214"/>
        <v>.0</v>
      </c>
      <c r="G4571" s="37" t="str">
        <f t="shared" si="215"/>
        <v/>
      </c>
    </row>
    <row r="4572" spans="5:7" x14ac:dyDescent="0.45">
      <c r="E4572" s="32" t="str">
        <f t="shared" si="213"/>
        <v>.0</v>
      </c>
      <c r="F4572" s="32" t="str">
        <f t="shared" si="214"/>
        <v>.0</v>
      </c>
      <c r="G4572" s="37" t="str">
        <f t="shared" si="215"/>
        <v/>
      </c>
    </row>
    <row r="4573" spans="5:7" x14ac:dyDescent="0.45">
      <c r="E4573" s="32" t="str">
        <f t="shared" si="213"/>
        <v>.0</v>
      </c>
      <c r="F4573" s="32" t="str">
        <f t="shared" si="214"/>
        <v>.0</v>
      </c>
      <c r="G4573" s="37" t="str">
        <f t="shared" si="215"/>
        <v/>
      </c>
    </row>
    <row r="4574" spans="5:7" x14ac:dyDescent="0.45">
      <c r="E4574" s="32" t="str">
        <f t="shared" ref="E4574:E4637" si="216">MID(B4574,3,2)&amp;"."&amp;IF(C4574&lt;10,"0"&amp;C4574,C4574)</f>
        <v>.0</v>
      </c>
      <c r="F4574" s="32" t="str">
        <f t="shared" ref="F4574:F4637" si="217">MID(B4574,3,2)&amp;"."&amp;IF(C4574&lt;10,"0"&amp;C4574,C4574)</f>
        <v>.0</v>
      </c>
      <c r="G4574" s="37" t="str">
        <f t="shared" ref="G4574:G4637" si="218">TEXT(D4574,"#,###,")</f>
        <v/>
      </c>
    </row>
    <row r="4575" spans="5:7" x14ac:dyDescent="0.45">
      <c r="E4575" s="32" t="str">
        <f t="shared" si="216"/>
        <v>.0</v>
      </c>
      <c r="F4575" s="32" t="str">
        <f t="shared" si="217"/>
        <v>.0</v>
      </c>
      <c r="G4575" s="37" t="str">
        <f t="shared" si="218"/>
        <v/>
      </c>
    </row>
    <row r="4576" spans="5:7" x14ac:dyDescent="0.45">
      <c r="E4576" s="32" t="str">
        <f t="shared" si="216"/>
        <v>.0</v>
      </c>
      <c r="F4576" s="32" t="str">
        <f t="shared" si="217"/>
        <v>.0</v>
      </c>
      <c r="G4576" s="37" t="str">
        <f t="shared" si="218"/>
        <v/>
      </c>
    </row>
    <row r="4577" spans="5:7" x14ac:dyDescent="0.45">
      <c r="E4577" s="32" t="str">
        <f t="shared" si="216"/>
        <v>.0</v>
      </c>
      <c r="F4577" s="32" t="str">
        <f t="shared" si="217"/>
        <v>.0</v>
      </c>
      <c r="G4577" s="37" t="str">
        <f t="shared" si="218"/>
        <v/>
      </c>
    </row>
    <row r="4578" spans="5:7" x14ac:dyDescent="0.45">
      <c r="E4578" s="32" t="str">
        <f t="shared" si="216"/>
        <v>.0</v>
      </c>
      <c r="F4578" s="32" t="str">
        <f t="shared" si="217"/>
        <v>.0</v>
      </c>
      <c r="G4578" s="37" t="str">
        <f t="shared" si="218"/>
        <v/>
      </c>
    </row>
    <row r="4579" spans="5:7" x14ac:dyDescent="0.45">
      <c r="E4579" s="32" t="str">
        <f t="shared" si="216"/>
        <v>.0</v>
      </c>
      <c r="F4579" s="32" t="str">
        <f t="shared" si="217"/>
        <v>.0</v>
      </c>
      <c r="G4579" s="37" t="str">
        <f t="shared" si="218"/>
        <v/>
      </c>
    </row>
    <row r="4580" spans="5:7" x14ac:dyDescent="0.45">
      <c r="E4580" s="32" t="str">
        <f t="shared" si="216"/>
        <v>.0</v>
      </c>
      <c r="F4580" s="32" t="str">
        <f t="shared" si="217"/>
        <v>.0</v>
      </c>
      <c r="G4580" s="37" t="str">
        <f t="shared" si="218"/>
        <v/>
      </c>
    </row>
    <row r="4581" spans="5:7" x14ac:dyDescent="0.45">
      <c r="E4581" s="32" t="str">
        <f t="shared" si="216"/>
        <v>.0</v>
      </c>
      <c r="F4581" s="32" t="str">
        <f t="shared" si="217"/>
        <v>.0</v>
      </c>
      <c r="G4581" s="37" t="str">
        <f t="shared" si="218"/>
        <v/>
      </c>
    </row>
    <row r="4582" spans="5:7" x14ac:dyDescent="0.45">
      <c r="E4582" s="32" t="str">
        <f t="shared" si="216"/>
        <v>.0</v>
      </c>
      <c r="F4582" s="32" t="str">
        <f t="shared" si="217"/>
        <v>.0</v>
      </c>
      <c r="G4582" s="37" t="str">
        <f t="shared" si="218"/>
        <v/>
      </c>
    </row>
    <row r="4583" spans="5:7" x14ac:dyDescent="0.45">
      <c r="E4583" s="32" t="str">
        <f t="shared" si="216"/>
        <v>.0</v>
      </c>
      <c r="F4583" s="32" t="str">
        <f t="shared" si="217"/>
        <v>.0</v>
      </c>
      <c r="G4583" s="37" t="str">
        <f t="shared" si="218"/>
        <v/>
      </c>
    </row>
    <row r="4584" spans="5:7" x14ac:dyDescent="0.45">
      <c r="E4584" s="32" t="str">
        <f t="shared" si="216"/>
        <v>.0</v>
      </c>
      <c r="F4584" s="32" t="str">
        <f t="shared" si="217"/>
        <v>.0</v>
      </c>
      <c r="G4584" s="37" t="str">
        <f t="shared" si="218"/>
        <v/>
      </c>
    </row>
    <row r="4585" spans="5:7" x14ac:dyDescent="0.45">
      <c r="E4585" s="32" t="str">
        <f t="shared" si="216"/>
        <v>.0</v>
      </c>
      <c r="F4585" s="32" t="str">
        <f t="shared" si="217"/>
        <v>.0</v>
      </c>
      <c r="G4585" s="37" t="str">
        <f t="shared" si="218"/>
        <v/>
      </c>
    </row>
    <row r="4586" spans="5:7" x14ac:dyDescent="0.45">
      <c r="E4586" s="32" t="str">
        <f t="shared" si="216"/>
        <v>.0</v>
      </c>
      <c r="F4586" s="32" t="str">
        <f t="shared" si="217"/>
        <v>.0</v>
      </c>
      <c r="G4586" s="37" t="str">
        <f t="shared" si="218"/>
        <v/>
      </c>
    </row>
    <row r="4587" spans="5:7" x14ac:dyDescent="0.45">
      <c r="E4587" s="32" t="str">
        <f t="shared" si="216"/>
        <v>.0</v>
      </c>
      <c r="F4587" s="32" t="str">
        <f t="shared" si="217"/>
        <v>.0</v>
      </c>
      <c r="G4587" s="37" t="str">
        <f t="shared" si="218"/>
        <v/>
      </c>
    </row>
    <row r="4588" spans="5:7" x14ac:dyDescent="0.45">
      <c r="E4588" s="32" t="str">
        <f t="shared" si="216"/>
        <v>.0</v>
      </c>
      <c r="F4588" s="32" t="str">
        <f t="shared" si="217"/>
        <v>.0</v>
      </c>
      <c r="G4588" s="37" t="str">
        <f t="shared" si="218"/>
        <v/>
      </c>
    </row>
    <row r="4589" spans="5:7" x14ac:dyDescent="0.45">
      <c r="E4589" s="32" t="str">
        <f t="shared" si="216"/>
        <v>.0</v>
      </c>
      <c r="F4589" s="32" t="str">
        <f t="shared" si="217"/>
        <v>.0</v>
      </c>
      <c r="G4589" s="37" t="str">
        <f t="shared" si="218"/>
        <v/>
      </c>
    </row>
    <row r="4590" spans="5:7" x14ac:dyDescent="0.45">
      <c r="E4590" s="32" t="str">
        <f t="shared" si="216"/>
        <v>.0</v>
      </c>
      <c r="F4590" s="32" t="str">
        <f t="shared" si="217"/>
        <v>.0</v>
      </c>
      <c r="G4590" s="37" t="str">
        <f t="shared" si="218"/>
        <v/>
      </c>
    </row>
    <row r="4591" spans="5:7" x14ac:dyDescent="0.45">
      <c r="E4591" s="32" t="str">
        <f t="shared" si="216"/>
        <v>.0</v>
      </c>
      <c r="F4591" s="32" t="str">
        <f t="shared" si="217"/>
        <v>.0</v>
      </c>
      <c r="G4591" s="37" t="str">
        <f t="shared" si="218"/>
        <v/>
      </c>
    </row>
    <row r="4592" spans="5:7" x14ac:dyDescent="0.45">
      <c r="E4592" s="32" t="str">
        <f t="shared" si="216"/>
        <v>.0</v>
      </c>
      <c r="F4592" s="32" t="str">
        <f t="shared" si="217"/>
        <v>.0</v>
      </c>
      <c r="G4592" s="37" t="str">
        <f t="shared" si="218"/>
        <v/>
      </c>
    </row>
    <row r="4593" spans="5:7" x14ac:dyDescent="0.45">
      <c r="E4593" s="32" t="str">
        <f t="shared" si="216"/>
        <v>.0</v>
      </c>
      <c r="F4593" s="32" t="str">
        <f t="shared" si="217"/>
        <v>.0</v>
      </c>
      <c r="G4593" s="37" t="str">
        <f t="shared" si="218"/>
        <v/>
      </c>
    </row>
    <row r="4594" spans="5:7" x14ac:dyDescent="0.45">
      <c r="E4594" s="32" t="str">
        <f t="shared" si="216"/>
        <v>.0</v>
      </c>
      <c r="F4594" s="32" t="str">
        <f t="shared" si="217"/>
        <v>.0</v>
      </c>
      <c r="G4594" s="37" t="str">
        <f t="shared" si="218"/>
        <v/>
      </c>
    </row>
    <row r="4595" spans="5:7" x14ac:dyDescent="0.45">
      <c r="E4595" s="32" t="str">
        <f t="shared" si="216"/>
        <v>.0</v>
      </c>
      <c r="F4595" s="32" t="str">
        <f t="shared" si="217"/>
        <v>.0</v>
      </c>
      <c r="G4595" s="37" t="str">
        <f t="shared" si="218"/>
        <v/>
      </c>
    </row>
    <row r="4596" spans="5:7" x14ac:dyDescent="0.45">
      <c r="E4596" s="32" t="str">
        <f t="shared" si="216"/>
        <v>.0</v>
      </c>
      <c r="F4596" s="32" t="str">
        <f t="shared" si="217"/>
        <v>.0</v>
      </c>
      <c r="G4596" s="37" t="str">
        <f t="shared" si="218"/>
        <v/>
      </c>
    </row>
    <row r="4597" spans="5:7" x14ac:dyDescent="0.45">
      <c r="E4597" s="32" t="str">
        <f t="shared" si="216"/>
        <v>.0</v>
      </c>
      <c r="F4597" s="32" t="str">
        <f t="shared" si="217"/>
        <v>.0</v>
      </c>
      <c r="G4597" s="37" t="str">
        <f t="shared" si="218"/>
        <v/>
      </c>
    </row>
    <row r="4598" spans="5:7" x14ac:dyDescent="0.45">
      <c r="E4598" s="32" t="str">
        <f t="shared" si="216"/>
        <v>.0</v>
      </c>
      <c r="F4598" s="32" t="str">
        <f t="shared" si="217"/>
        <v>.0</v>
      </c>
      <c r="G4598" s="37" t="str">
        <f t="shared" si="218"/>
        <v/>
      </c>
    </row>
    <row r="4599" spans="5:7" x14ac:dyDescent="0.45">
      <c r="E4599" s="32" t="str">
        <f t="shared" si="216"/>
        <v>.0</v>
      </c>
      <c r="F4599" s="32" t="str">
        <f t="shared" si="217"/>
        <v>.0</v>
      </c>
      <c r="G4599" s="37" t="str">
        <f t="shared" si="218"/>
        <v/>
      </c>
    </row>
    <row r="4600" spans="5:7" x14ac:dyDescent="0.45">
      <c r="E4600" s="32" t="str">
        <f t="shared" si="216"/>
        <v>.0</v>
      </c>
      <c r="F4600" s="32" t="str">
        <f t="shared" si="217"/>
        <v>.0</v>
      </c>
      <c r="G4600" s="37" t="str">
        <f t="shared" si="218"/>
        <v/>
      </c>
    </row>
    <row r="4601" spans="5:7" x14ac:dyDescent="0.45">
      <c r="E4601" s="32" t="str">
        <f t="shared" si="216"/>
        <v>.0</v>
      </c>
      <c r="F4601" s="32" t="str">
        <f t="shared" si="217"/>
        <v>.0</v>
      </c>
      <c r="G4601" s="37" t="str">
        <f t="shared" si="218"/>
        <v/>
      </c>
    </row>
    <row r="4602" spans="5:7" x14ac:dyDescent="0.45">
      <c r="E4602" s="32" t="str">
        <f t="shared" si="216"/>
        <v>.0</v>
      </c>
      <c r="F4602" s="32" t="str">
        <f t="shared" si="217"/>
        <v>.0</v>
      </c>
      <c r="G4602" s="37" t="str">
        <f t="shared" si="218"/>
        <v/>
      </c>
    </row>
    <row r="4603" spans="5:7" x14ac:dyDescent="0.45">
      <c r="E4603" s="32" t="str">
        <f t="shared" si="216"/>
        <v>.0</v>
      </c>
      <c r="F4603" s="32" t="str">
        <f t="shared" si="217"/>
        <v>.0</v>
      </c>
      <c r="G4603" s="37" t="str">
        <f t="shared" si="218"/>
        <v/>
      </c>
    </row>
    <row r="4604" spans="5:7" x14ac:dyDescent="0.45">
      <c r="E4604" s="32" t="str">
        <f t="shared" si="216"/>
        <v>.0</v>
      </c>
      <c r="F4604" s="32" t="str">
        <f t="shared" si="217"/>
        <v>.0</v>
      </c>
      <c r="G4604" s="37" t="str">
        <f t="shared" si="218"/>
        <v/>
      </c>
    </row>
    <row r="4605" spans="5:7" x14ac:dyDescent="0.45">
      <c r="E4605" s="32" t="str">
        <f t="shared" si="216"/>
        <v>.0</v>
      </c>
      <c r="F4605" s="32" t="str">
        <f t="shared" si="217"/>
        <v>.0</v>
      </c>
      <c r="G4605" s="37" t="str">
        <f t="shared" si="218"/>
        <v/>
      </c>
    </row>
    <row r="4606" spans="5:7" x14ac:dyDescent="0.45">
      <c r="E4606" s="32" t="str">
        <f t="shared" si="216"/>
        <v>.0</v>
      </c>
      <c r="F4606" s="32" t="str">
        <f t="shared" si="217"/>
        <v>.0</v>
      </c>
      <c r="G4606" s="37" t="str">
        <f t="shared" si="218"/>
        <v/>
      </c>
    </row>
    <row r="4607" spans="5:7" x14ac:dyDescent="0.45">
      <c r="E4607" s="32" t="str">
        <f t="shared" si="216"/>
        <v>.0</v>
      </c>
      <c r="F4607" s="32" t="str">
        <f t="shared" si="217"/>
        <v>.0</v>
      </c>
      <c r="G4607" s="37" t="str">
        <f t="shared" si="218"/>
        <v/>
      </c>
    </row>
    <row r="4608" spans="5:7" x14ac:dyDescent="0.45">
      <c r="E4608" s="32" t="str">
        <f t="shared" si="216"/>
        <v>.0</v>
      </c>
      <c r="F4608" s="32" t="str">
        <f t="shared" si="217"/>
        <v>.0</v>
      </c>
      <c r="G4608" s="37" t="str">
        <f t="shared" si="218"/>
        <v/>
      </c>
    </row>
    <row r="4609" spans="5:7" x14ac:dyDescent="0.45">
      <c r="E4609" s="32" t="str">
        <f t="shared" si="216"/>
        <v>.0</v>
      </c>
      <c r="F4609" s="32" t="str">
        <f t="shared" si="217"/>
        <v>.0</v>
      </c>
      <c r="G4609" s="37" t="str">
        <f t="shared" si="218"/>
        <v/>
      </c>
    </row>
    <row r="4610" spans="5:7" x14ac:dyDescent="0.45">
      <c r="E4610" s="32" t="str">
        <f t="shared" si="216"/>
        <v>.0</v>
      </c>
      <c r="F4610" s="32" t="str">
        <f t="shared" si="217"/>
        <v>.0</v>
      </c>
      <c r="G4610" s="37" t="str">
        <f t="shared" si="218"/>
        <v/>
      </c>
    </row>
    <row r="4611" spans="5:7" x14ac:dyDescent="0.45">
      <c r="E4611" s="32" t="str">
        <f t="shared" si="216"/>
        <v>.0</v>
      </c>
      <c r="F4611" s="32" t="str">
        <f t="shared" si="217"/>
        <v>.0</v>
      </c>
      <c r="G4611" s="37" t="str">
        <f t="shared" si="218"/>
        <v/>
      </c>
    </row>
    <row r="4612" spans="5:7" x14ac:dyDescent="0.45">
      <c r="E4612" s="32" t="str">
        <f t="shared" si="216"/>
        <v>.0</v>
      </c>
      <c r="F4612" s="32" t="str">
        <f t="shared" si="217"/>
        <v>.0</v>
      </c>
      <c r="G4612" s="37" t="str">
        <f t="shared" si="218"/>
        <v/>
      </c>
    </row>
    <row r="4613" spans="5:7" x14ac:dyDescent="0.45">
      <c r="E4613" s="32" t="str">
        <f t="shared" si="216"/>
        <v>.0</v>
      </c>
      <c r="F4613" s="32" t="str">
        <f t="shared" si="217"/>
        <v>.0</v>
      </c>
      <c r="G4613" s="37" t="str">
        <f t="shared" si="218"/>
        <v/>
      </c>
    </row>
    <row r="4614" spans="5:7" x14ac:dyDescent="0.45">
      <c r="E4614" s="32" t="str">
        <f t="shared" si="216"/>
        <v>.0</v>
      </c>
      <c r="F4614" s="32" t="str">
        <f t="shared" si="217"/>
        <v>.0</v>
      </c>
      <c r="G4614" s="37" t="str">
        <f t="shared" si="218"/>
        <v/>
      </c>
    </row>
    <row r="4615" spans="5:7" x14ac:dyDescent="0.45">
      <c r="E4615" s="32" t="str">
        <f t="shared" si="216"/>
        <v>.0</v>
      </c>
      <c r="F4615" s="32" t="str">
        <f t="shared" si="217"/>
        <v>.0</v>
      </c>
      <c r="G4615" s="37" t="str">
        <f t="shared" si="218"/>
        <v/>
      </c>
    </row>
    <row r="4616" spans="5:7" x14ac:dyDescent="0.45">
      <c r="E4616" s="32" t="str">
        <f t="shared" si="216"/>
        <v>.0</v>
      </c>
      <c r="F4616" s="32" t="str">
        <f t="shared" si="217"/>
        <v>.0</v>
      </c>
      <c r="G4616" s="37" t="str">
        <f t="shared" si="218"/>
        <v/>
      </c>
    </row>
    <row r="4617" spans="5:7" x14ac:dyDescent="0.45">
      <c r="E4617" s="32" t="str">
        <f t="shared" si="216"/>
        <v>.0</v>
      </c>
      <c r="F4617" s="32" t="str">
        <f t="shared" si="217"/>
        <v>.0</v>
      </c>
      <c r="G4617" s="37" t="str">
        <f t="shared" si="218"/>
        <v/>
      </c>
    </row>
    <row r="4618" spans="5:7" x14ac:dyDescent="0.45">
      <c r="E4618" s="32" t="str">
        <f t="shared" si="216"/>
        <v>.0</v>
      </c>
      <c r="F4618" s="32" t="str">
        <f t="shared" si="217"/>
        <v>.0</v>
      </c>
      <c r="G4618" s="37" t="str">
        <f t="shared" si="218"/>
        <v/>
      </c>
    </row>
    <row r="4619" spans="5:7" x14ac:dyDescent="0.45">
      <c r="E4619" s="32" t="str">
        <f t="shared" si="216"/>
        <v>.0</v>
      </c>
      <c r="F4619" s="32" t="str">
        <f t="shared" si="217"/>
        <v>.0</v>
      </c>
      <c r="G4619" s="37" t="str">
        <f t="shared" si="218"/>
        <v/>
      </c>
    </row>
    <row r="4620" spans="5:7" x14ac:dyDescent="0.45">
      <c r="E4620" s="32" t="str">
        <f t="shared" si="216"/>
        <v>.0</v>
      </c>
      <c r="F4620" s="32" t="str">
        <f t="shared" si="217"/>
        <v>.0</v>
      </c>
      <c r="G4620" s="37" t="str">
        <f t="shared" si="218"/>
        <v/>
      </c>
    </row>
    <row r="4621" spans="5:7" x14ac:dyDescent="0.45">
      <c r="E4621" s="32" t="str">
        <f t="shared" si="216"/>
        <v>.0</v>
      </c>
      <c r="F4621" s="32" t="str">
        <f t="shared" si="217"/>
        <v>.0</v>
      </c>
      <c r="G4621" s="37" t="str">
        <f t="shared" si="218"/>
        <v/>
      </c>
    </row>
    <row r="4622" spans="5:7" x14ac:dyDescent="0.45">
      <c r="E4622" s="32" t="str">
        <f t="shared" si="216"/>
        <v>.0</v>
      </c>
      <c r="F4622" s="32" t="str">
        <f t="shared" si="217"/>
        <v>.0</v>
      </c>
      <c r="G4622" s="37" t="str">
        <f t="shared" si="218"/>
        <v/>
      </c>
    </row>
    <row r="4623" spans="5:7" x14ac:dyDescent="0.45">
      <c r="E4623" s="32" t="str">
        <f t="shared" si="216"/>
        <v>.0</v>
      </c>
      <c r="F4623" s="32" t="str">
        <f t="shared" si="217"/>
        <v>.0</v>
      </c>
      <c r="G4623" s="37" t="str">
        <f t="shared" si="218"/>
        <v/>
      </c>
    </row>
    <row r="4624" spans="5:7" x14ac:dyDescent="0.45">
      <c r="E4624" s="32" t="str">
        <f t="shared" si="216"/>
        <v>.0</v>
      </c>
      <c r="F4624" s="32" t="str">
        <f t="shared" si="217"/>
        <v>.0</v>
      </c>
      <c r="G4624" s="37" t="str">
        <f t="shared" si="218"/>
        <v/>
      </c>
    </row>
    <row r="4625" spans="5:7" x14ac:dyDescent="0.45">
      <c r="E4625" s="32" t="str">
        <f t="shared" si="216"/>
        <v>.0</v>
      </c>
      <c r="F4625" s="32" t="str">
        <f t="shared" si="217"/>
        <v>.0</v>
      </c>
      <c r="G4625" s="37" t="str">
        <f t="shared" si="218"/>
        <v/>
      </c>
    </row>
    <row r="4626" spans="5:7" x14ac:dyDescent="0.45">
      <c r="E4626" s="32" t="str">
        <f t="shared" si="216"/>
        <v>.0</v>
      </c>
      <c r="F4626" s="32" t="str">
        <f t="shared" si="217"/>
        <v>.0</v>
      </c>
      <c r="G4626" s="37" t="str">
        <f t="shared" si="218"/>
        <v/>
      </c>
    </row>
    <row r="4627" spans="5:7" x14ac:dyDescent="0.45">
      <c r="E4627" s="32" t="str">
        <f t="shared" si="216"/>
        <v>.0</v>
      </c>
      <c r="F4627" s="32" t="str">
        <f t="shared" si="217"/>
        <v>.0</v>
      </c>
      <c r="G4627" s="37" t="str">
        <f t="shared" si="218"/>
        <v/>
      </c>
    </row>
    <row r="4628" spans="5:7" x14ac:dyDescent="0.45">
      <c r="E4628" s="32" t="str">
        <f t="shared" si="216"/>
        <v>.0</v>
      </c>
      <c r="F4628" s="32" t="str">
        <f t="shared" si="217"/>
        <v>.0</v>
      </c>
      <c r="G4628" s="37" t="str">
        <f t="shared" si="218"/>
        <v/>
      </c>
    </row>
    <row r="4629" spans="5:7" x14ac:dyDescent="0.45">
      <c r="E4629" s="32" t="str">
        <f t="shared" si="216"/>
        <v>.0</v>
      </c>
      <c r="F4629" s="32" t="str">
        <f t="shared" si="217"/>
        <v>.0</v>
      </c>
      <c r="G4629" s="37" t="str">
        <f t="shared" si="218"/>
        <v/>
      </c>
    </row>
    <row r="4630" spans="5:7" x14ac:dyDescent="0.45">
      <c r="E4630" s="32" t="str">
        <f t="shared" si="216"/>
        <v>.0</v>
      </c>
      <c r="F4630" s="32" t="str">
        <f t="shared" si="217"/>
        <v>.0</v>
      </c>
      <c r="G4630" s="37" t="str">
        <f t="shared" si="218"/>
        <v/>
      </c>
    </row>
    <row r="4631" spans="5:7" x14ac:dyDescent="0.45">
      <c r="E4631" s="32" t="str">
        <f t="shared" si="216"/>
        <v>.0</v>
      </c>
      <c r="F4631" s="32" t="str">
        <f t="shared" si="217"/>
        <v>.0</v>
      </c>
      <c r="G4631" s="37" t="str">
        <f t="shared" si="218"/>
        <v/>
      </c>
    </row>
    <row r="4632" spans="5:7" x14ac:dyDescent="0.45">
      <c r="E4632" s="32" t="str">
        <f t="shared" si="216"/>
        <v>.0</v>
      </c>
      <c r="F4632" s="32" t="str">
        <f t="shared" si="217"/>
        <v>.0</v>
      </c>
      <c r="G4632" s="37" t="str">
        <f t="shared" si="218"/>
        <v/>
      </c>
    </row>
    <row r="4633" spans="5:7" x14ac:dyDescent="0.45">
      <c r="E4633" s="32" t="str">
        <f t="shared" si="216"/>
        <v>.0</v>
      </c>
      <c r="F4633" s="32" t="str">
        <f t="shared" si="217"/>
        <v>.0</v>
      </c>
      <c r="G4633" s="37" t="str">
        <f t="shared" si="218"/>
        <v/>
      </c>
    </row>
    <row r="4634" spans="5:7" x14ac:dyDescent="0.45">
      <c r="E4634" s="32" t="str">
        <f t="shared" si="216"/>
        <v>.0</v>
      </c>
      <c r="F4634" s="32" t="str">
        <f t="shared" si="217"/>
        <v>.0</v>
      </c>
      <c r="G4634" s="37" t="str">
        <f t="shared" si="218"/>
        <v/>
      </c>
    </row>
    <row r="4635" spans="5:7" x14ac:dyDescent="0.45">
      <c r="E4635" s="32" t="str">
        <f t="shared" si="216"/>
        <v>.0</v>
      </c>
      <c r="F4635" s="32" t="str">
        <f t="shared" si="217"/>
        <v>.0</v>
      </c>
      <c r="G4635" s="37" t="str">
        <f t="shared" si="218"/>
        <v/>
      </c>
    </row>
    <row r="4636" spans="5:7" x14ac:dyDescent="0.45">
      <c r="E4636" s="32" t="str">
        <f t="shared" si="216"/>
        <v>.0</v>
      </c>
      <c r="F4636" s="32" t="str">
        <f t="shared" si="217"/>
        <v>.0</v>
      </c>
      <c r="G4636" s="37" t="str">
        <f t="shared" si="218"/>
        <v/>
      </c>
    </row>
    <row r="4637" spans="5:7" x14ac:dyDescent="0.45">
      <c r="E4637" s="32" t="str">
        <f t="shared" si="216"/>
        <v>.0</v>
      </c>
      <c r="F4637" s="32" t="str">
        <f t="shared" si="217"/>
        <v>.0</v>
      </c>
      <c r="G4637" s="37" t="str">
        <f t="shared" si="218"/>
        <v/>
      </c>
    </row>
    <row r="4638" spans="5:7" x14ac:dyDescent="0.45">
      <c r="E4638" s="32" t="str">
        <f t="shared" ref="E4638:E4683" si="219">MID(B4638,3,2)&amp;"."&amp;IF(C4638&lt;10,"0"&amp;C4638,C4638)</f>
        <v>.0</v>
      </c>
      <c r="F4638" s="32" t="str">
        <f t="shared" ref="F4638:F4683" si="220">MID(B4638,3,2)&amp;"."&amp;IF(C4638&lt;10,"0"&amp;C4638,C4638)</f>
        <v>.0</v>
      </c>
      <c r="G4638" s="37" t="str">
        <f t="shared" ref="G4638:G4683" si="221">TEXT(D4638,"#,###,")</f>
        <v/>
      </c>
    </row>
    <row r="4639" spans="5:7" x14ac:dyDescent="0.45">
      <c r="E4639" s="32" t="str">
        <f t="shared" si="219"/>
        <v>.0</v>
      </c>
      <c r="F4639" s="32" t="str">
        <f t="shared" si="220"/>
        <v>.0</v>
      </c>
      <c r="G4639" s="37" t="str">
        <f t="shared" si="221"/>
        <v/>
      </c>
    </row>
    <row r="4640" spans="5:7" x14ac:dyDescent="0.45">
      <c r="E4640" s="32" t="str">
        <f t="shared" si="219"/>
        <v>.0</v>
      </c>
      <c r="F4640" s="32" t="str">
        <f t="shared" si="220"/>
        <v>.0</v>
      </c>
      <c r="G4640" s="37" t="str">
        <f t="shared" si="221"/>
        <v/>
      </c>
    </row>
    <row r="4641" spans="5:7" x14ac:dyDescent="0.45">
      <c r="E4641" s="32" t="str">
        <f t="shared" si="219"/>
        <v>.0</v>
      </c>
      <c r="F4641" s="32" t="str">
        <f t="shared" si="220"/>
        <v>.0</v>
      </c>
      <c r="G4641" s="37" t="str">
        <f t="shared" si="221"/>
        <v/>
      </c>
    </row>
    <row r="4642" spans="5:7" x14ac:dyDescent="0.45">
      <c r="E4642" s="32" t="str">
        <f t="shared" si="219"/>
        <v>.0</v>
      </c>
      <c r="F4642" s="32" t="str">
        <f t="shared" si="220"/>
        <v>.0</v>
      </c>
      <c r="G4642" s="37" t="str">
        <f t="shared" si="221"/>
        <v/>
      </c>
    </row>
    <row r="4643" spans="5:7" x14ac:dyDescent="0.45">
      <c r="E4643" s="32" t="str">
        <f t="shared" si="219"/>
        <v>.0</v>
      </c>
      <c r="F4643" s="32" t="str">
        <f t="shared" si="220"/>
        <v>.0</v>
      </c>
      <c r="G4643" s="37" t="str">
        <f t="shared" si="221"/>
        <v/>
      </c>
    </row>
    <row r="4644" spans="5:7" x14ac:dyDescent="0.45">
      <c r="E4644" s="32" t="str">
        <f t="shared" si="219"/>
        <v>.0</v>
      </c>
      <c r="F4644" s="32" t="str">
        <f t="shared" si="220"/>
        <v>.0</v>
      </c>
      <c r="G4644" s="37" t="str">
        <f t="shared" si="221"/>
        <v/>
      </c>
    </row>
    <row r="4645" spans="5:7" x14ac:dyDescent="0.45">
      <c r="E4645" s="32" t="str">
        <f t="shared" si="219"/>
        <v>.0</v>
      </c>
      <c r="F4645" s="32" t="str">
        <f t="shared" si="220"/>
        <v>.0</v>
      </c>
      <c r="G4645" s="37" t="str">
        <f t="shared" si="221"/>
        <v/>
      </c>
    </row>
    <row r="4646" spans="5:7" x14ac:dyDescent="0.45">
      <c r="E4646" s="32" t="str">
        <f t="shared" si="219"/>
        <v>.0</v>
      </c>
      <c r="F4646" s="32" t="str">
        <f t="shared" si="220"/>
        <v>.0</v>
      </c>
      <c r="G4646" s="37" t="str">
        <f t="shared" si="221"/>
        <v/>
      </c>
    </row>
    <row r="4647" spans="5:7" x14ac:dyDescent="0.45">
      <c r="E4647" s="32" t="str">
        <f t="shared" si="219"/>
        <v>.0</v>
      </c>
      <c r="F4647" s="32" t="str">
        <f t="shared" si="220"/>
        <v>.0</v>
      </c>
      <c r="G4647" s="37" t="str">
        <f t="shared" si="221"/>
        <v/>
      </c>
    </row>
    <row r="4648" spans="5:7" x14ac:dyDescent="0.45">
      <c r="E4648" s="32" t="str">
        <f t="shared" si="219"/>
        <v>.0</v>
      </c>
      <c r="F4648" s="32" t="str">
        <f t="shared" si="220"/>
        <v>.0</v>
      </c>
      <c r="G4648" s="37" t="str">
        <f t="shared" si="221"/>
        <v/>
      </c>
    </row>
    <row r="4649" spans="5:7" x14ac:dyDescent="0.45">
      <c r="E4649" s="32" t="str">
        <f t="shared" si="219"/>
        <v>.0</v>
      </c>
      <c r="F4649" s="32" t="str">
        <f t="shared" si="220"/>
        <v>.0</v>
      </c>
      <c r="G4649" s="37" t="str">
        <f t="shared" si="221"/>
        <v/>
      </c>
    </row>
    <row r="4650" spans="5:7" x14ac:dyDescent="0.45">
      <c r="E4650" s="32" t="str">
        <f t="shared" si="219"/>
        <v>.0</v>
      </c>
      <c r="F4650" s="32" t="str">
        <f t="shared" si="220"/>
        <v>.0</v>
      </c>
      <c r="G4650" s="37" t="str">
        <f t="shared" si="221"/>
        <v/>
      </c>
    </row>
    <row r="4651" spans="5:7" x14ac:dyDescent="0.45">
      <c r="E4651" s="32" t="str">
        <f t="shared" si="219"/>
        <v>.0</v>
      </c>
      <c r="F4651" s="32" t="str">
        <f t="shared" si="220"/>
        <v>.0</v>
      </c>
      <c r="G4651" s="37" t="str">
        <f t="shared" si="221"/>
        <v/>
      </c>
    </row>
    <row r="4652" spans="5:7" x14ac:dyDescent="0.45">
      <c r="E4652" s="32" t="str">
        <f t="shared" si="219"/>
        <v>.0</v>
      </c>
      <c r="F4652" s="32" t="str">
        <f t="shared" si="220"/>
        <v>.0</v>
      </c>
      <c r="G4652" s="37" t="str">
        <f t="shared" si="221"/>
        <v/>
      </c>
    </row>
    <row r="4653" spans="5:7" x14ac:dyDescent="0.45">
      <c r="E4653" s="32" t="str">
        <f t="shared" si="219"/>
        <v>.0</v>
      </c>
      <c r="F4653" s="32" t="str">
        <f t="shared" si="220"/>
        <v>.0</v>
      </c>
      <c r="G4653" s="37" t="str">
        <f t="shared" si="221"/>
        <v/>
      </c>
    </row>
    <row r="4654" spans="5:7" x14ac:dyDescent="0.45">
      <c r="E4654" s="32" t="str">
        <f t="shared" si="219"/>
        <v>.0</v>
      </c>
      <c r="F4654" s="32" t="str">
        <f t="shared" si="220"/>
        <v>.0</v>
      </c>
      <c r="G4654" s="37" t="str">
        <f t="shared" si="221"/>
        <v/>
      </c>
    </row>
    <row r="4655" spans="5:7" x14ac:dyDescent="0.45">
      <c r="E4655" s="32" t="str">
        <f t="shared" si="219"/>
        <v>.0</v>
      </c>
      <c r="F4655" s="32" t="str">
        <f t="shared" si="220"/>
        <v>.0</v>
      </c>
      <c r="G4655" s="37" t="str">
        <f t="shared" si="221"/>
        <v/>
      </c>
    </row>
    <row r="4656" spans="5:7" x14ac:dyDescent="0.45">
      <c r="E4656" s="32" t="str">
        <f t="shared" si="219"/>
        <v>.0</v>
      </c>
      <c r="F4656" s="32" t="str">
        <f t="shared" si="220"/>
        <v>.0</v>
      </c>
      <c r="G4656" s="37" t="str">
        <f t="shared" si="221"/>
        <v/>
      </c>
    </row>
    <row r="4657" spans="5:7" x14ac:dyDescent="0.45">
      <c r="E4657" s="32" t="str">
        <f t="shared" si="219"/>
        <v>.0</v>
      </c>
      <c r="F4657" s="32" t="str">
        <f t="shared" si="220"/>
        <v>.0</v>
      </c>
      <c r="G4657" s="37" t="str">
        <f t="shared" si="221"/>
        <v/>
      </c>
    </row>
    <row r="4658" spans="5:7" x14ac:dyDescent="0.45">
      <c r="E4658" s="32" t="str">
        <f t="shared" si="219"/>
        <v>.0</v>
      </c>
      <c r="F4658" s="32" t="str">
        <f t="shared" si="220"/>
        <v>.0</v>
      </c>
      <c r="G4658" s="37" t="str">
        <f t="shared" si="221"/>
        <v/>
      </c>
    </row>
    <row r="4659" spans="5:7" x14ac:dyDescent="0.45">
      <c r="E4659" s="32" t="str">
        <f t="shared" si="219"/>
        <v>.0</v>
      </c>
      <c r="F4659" s="32" t="str">
        <f t="shared" si="220"/>
        <v>.0</v>
      </c>
      <c r="G4659" s="37" t="str">
        <f t="shared" si="221"/>
        <v/>
      </c>
    </row>
    <row r="4660" spans="5:7" x14ac:dyDescent="0.45">
      <c r="E4660" s="32" t="str">
        <f t="shared" si="219"/>
        <v>.0</v>
      </c>
      <c r="F4660" s="32" t="str">
        <f t="shared" si="220"/>
        <v>.0</v>
      </c>
      <c r="G4660" s="37" t="str">
        <f t="shared" si="221"/>
        <v/>
      </c>
    </row>
    <row r="4661" spans="5:7" x14ac:dyDescent="0.45">
      <c r="E4661" s="32" t="str">
        <f t="shared" si="219"/>
        <v>.0</v>
      </c>
      <c r="F4661" s="32" t="str">
        <f t="shared" si="220"/>
        <v>.0</v>
      </c>
      <c r="G4661" s="37" t="str">
        <f t="shared" si="221"/>
        <v/>
      </c>
    </row>
    <row r="4662" spans="5:7" x14ac:dyDescent="0.45">
      <c r="E4662" s="32" t="str">
        <f t="shared" si="219"/>
        <v>.0</v>
      </c>
      <c r="F4662" s="32" t="str">
        <f t="shared" si="220"/>
        <v>.0</v>
      </c>
      <c r="G4662" s="37" t="str">
        <f t="shared" si="221"/>
        <v/>
      </c>
    </row>
    <row r="4663" spans="5:7" x14ac:dyDescent="0.45">
      <c r="E4663" s="32" t="str">
        <f t="shared" si="219"/>
        <v>.0</v>
      </c>
      <c r="F4663" s="32" t="str">
        <f t="shared" si="220"/>
        <v>.0</v>
      </c>
      <c r="G4663" s="37" t="str">
        <f t="shared" si="221"/>
        <v/>
      </c>
    </row>
    <row r="4664" spans="5:7" x14ac:dyDescent="0.45">
      <c r="E4664" s="32" t="str">
        <f t="shared" si="219"/>
        <v>.0</v>
      </c>
      <c r="F4664" s="32" t="str">
        <f t="shared" si="220"/>
        <v>.0</v>
      </c>
      <c r="G4664" s="37" t="str">
        <f t="shared" si="221"/>
        <v/>
      </c>
    </row>
    <row r="4665" spans="5:7" x14ac:dyDescent="0.45">
      <c r="E4665" s="32" t="str">
        <f t="shared" si="219"/>
        <v>.0</v>
      </c>
      <c r="F4665" s="32" t="str">
        <f t="shared" si="220"/>
        <v>.0</v>
      </c>
      <c r="G4665" s="37" t="str">
        <f t="shared" si="221"/>
        <v/>
      </c>
    </row>
    <row r="4666" spans="5:7" x14ac:dyDescent="0.45">
      <c r="E4666" s="32" t="str">
        <f t="shared" si="219"/>
        <v>.0</v>
      </c>
      <c r="F4666" s="32" t="str">
        <f t="shared" si="220"/>
        <v>.0</v>
      </c>
      <c r="G4666" s="37" t="str">
        <f t="shared" si="221"/>
        <v/>
      </c>
    </row>
    <row r="4667" spans="5:7" x14ac:dyDescent="0.45">
      <c r="E4667" s="32" t="str">
        <f t="shared" si="219"/>
        <v>.0</v>
      </c>
      <c r="F4667" s="32" t="str">
        <f t="shared" si="220"/>
        <v>.0</v>
      </c>
      <c r="G4667" s="37" t="str">
        <f t="shared" si="221"/>
        <v/>
      </c>
    </row>
    <row r="4668" spans="5:7" x14ac:dyDescent="0.45">
      <c r="E4668" s="32" t="str">
        <f t="shared" si="219"/>
        <v>.0</v>
      </c>
      <c r="F4668" s="32" t="str">
        <f t="shared" si="220"/>
        <v>.0</v>
      </c>
      <c r="G4668" s="37" t="str">
        <f t="shared" si="221"/>
        <v/>
      </c>
    </row>
    <row r="4669" spans="5:7" x14ac:dyDescent="0.45">
      <c r="E4669" s="32" t="str">
        <f t="shared" si="219"/>
        <v>.0</v>
      </c>
      <c r="F4669" s="32" t="str">
        <f t="shared" si="220"/>
        <v>.0</v>
      </c>
      <c r="G4669" s="37" t="str">
        <f t="shared" si="221"/>
        <v/>
      </c>
    </row>
    <row r="4670" spans="5:7" x14ac:dyDescent="0.45">
      <c r="E4670" s="32" t="str">
        <f t="shared" si="219"/>
        <v>.0</v>
      </c>
      <c r="F4670" s="32" t="str">
        <f t="shared" si="220"/>
        <v>.0</v>
      </c>
      <c r="G4670" s="37" t="str">
        <f t="shared" si="221"/>
        <v/>
      </c>
    </row>
    <row r="4671" spans="5:7" x14ac:dyDescent="0.45">
      <c r="E4671" s="32" t="str">
        <f t="shared" si="219"/>
        <v>.0</v>
      </c>
      <c r="F4671" s="32" t="str">
        <f t="shared" si="220"/>
        <v>.0</v>
      </c>
      <c r="G4671" s="37" t="str">
        <f t="shared" si="221"/>
        <v/>
      </c>
    </row>
    <row r="4672" spans="5:7" x14ac:dyDescent="0.45">
      <c r="E4672" s="32" t="str">
        <f t="shared" si="219"/>
        <v>.0</v>
      </c>
      <c r="F4672" s="32" t="str">
        <f t="shared" si="220"/>
        <v>.0</v>
      </c>
      <c r="G4672" s="37" t="str">
        <f t="shared" si="221"/>
        <v/>
      </c>
    </row>
    <row r="4673" spans="5:7" x14ac:dyDescent="0.45">
      <c r="E4673" s="32" t="str">
        <f t="shared" si="219"/>
        <v>.0</v>
      </c>
      <c r="F4673" s="32" t="str">
        <f t="shared" si="220"/>
        <v>.0</v>
      </c>
      <c r="G4673" s="37" t="str">
        <f t="shared" si="221"/>
        <v/>
      </c>
    </row>
    <row r="4674" spans="5:7" x14ac:dyDescent="0.45">
      <c r="E4674" s="32" t="str">
        <f t="shared" si="219"/>
        <v>.0</v>
      </c>
      <c r="F4674" s="32" t="str">
        <f t="shared" si="220"/>
        <v>.0</v>
      </c>
      <c r="G4674" s="37" t="str">
        <f t="shared" si="221"/>
        <v/>
      </c>
    </row>
    <row r="4675" spans="5:7" x14ac:dyDescent="0.45">
      <c r="E4675" s="32" t="str">
        <f t="shared" si="219"/>
        <v>.0</v>
      </c>
      <c r="F4675" s="32" t="str">
        <f t="shared" si="220"/>
        <v>.0</v>
      </c>
      <c r="G4675" s="37" t="str">
        <f t="shared" si="221"/>
        <v/>
      </c>
    </row>
    <row r="4676" spans="5:7" x14ac:dyDescent="0.45">
      <c r="E4676" s="32" t="str">
        <f t="shared" si="219"/>
        <v>.0</v>
      </c>
      <c r="F4676" s="32" t="str">
        <f t="shared" si="220"/>
        <v>.0</v>
      </c>
      <c r="G4676" s="37" t="str">
        <f t="shared" si="221"/>
        <v/>
      </c>
    </row>
    <row r="4677" spans="5:7" x14ac:dyDescent="0.45">
      <c r="E4677" s="32" t="str">
        <f t="shared" si="219"/>
        <v>.0</v>
      </c>
      <c r="F4677" s="32" t="str">
        <f t="shared" si="220"/>
        <v>.0</v>
      </c>
      <c r="G4677" s="37" t="str">
        <f t="shared" si="221"/>
        <v/>
      </c>
    </row>
    <row r="4678" spans="5:7" x14ac:dyDescent="0.45">
      <c r="E4678" s="32" t="str">
        <f t="shared" si="219"/>
        <v>.0</v>
      </c>
      <c r="F4678" s="32" t="str">
        <f t="shared" si="220"/>
        <v>.0</v>
      </c>
      <c r="G4678" s="37" t="str">
        <f t="shared" si="221"/>
        <v/>
      </c>
    </row>
    <row r="4679" spans="5:7" x14ac:dyDescent="0.45">
      <c r="E4679" s="32" t="str">
        <f t="shared" si="219"/>
        <v>.0</v>
      </c>
      <c r="F4679" s="32" t="str">
        <f t="shared" si="220"/>
        <v>.0</v>
      </c>
      <c r="G4679" s="37" t="str">
        <f t="shared" si="221"/>
        <v/>
      </c>
    </row>
    <row r="4680" spans="5:7" x14ac:dyDescent="0.45">
      <c r="E4680" s="32" t="str">
        <f t="shared" si="219"/>
        <v>.0</v>
      </c>
      <c r="F4680" s="32" t="str">
        <f t="shared" si="220"/>
        <v>.0</v>
      </c>
      <c r="G4680" s="37" t="str">
        <f t="shared" si="221"/>
        <v/>
      </c>
    </row>
    <row r="4681" spans="5:7" x14ac:dyDescent="0.45">
      <c r="E4681" s="32" t="str">
        <f t="shared" si="219"/>
        <v>.0</v>
      </c>
      <c r="F4681" s="32" t="str">
        <f t="shared" si="220"/>
        <v>.0</v>
      </c>
      <c r="G4681" s="37" t="str">
        <f t="shared" si="221"/>
        <v/>
      </c>
    </row>
    <row r="4682" spans="5:7" x14ac:dyDescent="0.45">
      <c r="E4682" s="32" t="str">
        <f t="shared" si="219"/>
        <v>.0</v>
      </c>
      <c r="F4682" s="32" t="str">
        <f t="shared" si="220"/>
        <v>.0</v>
      </c>
      <c r="G4682" s="37" t="str">
        <f t="shared" si="221"/>
        <v/>
      </c>
    </row>
    <row r="4683" spans="5:7" x14ac:dyDescent="0.45">
      <c r="E4683" s="32" t="str">
        <f t="shared" si="219"/>
        <v>.0</v>
      </c>
      <c r="F4683" s="32" t="str">
        <f t="shared" si="220"/>
        <v>.0</v>
      </c>
      <c r="G4683" s="37" t="str">
        <f t="shared" si="221"/>
        <v/>
      </c>
    </row>
  </sheetData>
  <autoFilter ref="B2:G4683" xr:uid="{ACFD2F54-4ECD-4041-A36F-E22784F750AD}"/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1133-A9F7-4ACD-B8BE-D2B33AEFEF43}">
  <dimension ref="B1:J2660"/>
  <sheetViews>
    <sheetView workbookViewId="0"/>
  </sheetViews>
  <sheetFormatPr defaultRowHeight="17" x14ac:dyDescent="0.45"/>
  <cols>
    <col min="1" max="1" width="2.58203125" customWidth="1"/>
    <col min="2" max="2" width="37.25" bestFit="1" customWidth="1"/>
    <col min="3" max="3" width="11.58203125" bestFit="1" customWidth="1"/>
    <col min="4" max="4" width="14" bestFit="1" customWidth="1"/>
    <col min="5" max="5" width="10.58203125" customWidth="1"/>
    <col min="6" max="6" width="38" bestFit="1" customWidth="1"/>
    <col min="7" max="7" width="18.75" bestFit="1" customWidth="1"/>
    <col min="8" max="11" width="10.58203125" customWidth="1"/>
  </cols>
  <sheetData>
    <row r="1" spans="2:10" ht="10" customHeight="1" x14ac:dyDescent="0.45"/>
    <row r="2" spans="2:10" x14ac:dyDescent="0.45">
      <c r="B2" s="34" t="s">
        <v>67</v>
      </c>
      <c r="C2" s="33" t="s">
        <v>43</v>
      </c>
      <c r="D2" s="33" t="s">
        <v>72</v>
      </c>
      <c r="F2" s="33" t="s">
        <v>68</v>
      </c>
      <c r="I2" s="34" t="s">
        <v>112</v>
      </c>
      <c r="J2" s="33" t="s">
        <v>111</v>
      </c>
    </row>
    <row r="3" spans="2:10" x14ac:dyDescent="0.45">
      <c r="B3" t="s">
        <v>37</v>
      </c>
      <c r="C3" t="s">
        <v>62</v>
      </c>
      <c r="D3" t="s">
        <v>114</v>
      </c>
      <c r="F3" s="16" t="s">
        <v>25</v>
      </c>
      <c r="G3" t="s">
        <v>22</v>
      </c>
      <c r="I3" s="42" t="s">
        <v>130</v>
      </c>
      <c r="J3" s="42" t="s">
        <v>175</v>
      </c>
    </row>
    <row r="4" spans="2:10" x14ac:dyDescent="0.45">
      <c r="B4" t="s">
        <v>2</v>
      </c>
      <c r="C4" t="s">
        <v>64</v>
      </c>
      <c r="D4" t="s">
        <v>44</v>
      </c>
      <c r="F4" s="17" t="s">
        <v>130</v>
      </c>
      <c r="G4" s="39">
        <v>16539647</v>
      </c>
      <c r="I4" s="42" t="s">
        <v>132</v>
      </c>
      <c r="J4" s="42" t="s">
        <v>177</v>
      </c>
    </row>
    <row r="5" spans="2:10" x14ac:dyDescent="0.45">
      <c r="B5" t="s">
        <v>3</v>
      </c>
      <c r="C5" t="s">
        <v>63</v>
      </c>
      <c r="D5" t="s">
        <v>115</v>
      </c>
      <c r="F5" s="17" t="s">
        <v>132</v>
      </c>
      <c r="G5" s="39">
        <v>13996848</v>
      </c>
      <c r="I5" s="42" t="s">
        <v>133</v>
      </c>
      <c r="J5" s="42" t="s">
        <v>178</v>
      </c>
    </row>
    <row r="6" spans="2:10" x14ac:dyDescent="0.45">
      <c r="B6" t="s">
        <v>40</v>
      </c>
      <c r="C6" t="s">
        <v>93</v>
      </c>
      <c r="D6" t="s">
        <v>116</v>
      </c>
      <c r="F6" s="17" t="s">
        <v>133</v>
      </c>
      <c r="G6" s="39">
        <v>13669017</v>
      </c>
      <c r="I6" s="42" t="s">
        <v>152</v>
      </c>
      <c r="J6" s="42" t="s">
        <v>152</v>
      </c>
    </row>
    <row r="7" spans="2:10" x14ac:dyDescent="0.45">
      <c r="B7" t="s">
        <v>59</v>
      </c>
      <c r="C7" t="s">
        <v>65</v>
      </c>
      <c r="D7" t="s">
        <v>115</v>
      </c>
      <c r="F7" s="17" t="s">
        <v>152</v>
      </c>
      <c r="G7" s="39">
        <v>12315508</v>
      </c>
      <c r="I7" s="42" t="s">
        <v>135</v>
      </c>
      <c r="J7" s="42" t="s">
        <v>135</v>
      </c>
    </row>
    <row r="8" spans="2:10" x14ac:dyDescent="0.45">
      <c r="B8" t="s">
        <v>9</v>
      </c>
      <c r="C8" t="s">
        <v>65</v>
      </c>
      <c r="D8" t="s">
        <v>115</v>
      </c>
      <c r="F8" s="17" t="s">
        <v>135</v>
      </c>
      <c r="G8" s="39">
        <v>5102301</v>
      </c>
      <c r="I8" s="42" t="s">
        <v>146</v>
      </c>
      <c r="J8" s="42" t="s">
        <v>146</v>
      </c>
    </row>
    <row r="9" spans="2:10" x14ac:dyDescent="0.45">
      <c r="B9" t="s">
        <v>8</v>
      </c>
      <c r="C9" t="s">
        <v>65</v>
      </c>
      <c r="D9" t="s">
        <v>115</v>
      </c>
      <c r="F9" s="17" t="s">
        <v>146</v>
      </c>
      <c r="G9" s="39">
        <v>4949209</v>
      </c>
      <c r="I9" s="42" t="s">
        <v>153</v>
      </c>
      <c r="J9" s="42" t="s">
        <v>179</v>
      </c>
    </row>
    <row r="10" spans="2:10" x14ac:dyDescent="0.45">
      <c r="B10" t="s">
        <v>60</v>
      </c>
      <c r="C10" t="s">
        <v>65</v>
      </c>
      <c r="D10" t="s">
        <v>115</v>
      </c>
      <c r="F10" s="17" t="s">
        <v>153</v>
      </c>
      <c r="G10" s="39">
        <v>3561160</v>
      </c>
      <c r="I10" s="42" t="s">
        <v>138</v>
      </c>
      <c r="J10" s="42" t="s">
        <v>180</v>
      </c>
    </row>
    <row r="11" spans="2:10" x14ac:dyDescent="0.45">
      <c r="B11" t="s">
        <v>7</v>
      </c>
      <c r="C11" t="s">
        <v>65</v>
      </c>
      <c r="D11" t="s">
        <v>115</v>
      </c>
      <c r="F11" s="17" t="s">
        <v>138</v>
      </c>
      <c r="G11" s="39">
        <v>3520321</v>
      </c>
      <c r="I11" s="42" t="s">
        <v>134</v>
      </c>
      <c r="J11" s="42" t="s">
        <v>181</v>
      </c>
    </row>
    <row r="12" spans="2:10" x14ac:dyDescent="0.45">
      <c r="B12" t="s">
        <v>58</v>
      </c>
      <c r="C12" t="s">
        <v>62</v>
      </c>
      <c r="D12" t="s">
        <v>46</v>
      </c>
      <c r="F12" s="17" t="s">
        <v>134</v>
      </c>
      <c r="G12" s="39">
        <v>2797825</v>
      </c>
      <c r="I12" s="42" t="s">
        <v>136</v>
      </c>
      <c r="J12" s="42" t="s">
        <v>136</v>
      </c>
    </row>
    <row r="13" spans="2:10" x14ac:dyDescent="0.45">
      <c r="B13" t="s">
        <v>39</v>
      </c>
      <c r="C13" t="s">
        <v>92</v>
      </c>
      <c r="D13" t="s">
        <v>52</v>
      </c>
      <c r="F13" s="17" t="s">
        <v>136</v>
      </c>
      <c r="G13" s="39">
        <v>1517333</v>
      </c>
      <c r="I13" s="42" t="s">
        <v>155</v>
      </c>
      <c r="J13" s="42" t="s">
        <v>182</v>
      </c>
    </row>
    <row r="14" spans="2:10" x14ac:dyDescent="0.45">
      <c r="B14" t="s">
        <v>56</v>
      </c>
      <c r="C14" t="s">
        <v>89</v>
      </c>
      <c r="D14" t="s">
        <v>52</v>
      </c>
      <c r="F14" s="17" t="s">
        <v>155</v>
      </c>
      <c r="G14" s="39">
        <v>1318590</v>
      </c>
      <c r="I14" s="42" t="s">
        <v>143</v>
      </c>
      <c r="J14" s="42" t="s">
        <v>183</v>
      </c>
    </row>
    <row r="15" spans="2:10" x14ac:dyDescent="0.45">
      <c r="B15" t="s">
        <v>38</v>
      </c>
      <c r="C15" t="s">
        <v>90</v>
      </c>
      <c r="D15" t="s">
        <v>117</v>
      </c>
      <c r="F15" s="17" t="s">
        <v>143</v>
      </c>
      <c r="G15" s="39">
        <v>1273100</v>
      </c>
      <c r="I15" s="42" t="s">
        <v>140</v>
      </c>
      <c r="J15" s="42" t="s">
        <v>184</v>
      </c>
    </row>
    <row r="16" spans="2:10" x14ac:dyDescent="0.45">
      <c r="B16" t="s">
        <v>4</v>
      </c>
      <c r="C16" t="s">
        <v>66</v>
      </c>
      <c r="D16" t="s">
        <v>45</v>
      </c>
      <c r="F16" s="17" t="s">
        <v>140</v>
      </c>
      <c r="G16" s="39">
        <v>955307</v>
      </c>
      <c r="I16" s="42" t="s">
        <v>168</v>
      </c>
      <c r="J16" s="42" t="s">
        <v>168</v>
      </c>
    </row>
    <row r="17" spans="2:10" x14ac:dyDescent="0.45">
      <c r="B17" t="s">
        <v>36</v>
      </c>
      <c r="C17" t="s">
        <v>91</v>
      </c>
      <c r="D17" t="s">
        <v>117</v>
      </c>
      <c r="F17" s="17" t="s">
        <v>168</v>
      </c>
      <c r="G17" s="39">
        <v>824025</v>
      </c>
      <c r="I17" s="42" t="s">
        <v>144</v>
      </c>
      <c r="J17" s="42" t="s">
        <v>185</v>
      </c>
    </row>
    <row r="18" spans="2:10" x14ac:dyDescent="0.45">
      <c r="B18" t="s">
        <v>1</v>
      </c>
      <c r="C18" t="s">
        <v>61</v>
      </c>
      <c r="D18" t="s">
        <v>42</v>
      </c>
      <c r="F18" s="17" t="s">
        <v>144</v>
      </c>
      <c r="G18" s="39">
        <v>618136</v>
      </c>
      <c r="I18" t="s">
        <v>186</v>
      </c>
      <c r="J18" s="42" t="s">
        <v>166</v>
      </c>
    </row>
    <row r="19" spans="2:10" x14ac:dyDescent="0.45">
      <c r="B19" t="s">
        <v>71</v>
      </c>
      <c r="C19" t="s">
        <v>71</v>
      </c>
      <c r="D19" t="s">
        <v>118</v>
      </c>
      <c r="F19" s="17" t="s">
        <v>131</v>
      </c>
      <c r="G19" s="39">
        <v>480618</v>
      </c>
      <c r="I19" t="s">
        <v>158</v>
      </c>
      <c r="J19" t="s">
        <v>158</v>
      </c>
    </row>
    <row r="20" spans="2:10" x14ac:dyDescent="0.45">
      <c r="B20" t="s">
        <v>74</v>
      </c>
      <c r="C20" t="s">
        <v>80</v>
      </c>
      <c r="D20" t="s">
        <v>46</v>
      </c>
      <c r="F20" s="17" t="s">
        <v>158</v>
      </c>
      <c r="G20" s="39">
        <v>413943</v>
      </c>
      <c r="I20" s="42" t="s">
        <v>151</v>
      </c>
      <c r="J20" s="42" t="s">
        <v>185</v>
      </c>
    </row>
    <row r="21" spans="2:10" x14ac:dyDescent="0.45">
      <c r="B21" t="s">
        <v>75</v>
      </c>
      <c r="C21" t="s">
        <v>64</v>
      </c>
      <c r="D21" t="s">
        <v>44</v>
      </c>
      <c r="F21" s="17" t="s">
        <v>151</v>
      </c>
      <c r="G21" s="39">
        <v>413828</v>
      </c>
      <c r="I21" s="42" t="s">
        <v>141</v>
      </c>
      <c r="J21" s="42" t="s">
        <v>187</v>
      </c>
    </row>
    <row r="22" spans="2:10" x14ac:dyDescent="0.45">
      <c r="B22" t="s">
        <v>73</v>
      </c>
      <c r="C22" t="s">
        <v>64</v>
      </c>
      <c r="D22" t="s">
        <v>44</v>
      </c>
      <c r="F22" s="17" t="s">
        <v>141</v>
      </c>
      <c r="G22" s="39">
        <v>387998</v>
      </c>
      <c r="I22" s="42" t="s">
        <v>142</v>
      </c>
      <c r="J22" t="s">
        <v>158</v>
      </c>
    </row>
    <row r="23" spans="2:10" x14ac:dyDescent="0.45">
      <c r="B23" t="s">
        <v>77</v>
      </c>
      <c r="C23" t="s">
        <v>64</v>
      </c>
      <c r="D23" t="s">
        <v>44</v>
      </c>
      <c r="F23" s="17" t="s">
        <v>142</v>
      </c>
      <c r="G23" s="39">
        <v>369204</v>
      </c>
      <c r="I23" s="42" t="s">
        <v>148</v>
      </c>
      <c r="J23" s="42" t="s">
        <v>188</v>
      </c>
    </row>
    <row r="24" spans="2:10" x14ac:dyDescent="0.45">
      <c r="B24" t="s">
        <v>76</v>
      </c>
      <c r="C24" t="s">
        <v>81</v>
      </c>
      <c r="D24" t="s">
        <v>45</v>
      </c>
      <c r="F24" s="17" t="s">
        <v>148</v>
      </c>
      <c r="G24" s="39">
        <v>275374</v>
      </c>
      <c r="I24" s="42" t="s">
        <v>156</v>
      </c>
      <c r="J24" s="42" t="s">
        <v>189</v>
      </c>
    </row>
    <row r="25" spans="2:10" x14ac:dyDescent="0.45">
      <c r="B25" t="s">
        <v>78</v>
      </c>
      <c r="C25" t="s">
        <v>64</v>
      </c>
      <c r="D25" t="s">
        <v>44</v>
      </c>
      <c r="F25" s="17" t="s">
        <v>156</v>
      </c>
      <c r="G25" s="39">
        <v>268765</v>
      </c>
      <c r="I25" s="42" t="s">
        <v>169</v>
      </c>
      <c r="J25" s="42" t="s">
        <v>169</v>
      </c>
    </row>
    <row r="26" spans="2:10" x14ac:dyDescent="0.45">
      <c r="B26" t="s">
        <v>84</v>
      </c>
      <c r="C26" t="s">
        <v>85</v>
      </c>
      <c r="D26" t="s">
        <v>115</v>
      </c>
      <c r="F26" s="17" t="s">
        <v>169</v>
      </c>
      <c r="G26" s="39">
        <v>256063</v>
      </c>
      <c r="I26" s="42" t="s">
        <v>157</v>
      </c>
      <c r="J26" s="42" t="s">
        <v>190</v>
      </c>
    </row>
    <row r="27" spans="2:10" x14ac:dyDescent="0.45">
      <c r="B27" t="s">
        <v>79</v>
      </c>
      <c r="C27" t="s">
        <v>86</v>
      </c>
      <c r="D27" t="s">
        <v>44</v>
      </c>
      <c r="F27" s="17" t="s">
        <v>157</v>
      </c>
      <c r="G27" s="39">
        <v>228390</v>
      </c>
      <c r="I27" s="42" t="s">
        <v>137</v>
      </c>
      <c r="J27" s="42" t="s">
        <v>137</v>
      </c>
    </row>
    <row r="28" spans="2:10" x14ac:dyDescent="0.45">
      <c r="B28" t="s">
        <v>114</v>
      </c>
      <c r="C28" t="s">
        <v>114</v>
      </c>
      <c r="D28" t="s">
        <v>114</v>
      </c>
      <c r="F28" s="17" t="s">
        <v>137</v>
      </c>
      <c r="G28" s="39">
        <v>191468</v>
      </c>
      <c r="I28" s="42" t="s">
        <v>191</v>
      </c>
      <c r="J28" s="42" t="s">
        <v>192</v>
      </c>
    </row>
    <row r="29" spans="2:10" x14ac:dyDescent="0.45">
      <c r="B29" t="s">
        <v>119</v>
      </c>
      <c r="C29" t="s">
        <v>120</v>
      </c>
      <c r="D29" t="s">
        <v>120</v>
      </c>
      <c r="F29" s="17" t="s">
        <v>147</v>
      </c>
      <c r="G29" s="39">
        <v>159293</v>
      </c>
      <c r="I29" s="42" t="s">
        <v>154</v>
      </c>
      <c r="J29" s="42" t="s">
        <v>193</v>
      </c>
    </row>
    <row r="30" spans="2:10" x14ac:dyDescent="0.45">
      <c r="B30" t="s">
        <v>83</v>
      </c>
      <c r="C30" t="s">
        <v>121</v>
      </c>
      <c r="D30" t="s">
        <v>115</v>
      </c>
      <c r="F30" s="17" t="s">
        <v>154</v>
      </c>
      <c r="G30" s="39">
        <v>96936</v>
      </c>
      <c r="I30" s="42" t="s">
        <v>170</v>
      </c>
      <c r="J30" s="42" t="s">
        <v>179</v>
      </c>
    </row>
    <row r="31" spans="2:10" x14ac:dyDescent="0.45">
      <c r="B31" t="s">
        <v>42</v>
      </c>
      <c r="C31" t="s">
        <v>120</v>
      </c>
      <c r="D31" t="s">
        <v>120</v>
      </c>
      <c r="F31" s="17" t="s">
        <v>170</v>
      </c>
      <c r="G31" s="39">
        <v>94054</v>
      </c>
      <c r="I31" s="42" t="s">
        <v>145</v>
      </c>
      <c r="J31" s="42" t="s">
        <v>192</v>
      </c>
    </row>
    <row r="32" spans="2:10" x14ac:dyDescent="0.45">
      <c r="B32" t="s">
        <v>97</v>
      </c>
      <c r="C32" t="s">
        <v>64</v>
      </c>
      <c r="D32" t="s">
        <v>115</v>
      </c>
      <c r="F32" s="17" t="s">
        <v>145</v>
      </c>
      <c r="G32" s="39">
        <v>40953</v>
      </c>
      <c r="I32" s="42" t="s">
        <v>166</v>
      </c>
      <c r="J32" s="42" t="s">
        <v>166</v>
      </c>
    </row>
    <row r="33" spans="2:10" x14ac:dyDescent="0.45">
      <c r="B33" t="s">
        <v>45</v>
      </c>
      <c r="C33" t="s">
        <v>122</v>
      </c>
      <c r="D33" t="s">
        <v>122</v>
      </c>
      <c r="F33" s="17" t="s">
        <v>166</v>
      </c>
      <c r="G33" s="39">
        <v>38035</v>
      </c>
      <c r="I33" s="42" t="s">
        <v>194</v>
      </c>
      <c r="J33" s="42" t="s">
        <v>195</v>
      </c>
    </row>
    <row r="34" spans="2:10" x14ac:dyDescent="0.45">
      <c r="B34" t="s">
        <v>100</v>
      </c>
      <c r="C34" t="s">
        <v>64</v>
      </c>
      <c r="D34" t="s">
        <v>115</v>
      </c>
      <c r="F34" s="17" t="s">
        <v>139</v>
      </c>
      <c r="G34" s="39">
        <v>30105</v>
      </c>
      <c r="I34" s="42" t="s">
        <v>149</v>
      </c>
      <c r="J34" s="42" t="s">
        <v>196</v>
      </c>
    </row>
    <row r="35" spans="2:10" x14ac:dyDescent="0.45">
      <c r="B35" t="s">
        <v>102</v>
      </c>
      <c r="C35" t="s">
        <v>64</v>
      </c>
      <c r="D35" t="s">
        <v>115</v>
      </c>
      <c r="F35" s="17" t="s">
        <v>149</v>
      </c>
      <c r="G35" s="39">
        <v>29668</v>
      </c>
      <c r="I35" s="42" t="s">
        <v>171</v>
      </c>
      <c r="J35" s="42" t="s">
        <v>190</v>
      </c>
    </row>
    <row r="36" spans="2:10" x14ac:dyDescent="0.45">
      <c r="B36" t="s">
        <v>103</v>
      </c>
      <c r="C36" t="s">
        <v>64</v>
      </c>
      <c r="D36" t="s">
        <v>115</v>
      </c>
      <c r="F36" s="17" t="s">
        <v>171</v>
      </c>
      <c r="G36" s="39">
        <v>21585</v>
      </c>
      <c r="I36" s="42" t="s">
        <v>174</v>
      </c>
      <c r="J36" s="42" t="s">
        <v>177</v>
      </c>
    </row>
    <row r="37" spans="2:10" x14ac:dyDescent="0.45">
      <c r="B37" t="s">
        <v>123</v>
      </c>
      <c r="C37" t="s">
        <v>63</v>
      </c>
      <c r="D37" t="s">
        <v>115</v>
      </c>
      <c r="F37" s="17" t="s">
        <v>174</v>
      </c>
      <c r="G37" s="39">
        <v>6549</v>
      </c>
      <c r="I37" s="42" t="s">
        <v>172</v>
      </c>
      <c r="J37" s="42" t="s">
        <v>197</v>
      </c>
    </row>
    <row r="38" spans="2:10" x14ac:dyDescent="0.45">
      <c r="B38" t="s">
        <v>124</v>
      </c>
      <c r="C38" t="s">
        <v>64</v>
      </c>
      <c r="D38" t="s">
        <v>115</v>
      </c>
      <c r="F38" s="17" t="s">
        <v>172</v>
      </c>
      <c r="G38" s="39">
        <v>4587</v>
      </c>
      <c r="I38" s="42" t="s">
        <v>167</v>
      </c>
      <c r="J38" s="42" t="s">
        <v>182</v>
      </c>
    </row>
    <row r="39" spans="2:10" x14ac:dyDescent="0.45">
      <c r="B39" t="s">
        <v>125</v>
      </c>
      <c r="C39" t="s">
        <v>65</v>
      </c>
      <c r="D39" t="s">
        <v>115</v>
      </c>
      <c r="F39" s="17" t="s">
        <v>167</v>
      </c>
      <c r="G39" s="39">
        <v>3643</v>
      </c>
      <c r="I39" s="42" t="s">
        <v>198</v>
      </c>
      <c r="J39" s="42" t="s">
        <v>199</v>
      </c>
    </row>
    <row r="40" spans="2:10" x14ac:dyDescent="0.45">
      <c r="B40" t="s">
        <v>99</v>
      </c>
      <c r="C40" t="s">
        <v>65</v>
      </c>
      <c r="D40" t="s">
        <v>115</v>
      </c>
      <c r="F40" s="17" t="s">
        <v>150</v>
      </c>
      <c r="G40" s="39">
        <v>3204</v>
      </c>
      <c r="I40" s="42" t="s">
        <v>173</v>
      </c>
      <c r="J40" s="42" t="s">
        <v>181</v>
      </c>
    </row>
    <row r="41" spans="2:10" x14ac:dyDescent="0.45">
      <c r="B41" t="s">
        <v>104</v>
      </c>
      <c r="C41" t="s">
        <v>65</v>
      </c>
      <c r="D41" t="s">
        <v>115</v>
      </c>
      <c r="F41" s="17" t="s">
        <v>173</v>
      </c>
      <c r="G41" s="39">
        <v>2048</v>
      </c>
      <c r="I41" t="s">
        <v>208</v>
      </c>
      <c r="J41" s="42" t="s">
        <v>209</v>
      </c>
    </row>
    <row r="42" spans="2:10" x14ac:dyDescent="0.45">
      <c r="B42" t="s">
        <v>98</v>
      </c>
      <c r="C42" t="s">
        <v>65</v>
      </c>
      <c r="D42" t="s">
        <v>115</v>
      </c>
      <c r="F42" s="17" t="s">
        <v>24</v>
      </c>
      <c r="G42" s="39">
        <v>86774638</v>
      </c>
      <c r="I42" s="42" t="s">
        <v>216</v>
      </c>
      <c r="J42" s="42" t="s">
        <v>216</v>
      </c>
    </row>
    <row r="43" spans="2:10" x14ac:dyDescent="0.45">
      <c r="B43" t="s">
        <v>126</v>
      </c>
      <c r="C43" t="s">
        <v>62</v>
      </c>
      <c r="D43" t="s">
        <v>114</v>
      </c>
      <c r="I43" s="42"/>
      <c r="J43" s="42"/>
    </row>
    <row r="44" spans="2:10" x14ac:dyDescent="0.45">
      <c r="B44" t="s">
        <v>128</v>
      </c>
      <c r="C44" t="s">
        <v>62</v>
      </c>
      <c r="D44" t="s">
        <v>114</v>
      </c>
      <c r="I44" s="42"/>
      <c r="J44" s="42"/>
    </row>
    <row r="45" spans="2:10" x14ac:dyDescent="0.45">
      <c r="B45" t="s">
        <v>127</v>
      </c>
      <c r="C45" t="s">
        <v>62</v>
      </c>
      <c r="D45" t="s">
        <v>114</v>
      </c>
      <c r="I45" s="42"/>
      <c r="J45" s="42"/>
    </row>
    <row r="46" spans="2:10" x14ac:dyDescent="0.45">
      <c r="B46" t="s">
        <v>129</v>
      </c>
      <c r="C46" t="s">
        <v>62</v>
      </c>
      <c r="D46" t="s">
        <v>114</v>
      </c>
      <c r="I46" s="42"/>
      <c r="J46" s="42"/>
    </row>
    <row r="47" spans="2:10" x14ac:dyDescent="0.45">
      <c r="B47" t="s">
        <v>200</v>
      </c>
      <c r="C47" t="s">
        <v>64</v>
      </c>
      <c r="D47" t="s">
        <v>205</v>
      </c>
      <c r="I47" s="42"/>
      <c r="J47" s="42"/>
    </row>
    <row r="48" spans="2:10" x14ac:dyDescent="0.45">
      <c r="B48" t="s">
        <v>201</v>
      </c>
      <c r="C48" t="s">
        <v>64</v>
      </c>
      <c r="D48" t="s">
        <v>205</v>
      </c>
      <c r="I48" s="42"/>
      <c r="J48" s="42"/>
    </row>
    <row r="49" spans="2:10" x14ac:dyDescent="0.45">
      <c r="B49" t="s">
        <v>202</v>
      </c>
      <c r="C49" t="s">
        <v>64</v>
      </c>
      <c r="D49" t="s">
        <v>205</v>
      </c>
      <c r="I49" s="42"/>
      <c r="J49" s="42"/>
    </row>
    <row r="50" spans="2:10" x14ac:dyDescent="0.45">
      <c r="B50" t="s">
        <v>203</v>
      </c>
      <c r="C50" t="s">
        <v>64</v>
      </c>
      <c r="D50" t="s">
        <v>205</v>
      </c>
      <c r="I50" s="42"/>
      <c r="J50" s="42"/>
    </row>
    <row r="51" spans="2:10" x14ac:dyDescent="0.45">
      <c r="B51" t="s">
        <v>204</v>
      </c>
      <c r="C51" t="s">
        <v>64</v>
      </c>
      <c r="D51" t="s">
        <v>205</v>
      </c>
      <c r="I51" s="42"/>
      <c r="J51" s="42"/>
    </row>
    <row r="52" spans="2:10" x14ac:dyDescent="0.45">
      <c r="B52" t="s">
        <v>206</v>
      </c>
      <c r="C52" t="s">
        <v>64</v>
      </c>
      <c r="D52" t="s">
        <v>205</v>
      </c>
      <c r="I52" s="42"/>
      <c r="J52" s="42"/>
    </row>
    <row r="53" spans="2:10" x14ac:dyDescent="0.45">
      <c r="B53" t="s">
        <v>215</v>
      </c>
      <c r="C53" t="s">
        <v>62</v>
      </c>
      <c r="D53" t="s">
        <v>62</v>
      </c>
      <c r="I53" s="42"/>
      <c r="J53" s="42"/>
    </row>
    <row r="54" spans="2:10" x14ac:dyDescent="0.45">
      <c r="I54" s="42"/>
      <c r="J54" s="42"/>
    </row>
    <row r="55" spans="2:10" x14ac:dyDescent="0.45">
      <c r="I55" s="42"/>
      <c r="J55" s="42"/>
    </row>
    <row r="56" spans="2:10" x14ac:dyDescent="0.45">
      <c r="I56" s="42"/>
      <c r="J56" s="42"/>
    </row>
    <row r="57" spans="2:10" x14ac:dyDescent="0.45">
      <c r="I57" s="42"/>
      <c r="J57" s="42"/>
    </row>
    <row r="58" spans="2:10" x14ac:dyDescent="0.45">
      <c r="I58" s="42"/>
      <c r="J58" s="42"/>
    </row>
    <row r="59" spans="2:10" x14ac:dyDescent="0.45">
      <c r="I59" s="42"/>
      <c r="J59" s="42"/>
    </row>
    <row r="60" spans="2:10" x14ac:dyDescent="0.45">
      <c r="I60" s="42"/>
      <c r="J60" s="42"/>
    </row>
    <row r="61" spans="2:10" x14ac:dyDescent="0.45">
      <c r="I61" s="42"/>
      <c r="J61" s="42"/>
    </row>
    <row r="62" spans="2:10" x14ac:dyDescent="0.45">
      <c r="I62" s="42"/>
      <c r="J62" s="42"/>
    </row>
    <row r="63" spans="2:10" x14ac:dyDescent="0.45">
      <c r="I63" s="42"/>
      <c r="J63" s="42"/>
    </row>
    <row r="64" spans="2:10" x14ac:dyDescent="0.45">
      <c r="I64" s="42"/>
      <c r="J64" s="42"/>
    </row>
    <row r="65" spans="9:10" x14ac:dyDescent="0.45">
      <c r="I65" s="42"/>
      <c r="J65" s="42"/>
    </row>
    <row r="66" spans="9:10" x14ac:dyDescent="0.45">
      <c r="I66" s="42"/>
      <c r="J66" s="42"/>
    </row>
    <row r="67" spans="9:10" x14ac:dyDescent="0.45">
      <c r="I67" s="42"/>
      <c r="J67" s="42"/>
    </row>
    <row r="68" spans="9:10" x14ac:dyDescent="0.45">
      <c r="I68" s="42"/>
      <c r="J68" s="42"/>
    </row>
    <row r="69" spans="9:10" x14ac:dyDescent="0.45">
      <c r="I69" s="42"/>
      <c r="J69" s="42"/>
    </row>
    <row r="70" spans="9:10" x14ac:dyDescent="0.45">
      <c r="I70" s="42"/>
      <c r="J70" s="42"/>
    </row>
    <row r="71" spans="9:10" x14ac:dyDescent="0.45">
      <c r="I71" s="42"/>
      <c r="J71" s="42"/>
    </row>
    <row r="72" spans="9:10" x14ac:dyDescent="0.45">
      <c r="I72" s="42"/>
      <c r="J72" s="42"/>
    </row>
    <row r="73" spans="9:10" x14ac:dyDescent="0.45">
      <c r="I73" s="42"/>
      <c r="J73" s="42"/>
    </row>
    <row r="74" spans="9:10" x14ac:dyDescent="0.45">
      <c r="I74" s="42"/>
      <c r="J74" s="42"/>
    </row>
    <row r="75" spans="9:10" x14ac:dyDescent="0.45">
      <c r="I75" s="42"/>
      <c r="J75" s="42"/>
    </row>
    <row r="76" spans="9:10" x14ac:dyDescent="0.45">
      <c r="I76" s="42"/>
      <c r="J76" s="42"/>
    </row>
    <row r="77" spans="9:10" x14ac:dyDescent="0.45">
      <c r="I77" s="42"/>
      <c r="J77" s="42"/>
    </row>
    <row r="78" spans="9:10" x14ac:dyDescent="0.45">
      <c r="I78" s="42"/>
      <c r="J78" s="42"/>
    </row>
    <row r="79" spans="9:10" x14ac:dyDescent="0.45">
      <c r="I79" s="42"/>
      <c r="J79" s="42"/>
    </row>
    <row r="80" spans="9:10" x14ac:dyDescent="0.45">
      <c r="I80" s="42"/>
      <c r="J80" s="42"/>
    </row>
    <row r="81" spans="9:10" x14ac:dyDescent="0.45">
      <c r="I81" s="42"/>
      <c r="J81" s="42"/>
    </row>
    <row r="82" spans="9:10" x14ac:dyDescent="0.45">
      <c r="I82" s="42"/>
      <c r="J82" s="42"/>
    </row>
    <row r="83" spans="9:10" x14ac:dyDescent="0.45">
      <c r="I83" s="42"/>
      <c r="J83" s="42"/>
    </row>
    <row r="84" spans="9:10" x14ac:dyDescent="0.45">
      <c r="I84" s="42"/>
      <c r="J84" s="42"/>
    </row>
    <row r="85" spans="9:10" x14ac:dyDescent="0.45">
      <c r="I85" s="42"/>
      <c r="J85" s="42"/>
    </row>
    <row r="86" spans="9:10" x14ac:dyDescent="0.45">
      <c r="I86" s="42"/>
      <c r="J86" s="42"/>
    </row>
    <row r="87" spans="9:10" x14ac:dyDescent="0.45">
      <c r="I87" s="42"/>
      <c r="J87" s="42"/>
    </row>
    <row r="88" spans="9:10" x14ac:dyDescent="0.45">
      <c r="I88" s="42"/>
      <c r="J88" s="42"/>
    </row>
    <row r="89" spans="9:10" x14ac:dyDescent="0.45">
      <c r="I89" s="42"/>
      <c r="J89" s="42"/>
    </row>
    <row r="90" spans="9:10" x14ac:dyDescent="0.45">
      <c r="I90" s="42"/>
      <c r="J90" s="42"/>
    </row>
    <row r="91" spans="9:10" x14ac:dyDescent="0.45">
      <c r="I91" s="42"/>
      <c r="J91" s="42"/>
    </row>
    <row r="92" spans="9:10" x14ac:dyDescent="0.45">
      <c r="I92" s="42"/>
      <c r="J92" s="42"/>
    </row>
    <row r="93" spans="9:10" x14ac:dyDescent="0.45">
      <c r="I93" s="42"/>
      <c r="J93" s="42"/>
    </row>
    <row r="94" spans="9:10" x14ac:dyDescent="0.45">
      <c r="I94" s="42"/>
      <c r="J94" s="42"/>
    </row>
    <row r="95" spans="9:10" x14ac:dyDescent="0.45">
      <c r="I95" s="42"/>
      <c r="J95" s="42"/>
    </row>
    <row r="96" spans="9:10" x14ac:dyDescent="0.45">
      <c r="I96" s="42"/>
      <c r="J96" s="42"/>
    </row>
    <row r="97" spans="9:10" x14ac:dyDescent="0.45">
      <c r="I97" s="42"/>
      <c r="J97" s="42"/>
    </row>
    <row r="98" spans="9:10" x14ac:dyDescent="0.45">
      <c r="I98" s="42"/>
      <c r="J98" s="42"/>
    </row>
    <row r="99" spans="9:10" x14ac:dyDescent="0.45">
      <c r="I99" s="42"/>
      <c r="J99" s="42"/>
    </row>
    <row r="100" spans="9:10" x14ac:dyDescent="0.45">
      <c r="I100" s="42"/>
      <c r="J100" s="42"/>
    </row>
    <row r="101" spans="9:10" x14ac:dyDescent="0.45">
      <c r="I101" s="42"/>
      <c r="J101" s="42"/>
    </row>
    <row r="102" spans="9:10" x14ac:dyDescent="0.45">
      <c r="I102" s="42"/>
      <c r="J102" s="42"/>
    </row>
    <row r="103" spans="9:10" x14ac:dyDescent="0.45">
      <c r="I103" s="42"/>
      <c r="J103" s="42"/>
    </row>
    <row r="104" spans="9:10" x14ac:dyDescent="0.45">
      <c r="I104" s="42"/>
      <c r="J104" s="42"/>
    </row>
    <row r="105" spans="9:10" x14ac:dyDescent="0.45">
      <c r="I105" s="42"/>
      <c r="J105" s="42"/>
    </row>
    <row r="106" spans="9:10" x14ac:dyDescent="0.45">
      <c r="I106" s="42"/>
      <c r="J106" s="42"/>
    </row>
    <row r="107" spans="9:10" x14ac:dyDescent="0.45">
      <c r="I107" s="42"/>
      <c r="J107" s="42"/>
    </row>
    <row r="108" spans="9:10" x14ac:dyDescent="0.45">
      <c r="I108" s="42"/>
      <c r="J108" s="42"/>
    </row>
    <row r="109" spans="9:10" x14ac:dyDescent="0.45">
      <c r="I109" s="42"/>
      <c r="J109" s="42"/>
    </row>
    <row r="110" spans="9:10" x14ac:dyDescent="0.45">
      <c r="I110" s="42"/>
      <c r="J110" s="42"/>
    </row>
    <row r="111" spans="9:10" x14ac:dyDescent="0.45">
      <c r="I111" s="42"/>
      <c r="J111" s="42"/>
    </row>
    <row r="112" spans="9:10" x14ac:dyDescent="0.45">
      <c r="I112" s="42"/>
      <c r="J112" s="42"/>
    </row>
    <row r="113" spans="9:10" x14ac:dyDescent="0.45">
      <c r="I113" s="42"/>
      <c r="J113" s="42"/>
    </row>
    <row r="114" spans="9:10" x14ac:dyDescent="0.45">
      <c r="I114" s="42"/>
      <c r="J114" s="42"/>
    </row>
    <row r="115" spans="9:10" x14ac:dyDescent="0.45">
      <c r="I115" s="42"/>
      <c r="J115" s="42"/>
    </row>
    <row r="116" spans="9:10" x14ac:dyDescent="0.45">
      <c r="I116" s="42"/>
      <c r="J116" s="42"/>
    </row>
    <row r="117" spans="9:10" x14ac:dyDescent="0.45">
      <c r="I117" s="42"/>
      <c r="J117" s="42"/>
    </row>
    <row r="118" spans="9:10" x14ac:dyDescent="0.45">
      <c r="I118" s="42"/>
      <c r="J118" s="42"/>
    </row>
    <row r="119" spans="9:10" x14ac:dyDescent="0.45">
      <c r="I119" s="42"/>
      <c r="J119" s="42"/>
    </row>
    <row r="120" spans="9:10" x14ac:dyDescent="0.45">
      <c r="I120" s="42"/>
      <c r="J120" s="42"/>
    </row>
    <row r="121" spans="9:10" x14ac:dyDescent="0.45">
      <c r="I121" s="42"/>
      <c r="J121" s="42"/>
    </row>
    <row r="122" spans="9:10" x14ac:dyDescent="0.45">
      <c r="I122" s="42"/>
      <c r="J122" s="42"/>
    </row>
    <row r="123" spans="9:10" x14ac:dyDescent="0.45">
      <c r="I123" s="42"/>
      <c r="J123" s="42"/>
    </row>
    <row r="124" spans="9:10" x14ac:dyDescent="0.45">
      <c r="I124" s="42"/>
      <c r="J124" s="42"/>
    </row>
    <row r="125" spans="9:10" x14ac:dyDescent="0.45">
      <c r="I125" s="42"/>
      <c r="J125" s="42"/>
    </row>
    <row r="126" spans="9:10" x14ac:dyDescent="0.45">
      <c r="I126" s="42"/>
      <c r="J126" s="42"/>
    </row>
    <row r="127" spans="9:10" x14ac:dyDescent="0.45">
      <c r="I127" s="42"/>
      <c r="J127" s="42"/>
    </row>
    <row r="128" spans="9:10" x14ac:dyDescent="0.45">
      <c r="I128" s="42"/>
      <c r="J128" s="42"/>
    </row>
    <row r="129" spans="9:10" x14ac:dyDescent="0.45">
      <c r="I129" s="42"/>
      <c r="J129" s="42"/>
    </row>
    <row r="130" spans="9:10" x14ac:dyDescent="0.45">
      <c r="I130" s="42"/>
      <c r="J130" s="42"/>
    </row>
    <row r="131" spans="9:10" x14ac:dyDescent="0.45">
      <c r="I131" s="42"/>
      <c r="J131" s="42"/>
    </row>
    <row r="132" spans="9:10" x14ac:dyDescent="0.45">
      <c r="I132" s="42"/>
      <c r="J132" s="42"/>
    </row>
    <row r="133" spans="9:10" x14ac:dyDescent="0.45">
      <c r="I133" s="42"/>
      <c r="J133" s="42"/>
    </row>
    <row r="134" spans="9:10" x14ac:dyDescent="0.45">
      <c r="I134" s="42"/>
      <c r="J134" s="42"/>
    </row>
    <row r="135" spans="9:10" x14ac:dyDescent="0.45">
      <c r="I135" s="42"/>
      <c r="J135" s="42"/>
    </row>
    <row r="136" spans="9:10" x14ac:dyDescent="0.45">
      <c r="I136" s="42"/>
      <c r="J136" s="42"/>
    </row>
    <row r="137" spans="9:10" x14ac:dyDescent="0.45">
      <c r="I137" s="42"/>
      <c r="J137" s="42"/>
    </row>
    <row r="138" spans="9:10" x14ac:dyDescent="0.45">
      <c r="I138" s="42"/>
      <c r="J138" s="42"/>
    </row>
    <row r="139" spans="9:10" x14ac:dyDescent="0.45">
      <c r="I139" s="42"/>
      <c r="J139" s="42"/>
    </row>
    <row r="140" spans="9:10" x14ac:dyDescent="0.45">
      <c r="I140" s="42"/>
      <c r="J140" s="42"/>
    </row>
    <row r="141" spans="9:10" x14ac:dyDescent="0.45">
      <c r="I141" s="42"/>
      <c r="J141" s="42"/>
    </row>
    <row r="142" spans="9:10" x14ac:dyDescent="0.45">
      <c r="I142" s="42"/>
      <c r="J142" s="42"/>
    </row>
    <row r="143" spans="9:10" x14ac:dyDescent="0.45">
      <c r="I143" s="42"/>
      <c r="J143" s="42"/>
    </row>
    <row r="144" spans="9:10" x14ac:dyDescent="0.45">
      <c r="I144" s="42"/>
      <c r="J144" s="42"/>
    </row>
    <row r="145" spans="9:10" x14ac:dyDescent="0.45">
      <c r="I145" s="42"/>
      <c r="J145" s="42"/>
    </row>
    <row r="146" spans="9:10" x14ac:dyDescent="0.45">
      <c r="I146" s="42"/>
      <c r="J146" s="42"/>
    </row>
    <row r="147" spans="9:10" x14ac:dyDescent="0.45">
      <c r="I147" s="42"/>
      <c r="J147" s="42"/>
    </row>
    <row r="148" spans="9:10" x14ac:dyDescent="0.45">
      <c r="I148" s="42"/>
      <c r="J148" s="42"/>
    </row>
    <row r="149" spans="9:10" x14ac:dyDescent="0.45">
      <c r="I149" s="42"/>
      <c r="J149" s="42"/>
    </row>
    <row r="150" spans="9:10" x14ac:dyDescent="0.45">
      <c r="I150" s="42"/>
      <c r="J150" s="42"/>
    </row>
    <row r="151" spans="9:10" x14ac:dyDescent="0.45">
      <c r="I151" s="42"/>
      <c r="J151" s="42"/>
    </row>
    <row r="152" spans="9:10" x14ac:dyDescent="0.45">
      <c r="I152" s="42"/>
      <c r="J152" s="42"/>
    </row>
    <row r="153" spans="9:10" x14ac:dyDescent="0.45">
      <c r="I153" s="42"/>
      <c r="J153" s="42"/>
    </row>
    <row r="154" spans="9:10" x14ac:dyDescent="0.45">
      <c r="I154" s="42"/>
      <c r="J154" s="42"/>
    </row>
    <row r="155" spans="9:10" x14ac:dyDescent="0.45">
      <c r="I155" s="42"/>
      <c r="J155" s="42"/>
    </row>
    <row r="156" spans="9:10" x14ac:dyDescent="0.45">
      <c r="I156" s="42"/>
      <c r="J156" s="42"/>
    </row>
    <row r="157" spans="9:10" x14ac:dyDescent="0.45">
      <c r="I157" s="42"/>
      <c r="J157" s="42"/>
    </row>
    <row r="158" spans="9:10" x14ac:dyDescent="0.45">
      <c r="I158" s="42"/>
      <c r="J158" s="42"/>
    </row>
    <row r="159" spans="9:10" x14ac:dyDescent="0.45">
      <c r="I159" s="42"/>
      <c r="J159" s="42"/>
    </row>
    <row r="160" spans="9:10" x14ac:dyDescent="0.45">
      <c r="I160" s="42"/>
      <c r="J160" s="42"/>
    </row>
    <row r="161" spans="9:10" x14ac:dyDescent="0.45">
      <c r="I161" s="42"/>
      <c r="J161" s="42"/>
    </row>
    <row r="162" spans="9:10" x14ac:dyDescent="0.45">
      <c r="I162" s="42"/>
      <c r="J162" s="42"/>
    </row>
    <row r="163" spans="9:10" x14ac:dyDescent="0.45">
      <c r="I163" s="42"/>
      <c r="J163" s="42"/>
    </row>
    <row r="164" spans="9:10" x14ac:dyDescent="0.45">
      <c r="I164" s="42"/>
      <c r="J164" s="42"/>
    </row>
    <row r="165" spans="9:10" x14ac:dyDescent="0.45">
      <c r="I165" s="42"/>
      <c r="J165" s="42"/>
    </row>
    <row r="166" spans="9:10" x14ac:dyDescent="0.45">
      <c r="I166" s="42"/>
      <c r="J166" s="42"/>
    </row>
    <row r="167" spans="9:10" x14ac:dyDescent="0.45">
      <c r="I167" s="42"/>
      <c r="J167" s="42"/>
    </row>
    <row r="168" spans="9:10" x14ac:dyDescent="0.45">
      <c r="I168" s="42"/>
      <c r="J168" s="42"/>
    </row>
    <row r="169" spans="9:10" x14ac:dyDescent="0.45">
      <c r="I169" s="42"/>
      <c r="J169" s="42"/>
    </row>
    <row r="170" spans="9:10" x14ac:dyDescent="0.45">
      <c r="I170" s="42"/>
      <c r="J170" s="42"/>
    </row>
    <row r="171" spans="9:10" x14ac:dyDescent="0.45">
      <c r="I171" s="42"/>
      <c r="J171" s="42"/>
    </row>
    <row r="172" spans="9:10" x14ac:dyDescent="0.45">
      <c r="I172" s="42"/>
      <c r="J172" s="42"/>
    </row>
    <row r="173" spans="9:10" x14ac:dyDescent="0.45">
      <c r="I173" s="42"/>
      <c r="J173" s="42"/>
    </row>
    <row r="174" spans="9:10" x14ac:dyDescent="0.45">
      <c r="I174" s="42"/>
      <c r="J174" s="42"/>
    </row>
    <row r="175" spans="9:10" x14ac:dyDescent="0.45">
      <c r="I175" s="42"/>
      <c r="J175" s="42"/>
    </row>
    <row r="176" spans="9:10" x14ac:dyDescent="0.45">
      <c r="I176" s="42"/>
      <c r="J176" s="42"/>
    </row>
    <row r="177" spans="9:10" x14ac:dyDescent="0.45">
      <c r="I177" s="42"/>
      <c r="J177" s="42"/>
    </row>
    <row r="178" spans="9:10" x14ac:dyDescent="0.45">
      <c r="I178" s="42"/>
      <c r="J178" s="42"/>
    </row>
    <row r="179" spans="9:10" x14ac:dyDescent="0.45">
      <c r="I179" s="42"/>
      <c r="J179" s="42"/>
    </row>
    <row r="180" spans="9:10" x14ac:dyDescent="0.45">
      <c r="I180" s="42"/>
      <c r="J180" s="42"/>
    </row>
    <row r="181" spans="9:10" x14ac:dyDescent="0.45">
      <c r="I181" s="42"/>
      <c r="J181" s="42"/>
    </row>
    <row r="182" spans="9:10" x14ac:dyDescent="0.45">
      <c r="I182" s="42"/>
      <c r="J182" s="42"/>
    </row>
    <row r="183" spans="9:10" x14ac:dyDescent="0.45">
      <c r="I183" s="42"/>
      <c r="J183" s="42"/>
    </row>
    <row r="184" spans="9:10" x14ac:dyDescent="0.45">
      <c r="I184" s="42"/>
      <c r="J184" s="42"/>
    </row>
    <row r="185" spans="9:10" x14ac:dyDescent="0.45">
      <c r="I185" s="42"/>
      <c r="J185" s="42"/>
    </row>
    <row r="186" spans="9:10" x14ac:dyDescent="0.45">
      <c r="I186" s="42"/>
      <c r="J186" s="42"/>
    </row>
    <row r="187" spans="9:10" x14ac:dyDescent="0.45">
      <c r="I187" s="42"/>
      <c r="J187" s="42"/>
    </row>
    <row r="188" spans="9:10" x14ac:dyDescent="0.45">
      <c r="I188" s="42"/>
      <c r="J188" s="42"/>
    </row>
    <row r="189" spans="9:10" x14ac:dyDescent="0.45">
      <c r="I189" s="42"/>
      <c r="J189" s="42"/>
    </row>
    <row r="190" spans="9:10" x14ac:dyDescent="0.45">
      <c r="I190" s="42"/>
      <c r="J190" s="42"/>
    </row>
    <row r="191" spans="9:10" x14ac:dyDescent="0.45">
      <c r="I191" s="42"/>
      <c r="J191" s="42"/>
    </row>
    <row r="192" spans="9:10" x14ac:dyDescent="0.45">
      <c r="I192" s="42"/>
      <c r="J192" s="42"/>
    </row>
    <row r="193" spans="9:10" x14ac:dyDescent="0.45">
      <c r="I193" s="42"/>
      <c r="J193" s="42"/>
    </row>
    <row r="194" spans="9:10" x14ac:dyDescent="0.45">
      <c r="I194" s="42"/>
      <c r="J194" s="42"/>
    </row>
    <row r="195" spans="9:10" x14ac:dyDescent="0.45">
      <c r="I195" s="42"/>
      <c r="J195" s="42"/>
    </row>
    <row r="196" spans="9:10" x14ac:dyDescent="0.45">
      <c r="I196" s="42"/>
      <c r="J196" s="42"/>
    </row>
    <row r="197" spans="9:10" x14ac:dyDescent="0.45">
      <c r="I197" s="42"/>
      <c r="J197" s="42"/>
    </row>
    <row r="198" spans="9:10" x14ac:dyDescent="0.45">
      <c r="I198" s="42"/>
      <c r="J198" s="42"/>
    </row>
    <row r="199" spans="9:10" x14ac:dyDescent="0.45">
      <c r="I199" s="42"/>
      <c r="J199" s="42"/>
    </row>
    <row r="200" spans="9:10" x14ac:dyDescent="0.45">
      <c r="I200" s="42"/>
      <c r="J200" s="42"/>
    </row>
    <row r="201" spans="9:10" x14ac:dyDescent="0.45">
      <c r="I201" s="42"/>
      <c r="J201" s="42"/>
    </row>
    <row r="202" spans="9:10" x14ac:dyDescent="0.45">
      <c r="I202" s="42"/>
      <c r="J202" s="42"/>
    </row>
    <row r="203" spans="9:10" x14ac:dyDescent="0.45">
      <c r="I203" s="42"/>
      <c r="J203" s="42"/>
    </row>
    <row r="204" spans="9:10" x14ac:dyDescent="0.45">
      <c r="I204" s="42"/>
      <c r="J204" s="42"/>
    </row>
    <row r="205" spans="9:10" x14ac:dyDescent="0.45">
      <c r="I205" s="42"/>
      <c r="J205" s="42"/>
    </row>
    <row r="206" spans="9:10" x14ac:dyDescent="0.45">
      <c r="I206" s="42"/>
      <c r="J206" s="42"/>
    </row>
    <row r="207" spans="9:10" x14ac:dyDescent="0.45">
      <c r="I207" s="42"/>
      <c r="J207" s="42"/>
    </row>
    <row r="208" spans="9:10" x14ac:dyDescent="0.45">
      <c r="I208" s="42"/>
      <c r="J208" s="42"/>
    </row>
    <row r="209" spans="9:10" x14ac:dyDescent="0.45">
      <c r="I209" s="42"/>
      <c r="J209" s="42"/>
    </row>
    <row r="210" spans="9:10" x14ac:dyDescent="0.45">
      <c r="I210" s="42"/>
      <c r="J210" s="42"/>
    </row>
    <row r="211" spans="9:10" x14ac:dyDescent="0.45">
      <c r="I211" s="42"/>
      <c r="J211" s="42"/>
    </row>
    <row r="212" spans="9:10" x14ac:dyDescent="0.45">
      <c r="I212" s="42"/>
      <c r="J212" s="42"/>
    </row>
    <row r="213" spans="9:10" x14ac:dyDescent="0.45">
      <c r="I213" s="42"/>
      <c r="J213" s="42"/>
    </row>
    <row r="214" spans="9:10" x14ac:dyDescent="0.45">
      <c r="I214" s="42"/>
      <c r="J214" s="42"/>
    </row>
    <row r="215" spans="9:10" x14ac:dyDescent="0.45">
      <c r="I215" s="42"/>
      <c r="J215" s="42"/>
    </row>
    <row r="216" spans="9:10" x14ac:dyDescent="0.45">
      <c r="I216" s="42"/>
      <c r="J216" s="42"/>
    </row>
    <row r="217" spans="9:10" x14ac:dyDescent="0.45">
      <c r="I217" s="42"/>
      <c r="J217" s="42"/>
    </row>
    <row r="218" spans="9:10" x14ac:dyDescent="0.45">
      <c r="I218" s="42"/>
      <c r="J218" s="42"/>
    </row>
    <row r="219" spans="9:10" x14ac:dyDescent="0.45">
      <c r="I219" s="42"/>
      <c r="J219" s="42"/>
    </row>
    <row r="220" spans="9:10" x14ac:dyDescent="0.45">
      <c r="I220" s="42"/>
      <c r="J220" s="42"/>
    </row>
    <row r="221" spans="9:10" x14ac:dyDescent="0.45">
      <c r="I221" s="42"/>
      <c r="J221" s="42"/>
    </row>
    <row r="222" spans="9:10" x14ac:dyDescent="0.45">
      <c r="I222" s="42"/>
      <c r="J222" s="42"/>
    </row>
    <row r="223" spans="9:10" x14ac:dyDescent="0.45">
      <c r="I223" s="42"/>
      <c r="J223" s="42"/>
    </row>
    <row r="224" spans="9:10" x14ac:dyDescent="0.45">
      <c r="I224" s="42"/>
      <c r="J224" s="42"/>
    </row>
    <row r="225" spans="9:10" x14ac:dyDescent="0.45">
      <c r="I225" s="42"/>
      <c r="J225" s="42"/>
    </row>
    <row r="226" spans="9:10" x14ac:dyDescent="0.45">
      <c r="I226" s="42"/>
      <c r="J226" s="42"/>
    </row>
    <row r="227" spans="9:10" x14ac:dyDescent="0.45">
      <c r="I227" s="42"/>
      <c r="J227" s="42"/>
    </row>
    <row r="228" spans="9:10" x14ac:dyDescent="0.45">
      <c r="I228" s="42"/>
      <c r="J228" s="42"/>
    </row>
    <row r="229" spans="9:10" x14ac:dyDescent="0.45">
      <c r="I229" s="42"/>
      <c r="J229" s="42"/>
    </row>
    <row r="230" spans="9:10" x14ac:dyDescent="0.45">
      <c r="I230" s="42"/>
      <c r="J230" s="42"/>
    </row>
    <row r="231" spans="9:10" x14ac:dyDescent="0.45">
      <c r="I231" s="42"/>
      <c r="J231" s="42"/>
    </row>
    <row r="232" spans="9:10" x14ac:dyDescent="0.45">
      <c r="I232" s="42"/>
      <c r="J232" s="42"/>
    </row>
    <row r="233" spans="9:10" x14ac:dyDescent="0.45">
      <c r="I233" s="42"/>
      <c r="J233" s="42"/>
    </row>
    <row r="234" spans="9:10" x14ac:dyDescent="0.45">
      <c r="I234" s="42"/>
      <c r="J234" s="42"/>
    </row>
    <row r="235" spans="9:10" x14ac:dyDescent="0.45">
      <c r="I235" s="42"/>
      <c r="J235" s="42"/>
    </row>
    <row r="236" spans="9:10" x14ac:dyDescent="0.45">
      <c r="I236" s="42"/>
      <c r="J236" s="42"/>
    </row>
    <row r="237" spans="9:10" x14ac:dyDescent="0.45">
      <c r="I237" s="42"/>
      <c r="J237" s="42"/>
    </row>
    <row r="238" spans="9:10" x14ac:dyDescent="0.45">
      <c r="I238" s="42"/>
      <c r="J238" s="42"/>
    </row>
    <row r="239" spans="9:10" x14ac:dyDescent="0.45">
      <c r="I239" s="42"/>
      <c r="J239" s="42"/>
    </row>
    <row r="240" spans="9:10" x14ac:dyDescent="0.45">
      <c r="I240" s="42"/>
      <c r="J240" s="42"/>
    </row>
    <row r="241" spans="9:10" x14ac:dyDescent="0.45">
      <c r="I241" s="42"/>
      <c r="J241" s="42"/>
    </row>
    <row r="242" spans="9:10" x14ac:dyDescent="0.45">
      <c r="I242" s="42"/>
      <c r="J242" s="42"/>
    </row>
    <row r="243" spans="9:10" x14ac:dyDescent="0.45">
      <c r="I243" s="42"/>
      <c r="J243" s="42"/>
    </row>
    <row r="244" spans="9:10" x14ac:dyDescent="0.45">
      <c r="I244" s="42"/>
      <c r="J244" s="42"/>
    </row>
    <row r="245" spans="9:10" x14ac:dyDescent="0.45">
      <c r="I245" s="42"/>
      <c r="J245" s="42"/>
    </row>
    <row r="246" spans="9:10" x14ac:dyDescent="0.45">
      <c r="I246" s="42"/>
      <c r="J246" s="42"/>
    </row>
    <row r="247" spans="9:10" x14ac:dyDescent="0.45">
      <c r="I247" s="42"/>
      <c r="J247" s="42"/>
    </row>
    <row r="248" spans="9:10" x14ac:dyDescent="0.45">
      <c r="I248" s="42"/>
      <c r="J248" s="42"/>
    </row>
    <row r="249" spans="9:10" x14ac:dyDescent="0.45">
      <c r="I249" s="42"/>
      <c r="J249" s="42"/>
    </row>
    <row r="250" spans="9:10" x14ac:dyDescent="0.45">
      <c r="I250" s="42"/>
      <c r="J250" s="42"/>
    </row>
    <row r="251" spans="9:10" x14ac:dyDescent="0.45">
      <c r="I251" s="42"/>
      <c r="J251" s="42"/>
    </row>
    <row r="252" spans="9:10" x14ac:dyDescent="0.45">
      <c r="I252" s="42"/>
      <c r="J252" s="42"/>
    </row>
    <row r="253" spans="9:10" x14ac:dyDescent="0.45">
      <c r="I253" s="42"/>
      <c r="J253" s="42"/>
    </row>
    <row r="254" spans="9:10" x14ac:dyDescent="0.45">
      <c r="I254" s="42"/>
      <c r="J254" s="42"/>
    </row>
    <row r="255" spans="9:10" x14ac:dyDescent="0.45">
      <c r="I255" s="42"/>
      <c r="J255" s="42"/>
    </row>
    <row r="256" spans="9:10" x14ac:dyDescent="0.45">
      <c r="I256" s="42"/>
      <c r="J256" s="42"/>
    </row>
    <row r="257" spans="9:10" x14ac:dyDescent="0.45">
      <c r="I257" s="42"/>
      <c r="J257" s="42"/>
    </row>
    <row r="258" spans="9:10" x14ac:dyDescent="0.45">
      <c r="I258" s="42"/>
      <c r="J258" s="42"/>
    </row>
    <row r="259" spans="9:10" x14ac:dyDescent="0.45">
      <c r="I259" s="42"/>
      <c r="J259" s="42"/>
    </row>
    <row r="260" spans="9:10" x14ac:dyDescent="0.45">
      <c r="I260" s="42"/>
      <c r="J260" s="42"/>
    </row>
    <row r="261" spans="9:10" x14ac:dyDescent="0.45">
      <c r="I261" s="42"/>
      <c r="J261" s="42"/>
    </row>
    <row r="262" spans="9:10" x14ac:dyDescent="0.45">
      <c r="I262" s="42"/>
      <c r="J262" s="42"/>
    </row>
    <row r="263" spans="9:10" x14ac:dyDescent="0.45">
      <c r="I263" s="42"/>
      <c r="J263" s="42"/>
    </row>
    <row r="264" spans="9:10" x14ac:dyDescent="0.45">
      <c r="I264" s="42"/>
      <c r="J264" s="42"/>
    </row>
    <row r="265" spans="9:10" x14ac:dyDescent="0.45">
      <c r="I265" s="42"/>
      <c r="J265" s="42"/>
    </row>
    <row r="266" spans="9:10" x14ac:dyDescent="0.45">
      <c r="I266" s="42"/>
      <c r="J266" s="42"/>
    </row>
    <row r="267" spans="9:10" x14ac:dyDescent="0.45">
      <c r="I267" s="42"/>
      <c r="J267" s="42"/>
    </row>
    <row r="268" spans="9:10" x14ac:dyDescent="0.45">
      <c r="I268" s="42"/>
      <c r="J268" s="42"/>
    </row>
    <row r="269" spans="9:10" x14ac:dyDescent="0.45">
      <c r="I269" s="42"/>
      <c r="J269" s="42"/>
    </row>
    <row r="270" spans="9:10" x14ac:dyDescent="0.45">
      <c r="I270" s="42"/>
      <c r="J270" s="42"/>
    </row>
    <row r="271" spans="9:10" x14ac:dyDescent="0.45">
      <c r="I271" s="42"/>
      <c r="J271" s="42"/>
    </row>
    <row r="272" spans="9:10" x14ac:dyDescent="0.45">
      <c r="I272" s="42"/>
      <c r="J272" s="42"/>
    </row>
    <row r="273" spans="9:10" x14ac:dyDescent="0.45">
      <c r="I273" s="42"/>
      <c r="J273" s="42"/>
    </row>
    <row r="274" spans="9:10" x14ac:dyDescent="0.45">
      <c r="I274" s="42"/>
      <c r="J274" s="42"/>
    </row>
    <row r="275" spans="9:10" x14ac:dyDescent="0.45">
      <c r="I275" s="42"/>
      <c r="J275" s="42"/>
    </row>
    <row r="276" spans="9:10" x14ac:dyDescent="0.45">
      <c r="I276" s="42"/>
      <c r="J276" s="42"/>
    </row>
    <row r="277" spans="9:10" x14ac:dyDescent="0.45">
      <c r="I277" s="42"/>
      <c r="J277" s="42"/>
    </row>
    <row r="278" spans="9:10" x14ac:dyDescent="0.45">
      <c r="I278" s="42"/>
      <c r="J278" s="42"/>
    </row>
    <row r="279" spans="9:10" x14ac:dyDescent="0.45">
      <c r="I279" s="42"/>
      <c r="J279" s="42"/>
    </row>
    <row r="280" spans="9:10" x14ac:dyDescent="0.45">
      <c r="I280" s="42"/>
      <c r="J280" s="42"/>
    </row>
    <row r="281" spans="9:10" x14ac:dyDescent="0.45">
      <c r="I281" s="42"/>
      <c r="J281" s="42"/>
    </row>
    <row r="282" spans="9:10" x14ac:dyDescent="0.45">
      <c r="I282" s="42"/>
      <c r="J282" s="42"/>
    </row>
    <row r="283" spans="9:10" x14ac:dyDescent="0.45">
      <c r="I283" s="42"/>
      <c r="J283" s="42"/>
    </row>
    <row r="284" spans="9:10" x14ac:dyDescent="0.45">
      <c r="I284" s="42"/>
      <c r="J284" s="42"/>
    </row>
    <row r="285" spans="9:10" x14ac:dyDescent="0.45">
      <c r="I285" s="42"/>
      <c r="J285" s="42"/>
    </row>
    <row r="286" spans="9:10" x14ac:dyDescent="0.45">
      <c r="I286" s="42"/>
      <c r="J286" s="42"/>
    </row>
    <row r="287" spans="9:10" x14ac:dyDescent="0.45">
      <c r="I287" s="42"/>
      <c r="J287" s="42"/>
    </row>
    <row r="288" spans="9:10" x14ac:dyDescent="0.45">
      <c r="I288" s="42"/>
      <c r="J288" s="42"/>
    </row>
    <row r="289" spans="9:10" x14ac:dyDescent="0.45">
      <c r="I289" s="42"/>
      <c r="J289" s="42"/>
    </row>
    <row r="290" spans="9:10" x14ac:dyDescent="0.45">
      <c r="I290" s="42"/>
      <c r="J290" s="42"/>
    </row>
    <row r="291" spans="9:10" x14ac:dyDescent="0.45">
      <c r="I291" s="42"/>
      <c r="J291" s="42"/>
    </row>
    <row r="292" spans="9:10" x14ac:dyDescent="0.45">
      <c r="I292" s="42"/>
      <c r="J292" s="42"/>
    </row>
    <row r="293" spans="9:10" x14ac:dyDescent="0.45">
      <c r="I293" s="42"/>
      <c r="J293" s="42"/>
    </row>
    <row r="294" spans="9:10" x14ac:dyDescent="0.45">
      <c r="I294" s="42"/>
      <c r="J294" s="42"/>
    </row>
    <row r="295" spans="9:10" x14ac:dyDescent="0.45">
      <c r="I295" s="42"/>
      <c r="J295" s="42"/>
    </row>
    <row r="296" spans="9:10" x14ac:dyDescent="0.45">
      <c r="I296" s="42"/>
      <c r="J296" s="42"/>
    </row>
    <row r="297" spans="9:10" x14ac:dyDescent="0.45">
      <c r="I297" s="42"/>
      <c r="J297" s="42"/>
    </row>
    <row r="298" spans="9:10" x14ac:dyDescent="0.45">
      <c r="I298" s="42"/>
      <c r="J298" s="42"/>
    </row>
    <row r="299" spans="9:10" x14ac:dyDescent="0.45">
      <c r="I299" s="42"/>
      <c r="J299" s="42"/>
    </row>
    <row r="300" spans="9:10" x14ac:dyDescent="0.45">
      <c r="I300" s="42"/>
      <c r="J300" s="42"/>
    </row>
    <row r="301" spans="9:10" x14ac:dyDescent="0.45">
      <c r="I301" s="42"/>
      <c r="J301" s="42"/>
    </row>
    <row r="302" spans="9:10" x14ac:dyDescent="0.45">
      <c r="I302" s="42"/>
      <c r="J302" s="42"/>
    </row>
    <row r="303" spans="9:10" x14ac:dyDescent="0.45">
      <c r="I303" s="42"/>
      <c r="J303" s="42"/>
    </row>
    <row r="304" spans="9:10" x14ac:dyDescent="0.45">
      <c r="I304" s="42"/>
      <c r="J304" s="42"/>
    </row>
    <row r="305" spans="9:10" x14ac:dyDescent="0.45">
      <c r="I305" s="42"/>
      <c r="J305" s="42"/>
    </row>
    <row r="306" spans="9:10" x14ac:dyDescent="0.45">
      <c r="I306" s="42"/>
      <c r="J306" s="42"/>
    </row>
    <row r="307" spans="9:10" x14ac:dyDescent="0.45">
      <c r="I307" s="42"/>
      <c r="J307" s="42"/>
    </row>
    <row r="308" spans="9:10" x14ac:dyDescent="0.45">
      <c r="I308" s="42"/>
      <c r="J308" s="42"/>
    </row>
    <row r="309" spans="9:10" x14ac:dyDescent="0.45">
      <c r="I309" s="42"/>
      <c r="J309" s="42"/>
    </row>
    <row r="310" spans="9:10" x14ac:dyDescent="0.45">
      <c r="I310" s="42"/>
      <c r="J310" s="42"/>
    </row>
    <row r="311" spans="9:10" x14ac:dyDescent="0.45">
      <c r="I311" s="42"/>
      <c r="J311" s="42"/>
    </row>
    <row r="312" spans="9:10" x14ac:dyDescent="0.45">
      <c r="I312" s="42"/>
      <c r="J312" s="42"/>
    </row>
    <row r="313" spans="9:10" x14ac:dyDescent="0.45">
      <c r="I313" s="42"/>
      <c r="J313" s="42"/>
    </row>
    <row r="314" spans="9:10" x14ac:dyDescent="0.45">
      <c r="I314" s="42"/>
      <c r="J314" s="42"/>
    </row>
    <row r="315" spans="9:10" x14ac:dyDescent="0.45">
      <c r="I315" s="42"/>
      <c r="J315" s="42"/>
    </row>
    <row r="316" spans="9:10" x14ac:dyDescent="0.45">
      <c r="I316" s="42"/>
      <c r="J316" s="42"/>
    </row>
    <row r="317" spans="9:10" x14ac:dyDescent="0.45">
      <c r="I317" s="42"/>
      <c r="J317" s="42"/>
    </row>
    <row r="318" spans="9:10" x14ac:dyDescent="0.45">
      <c r="I318" s="42"/>
      <c r="J318" s="42"/>
    </row>
    <row r="319" spans="9:10" x14ac:dyDescent="0.45">
      <c r="I319" s="42"/>
      <c r="J319" s="42"/>
    </row>
    <row r="320" spans="9:10" x14ac:dyDescent="0.45">
      <c r="I320" s="42"/>
      <c r="J320" s="42"/>
    </row>
    <row r="321" spans="9:10" x14ac:dyDescent="0.45">
      <c r="I321" s="42"/>
      <c r="J321" s="42"/>
    </row>
    <row r="322" spans="9:10" x14ac:dyDescent="0.45">
      <c r="I322" s="42"/>
      <c r="J322" s="42"/>
    </row>
    <row r="323" spans="9:10" x14ac:dyDescent="0.45">
      <c r="I323" s="42"/>
      <c r="J323" s="42"/>
    </row>
    <row r="324" spans="9:10" x14ac:dyDescent="0.45">
      <c r="I324" s="42"/>
      <c r="J324" s="42"/>
    </row>
    <row r="325" spans="9:10" x14ac:dyDescent="0.45">
      <c r="I325" s="42"/>
      <c r="J325" s="42"/>
    </row>
    <row r="326" spans="9:10" x14ac:dyDescent="0.45">
      <c r="I326" s="42"/>
      <c r="J326" s="42"/>
    </row>
    <row r="327" spans="9:10" x14ac:dyDescent="0.45">
      <c r="I327" s="42"/>
      <c r="J327" s="42"/>
    </row>
    <row r="328" spans="9:10" x14ac:dyDescent="0.45">
      <c r="I328" s="42"/>
      <c r="J328" s="42"/>
    </row>
    <row r="329" spans="9:10" x14ac:dyDescent="0.45">
      <c r="I329" s="42"/>
      <c r="J329" s="42"/>
    </row>
    <row r="330" spans="9:10" x14ac:dyDescent="0.45">
      <c r="I330" s="42"/>
      <c r="J330" s="42"/>
    </row>
    <row r="331" spans="9:10" x14ac:dyDescent="0.45">
      <c r="I331" s="42"/>
      <c r="J331" s="42"/>
    </row>
    <row r="332" spans="9:10" x14ac:dyDescent="0.45">
      <c r="I332" s="42"/>
      <c r="J332" s="42"/>
    </row>
    <row r="333" spans="9:10" x14ac:dyDescent="0.45">
      <c r="I333" s="42"/>
      <c r="J333" s="42"/>
    </row>
    <row r="334" spans="9:10" x14ac:dyDescent="0.45">
      <c r="I334" s="42"/>
      <c r="J334" s="42"/>
    </row>
    <row r="335" spans="9:10" x14ac:dyDescent="0.45">
      <c r="I335" s="42"/>
      <c r="J335" s="42"/>
    </row>
    <row r="336" spans="9:10" x14ac:dyDescent="0.45">
      <c r="I336" s="42"/>
      <c r="J336" s="42"/>
    </row>
    <row r="337" spans="9:10" x14ac:dyDescent="0.45">
      <c r="I337" s="42"/>
      <c r="J337" s="42"/>
    </row>
    <row r="338" spans="9:10" x14ac:dyDescent="0.45">
      <c r="I338" s="42"/>
      <c r="J338" s="42"/>
    </row>
    <row r="339" spans="9:10" x14ac:dyDescent="0.45">
      <c r="I339" s="42"/>
      <c r="J339" s="42"/>
    </row>
    <row r="340" spans="9:10" x14ac:dyDescent="0.45">
      <c r="I340" s="42"/>
      <c r="J340" s="42"/>
    </row>
    <row r="341" spans="9:10" x14ac:dyDescent="0.45">
      <c r="I341" s="42"/>
      <c r="J341" s="42"/>
    </row>
    <row r="342" spans="9:10" x14ac:dyDescent="0.45">
      <c r="I342" s="42"/>
      <c r="J342" s="42"/>
    </row>
    <row r="343" spans="9:10" x14ac:dyDescent="0.45">
      <c r="I343" s="42"/>
      <c r="J343" s="42"/>
    </row>
    <row r="344" spans="9:10" x14ac:dyDescent="0.45">
      <c r="I344" s="42"/>
      <c r="J344" s="42"/>
    </row>
    <row r="345" spans="9:10" x14ac:dyDescent="0.45">
      <c r="I345" s="42"/>
      <c r="J345" s="42"/>
    </row>
    <row r="346" spans="9:10" x14ac:dyDescent="0.45">
      <c r="I346" s="42"/>
      <c r="J346" s="42"/>
    </row>
    <row r="347" spans="9:10" x14ac:dyDescent="0.45">
      <c r="I347" s="42"/>
      <c r="J347" s="42"/>
    </row>
    <row r="348" spans="9:10" x14ac:dyDescent="0.45">
      <c r="I348" s="42"/>
      <c r="J348" s="42"/>
    </row>
    <row r="349" spans="9:10" x14ac:dyDescent="0.45">
      <c r="I349" s="42"/>
      <c r="J349" s="42"/>
    </row>
    <row r="350" spans="9:10" x14ac:dyDescent="0.45">
      <c r="I350" s="42"/>
      <c r="J350" s="42"/>
    </row>
    <row r="351" spans="9:10" x14ac:dyDescent="0.45">
      <c r="I351" s="42"/>
      <c r="J351" s="42"/>
    </row>
    <row r="352" spans="9:10" x14ac:dyDescent="0.45">
      <c r="I352" s="42"/>
      <c r="J352" s="42"/>
    </row>
    <row r="353" spans="9:10" x14ac:dyDescent="0.45">
      <c r="I353" s="42"/>
      <c r="J353" s="42"/>
    </row>
    <row r="354" spans="9:10" x14ac:dyDescent="0.45">
      <c r="I354" s="42"/>
      <c r="J354" s="42"/>
    </row>
    <row r="355" spans="9:10" x14ac:dyDescent="0.45">
      <c r="I355" s="42"/>
      <c r="J355" s="42"/>
    </row>
    <row r="356" spans="9:10" x14ac:dyDescent="0.45">
      <c r="I356" s="42"/>
      <c r="J356" s="42"/>
    </row>
    <row r="357" spans="9:10" x14ac:dyDescent="0.45">
      <c r="I357" s="42"/>
      <c r="J357" s="42"/>
    </row>
    <row r="358" spans="9:10" x14ac:dyDescent="0.45">
      <c r="I358" s="42"/>
      <c r="J358" s="42"/>
    </row>
    <row r="359" spans="9:10" x14ac:dyDescent="0.45">
      <c r="I359" s="42"/>
      <c r="J359" s="42"/>
    </row>
    <row r="360" spans="9:10" x14ac:dyDescent="0.45">
      <c r="I360" s="42"/>
      <c r="J360" s="42"/>
    </row>
    <row r="361" spans="9:10" x14ac:dyDescent="0.45">
      <c r="I361" s="42"/>
      <c r="J361" s="42"/>
    </row>
    <row r="362" spans="9:10" x14ac:dyDescent="0.45">
      <c r="I362" s="42"/>
      <c r="J362" s="42"/>
    </row>
    <row r="363" spans="9:10" x14ac:dyDescent="0.45">
      <c r="I363" s="42"/>
      <c r="J363" s="42"/>
    </row>
    <row r="364" spans="9:10" x14ac:dyDescent="0.45">
      <c r="I364" s="42"/>
      <c r="J364" s="42"/>
    </row>
    <row r="365" spans="9:10" x14ac:dyDescent="0.45">
      <c r="I365" s="42"/>
      <c r="J365" s="42"/>
    </row>
    <row r="366" spans="9:10" x14ac:dyDescent="0.45">
      <c r="I366" s="42"/>
      <c r="J366" s="42"/>
    </row>
    <row r="367" spans="9:10" x14ac:dyDescent="0.45">
      <c r="I367" s="42"/>
      <c r="J367" s="42"/>
    </row>
    <row r="368" spans="9:10" x14ac:dyDescent="0.45">
      <c r="I368" s="42"/>
      <c r="J368" s="42"/>
    </row>
    <row r="369" spans="9:10" x14ac:dyDescent="0.45">
      <c r="I369" s="42"/>
      <c r="J369" s="42"/>
    </row>
    <row r="370" spans="9:10" x14ac:dyDescent="0.45">
      <c r="I370" s="42"/>
      <c r="J370" s="42"/>
    </row>
    <row r="371" spans="9:10" x14ac:dyDescent="0.45">
      <c r="I371" s="42"/>
      <c r="J371" s="42"/>
    </row>
    <row r="372" spans="9:10" x14ac:dyDescent="0.45">
      <c r="I372" s="42"/>
      <c r="J372" s="42"/>
    </row>
    <row r="373" spans="9:10" x14ac:dyDescent="0.45">
      <c r="I373" s="42"/>
      <c r="J373" s="42"/>
    </row>
    <row r="374" spans="9:10" x14ac:dyDescent="0.45">
      <c r="I374" s="42"/>
      <c r="J374" s="42"/>
    </row>
    <row r="375" spans="9:10" x14ac:dyDescent="0.45">
      <c r="I375" s="42"/>
      <c r="J375" s="42"/>
    </row>
    <row r="376" spans="9:10" x14ac:dyDescent="0.45">
      <c r="I376" s="42"/>
      <c r="J376" s="42"/>
    </row>
    <row r="377" spans="9:10" x14ac:dyDescent="0.45">
      <c r="I377" s="42"/>
      <c r="J377" s="42"/>
    </row>
    <row r="378" spans="9:10" x14ac:dyDescent="0.45">
      <c r="I378" s="42"/>
      <c r="J378" s="42"/>
    </row>
    <row r="379" spans="9:10" x14ac:dyDescent="0.45">
      <c r="I379" s="42"/>
      <c r="J379" s="42"/>
    </row>
    <row r="380" spans="9:10" x14ac:dyDescent="0.45">
      <c r="I380" s="42"/>
      <c r="J380" s="42"/>
    </row>
    <row r="381" spans="9:10" x14ac:dyDescent="0.45">
      <c r="I381" s="42"/>
      <c r="J381" s="42"/>
    </row>
    <row r="382" spans="9:10" x14ac:dyDescent="0.45">
      <c r="I382" s="42"/>
      <c r="J382" s="42"/>
    </row>
    <row r="383" spans="9:10" x14ac:dyDescent="0.45">
      <c r="I383" s="42"/>
      <c r="J383" s="42"/>
    </row>
    <row r="384" spans="9:10" x14ac:dyDescent="0.45">
      <c r="I384" s="42"/>
      <c r="J384" s="42"/>
    </row>
    <row r="385" spans="9:10" x14ac:dyDescent="0.45">
      <c r="I385" s="42"/>
      <c r="J385" s="42"/>
    </row>
    <row r="386" spans="9:10" x14ac:dyDescent="0.45">
      <c r="I386" s="42"/>
      <c r="J386" s="42"/>
    </row>
    <row r="387" spans="9:10" x14ac:dyDescent="0.45">
      <c r="I387" s="42"/>
      <c r="J387" s="42"/>
    </row>
    <row r="388" spans="9:10" x14ac:dyDescent="0.45">
      <c r="I388" s="42"/>
      <c r="J388" s="42"/>
    </row>
    <row r="389" spans="9:10" x14ac:dyDescent="0.45">
      <c r="I389" s="42"/>
      <c r="J389" s="42"/>
    </row>
    <row r="390" spans="9:10" x14ac:dyDescent="0.45">
      <c r="I390" s="42"/>
      <c r="J390" s="42"/>
    </row>
    <row r="391" spans="9:10" x14ac:dyDescent="0.45">
      <c r="I391" s="42"/>
      <c r="J391" s="42"/>
    </row>
    <row r="392" spans="9:10" x14ac:dyDescent="0.45">
      <c r="I392" s="42"/>
      <c r="J392" s="42"/>
    </row>
    <row r="393" spans="9:10" x14ac:dyDescent="0.45">
      <c r="I393" s="42"/>
      <c r="J393" s="42"/>
    </row>
    <row r="394" spans="9:10" x14ac:dyDescent="0.45">
      <c r="I394" s="42"/>
      <c r="J394" s="42"/>
    </row>
    <row r="395" spans="9:10" x14ac:dyDescent="0.45">
      <c r="I395" s="42"/>
      <c r="J395" s="42"/>
    </row>
    <row r="396" spans="9:10" x14ac:dyDescent="0.45">
      <c r="I396" s="42"/>
      <c r="J396" s="42"/>
    </row>
    <row r="397" spans="9:10" x14ac:dyDescent="0.45">
      <c r="I397" s="42"/>
      <c r="J397" s="42"/>
    </row>
    <row r="398" spans="9:10" x14ac:dyDescent="0.45">
      <c r="I398" s="42"/>
      <c r="J398" s="42"/>
    </row>
    <row r="399" spans="9:10" x14ac:dyDescent="0.45">
      <c r="I399" s="42"/>
      <c r="J399" s="42"/>
    </row>
    <row r="400" spans="9:10" x14ac:dyDescent="0.45">
      <c r="I400" s="42"/>
      <c r="J400" s="42"/>
    </row>
    <row r="401" spans="9:10" x14ac:dyDescent="0.45">
      <c r="I401" s="42"/>
      <c r="J401" s="42"/>
    </row>
    <row r="402" spans="9:10" x14ac:dyDescent="0.45">
      <c r="I402" s="42"/>
      <c r="J402" s="42"/>
    </row>
    <row r="403" spans="9:10" x14ac:dyDescent="0.45">
      <c r="I403" s="42"/>
      <c r="J403" s="42"/>
    </row>
    <row r="404" spans="9:10" x14ac:dyDescent="0.45">
      <c r="I404" s="42"/>
      <c r="J404" s="42"/>
    </row>
    <row r="405" spans="9:10" x14ac:dyDescent="0.45">
      <c r="I405" s="42"/>
      <c r="J405" s="42"/>
    </row>
    <row r="406" spans="9:10" x14ac:dyDescent="0.45">
      <c r="I406" s="42"/>
      <c r="J406" s="42"/>
    </row>
    <row r="407" spans="9:10" x14ac:dyDescent="0.45">
      <c r="I407" s="42"/>
      <c r="J407" s="42"/>
    </row>
    <row r="408" spans="9:10" x14ac:dyDescent="0.45">
      <c r="I408" s="42"/>
      <c r="J408" s="42"/>
    </row>
    <row r="409" spans="9:10" x14ac:dyDescent="0.45">
      <c r="I409" s="42"/>
      <c r="J409" s="42"/>
    </row>
    <row r="410" spans="9:10" x14ac:dyDescent="0.45">
      <c r="I410" s="42"/>
      <c r="J410" s="42"/>
    </row>
    <row r="411" spans="9:10" x14ac:dyDescent="0.45">
      <c r="I411" s="42"/>
      <c r="J411" s="42"/>
    </row>
    <row r="412" spans="9:10" x14ac:dyDescent="0.45">
      <c r="I412" s="42"/>
      <c r="J412" s="42"/>
    </row>
    <row r="413" spans="9:10" x14ac:dyDescent="0.45">
      <c r="I413" s="42"/>
      <c r="J413" s="42"/>
    </row>
    <row r="414" spans="9:10" x14ac:dyDescent="0.45">
      <c r="I414" s="42"/>
      <c r="J414" s="42"/>
    </row>
    <row r="415" spans="9:10" x14ac:dyDescent="0.45">
      <c r="I415" s="42"/>
      <c r="J415" s="42"/>
    </row>
    <row r="416" spans="9:10" x14ac:dyDescent="0.45">
      <c r="I416" s="42"/>
      <c r="J416" s="42"/>
    </row>
    <row r="417" spans="9:10" x14ac:dyDescent="0.45">
      <c r="I417" s="42"/>
      <c r="J417" s="42"/>
    </row>
    <row r="418" spans="9:10" x14ac:dyDescent="0.45">
      <c r="I418" s="42"/>
      <c r="J418" s="42"/>
    </row>
    <row r="419" spans="9:10" x14ac:dyDescent="0.45">
      <c r="I419" s="42"/>
      <c r="J419" s="42"/>
    </row>
    <row r="420" spans="9:10" x14ac:dyDescent="0.45">
      <c r="I420" s="42"/>
      <c r="J420" s="42"/>
    </row>
    <row r="421" spans="9:10" x14ac:dyDescent="0.45">
      <c r="I421" s="42"/>
      <c r="J421" s="42"/>
    </row>
    <row r="422" spans="9:10" x14ac:dyDescent="0.45">
      <c r="I422" s="42"/>
      <c r="J422" s="42"/>
    </row>
    <row r="423" spans="9:10" x14ac:dyDescent="0.45">
      <c r="I423" s="42"/>
      <c r="J423" s="42"/>
    </row>
    <row r="424" spans="9:10" x14ac:dyDescent="0.45">
      <c r="I424" s="42"/>
      <c r="J424" s="42"/>
    </row>
    <row r="425" spans="9:10" x14ac:dyDescent="0.45">
      <c r="I425" s="42"/>
      <c r="J425" s="42"/>
    </row>
    <row r="426" spans="9:10" x14ac:dyDescent="0.45">
      <c r="I426" s="42"/>
      <c r="J426" s="42"/>
    </row>
    <row r="427" spans="9:10" x14ac:dyDescent="0.45">
      <c r="I427" s="42"/>
      <c r="J427" s="42"/>
    </row>
    <row r="428" spans="9:10" x14ac:dyDescent="0.45">
      <c r="I428" s="42"/>
      <c r="J428" s="42"/>
    </row>
    <row r="429" spans="9:10" x14ac:dyDescent="0.45">
      <c r="I429" s="42"/>
      <c r="J429" s="42"/>
    </row>
    <row r="430" spans="9:10" x14ac:dyDescent="0.45">
      <c r="I430" s="42"/>
      <c r="J430" s="42"/>
    </row>
    <row r="431" spans="9:10" x14ac:dyDescent="0.45">
      <c r="I431" s="42"/>
      <c r="J431" s="42"/>
    </row>
    <row r="432" spans="9:10" x14ac:dyDescent="0.45">
      <c r="I432" s="42"/>
      <c r="J432" s="42"/>
    </row>
    <row r="433" spans="9:10" x14ac:dyDescent="0.45">
      <c r="I433" s="42"/>
      <c r="J433" s="42"/>
    </row>
    <row r="434" spans="9:10" x14ac:dyDescent="0.45">
      <c r="I434" s="42"/>
      <c r="J434" s="42"/>
    </row>
    <row r="435" spans="9:10" x14ac:dyDescent="0.45">
      <c r="I435" s="42"/>
      <c r="J435" s="42"/>
    </row>
    <row r="436" spans="9:10" x14ac:dyDescent="0.45">
      <c r="I436" s="42"/>
      <c r="J436" s="42"/>
    </row>
    <row r="437" spans="9:10" x14ac:dyDescent="0.45">
      <c r="I437" s="42"/>
      <c r="J437" s="42"/>
    </row>
    <row r="438" spans="9:10" x14ac:dyDescent="0.45">
      <c r="I438" s="42"/>
      <c r="J438" s="42"/>
    </row>
    <row r="439" spans="9:10" x14ac:dyDescent="0.45">
      <c r="I439" s="42"/>
      <c r="J439" s="42"/>
    </row>
    <row r="440" spans="9:10" x14ac:dyDescent="0.45">
      <c r="I440" s="42"/>
      <c r="J440" s="42"/>
    </row>
    <row r="441" spans="9:10" x14ac:dyDescent="0.45">
      <c r="I441" s="42"/>
      <c r="J441" s="42"/>
    </row>
    <row r="442" spans="9:10" x14ac:dyDescent="0.45">
      <c r="I442" s="42"/>
      <c r="J442" s="42"/>
    </row>
    <row r="443" spans="9:10" x14ac:dyDescent="0.45">
      <c r="I443" s="42"/>
      <c r="J443" s="42"/>
    </row>
    <row r="444" spans="9:10" x14ac:dyDescent="0.45">
      <c r="I444" s="42"/>
      <c r="J444" s="42"/>
    </row>
    <row r="445" spans="9:10" x14ac:dyDescent="0.45">
      <c r="I445" s="42"/>
      <c r="J445" s="42"/>
    </row>
    <row r="446" spans="9:10" x14ac:dyDescent="0.45">
      <c r="I446" s="42"/>
      <c r="J446" s="42"/>
    </row>
    <row r="447" spans="9:10" x14ac:dyDescent="0.45">
      <c r="I447" s="42"/>
      <c r="J447" s="42"/>
    </row>
    <row r="448" spans="9:10" x14ac:dyDescent="0.45">
      <c r="I448" s="42"/>
      <c r="J448" s="42"/>
    </row>
    <row r="449" spans="9:10" x14ac:dyDescent="0.45">
      <c r="I449" s="42"/>
      <c r="J449" s="42"/>
    </row>
    <row r="450" spans="9:10" x14ac:dyDescent="0.45">
      <c r="I450" s="42"/>
      <c r="J450" s="42"/>
    </row>
    <row r="451" spans="9:10" x14ac:dyDescent="0.45">
      <c r="I451" s="42"/>
      <c r="J451" s="42"/>
    </row>
    <row r="452" spans="9:10" x14ac:dyDescent="0.45">
      <c r="I452" s="42"/>
      <c r="J452" s="42"/>
    </row>
    <row r="453" spans="9:10" x14ac:dyDescent="0.45">
      <c r="I453" s="42"/>
      <c r="J453" s="42"/>
    </row>
    <row r="454" spans="9:10" x14ac:dyDescent="0.45">
      <c r="I454" s="42"/>
      <c r="J454" s="42"/>
    </row>
    <row r="455" spans="9:10" x14ac:dyDescent="0.45">
      <c r="I455" s="42"/>
      <c r="J455" s="42"/>
    </row>
    <row r="456" spans="9:10" x14ac:dyDescent="0.45">
      <c r="I456" s="42"/>
      <c r="J456" s="42"/>
    </row>
    <row r="457" spans="9:10" x14ac:dyDescent="0.45">
      <c r="I457" s="42"/>
      <c r="J457" s="42"/>
    </row>
    <row r="458" spans="9:10" x14ac:dyDescent="0.45">
      <c r="I458" s="42"/>
      <c r="J458" s="42"/>
    </row>
    <row r="459" spans="9:10" x14ac:dyDescent="0.45">
      <c r="I459" s="42"/>
      <c r="J459" s="42"/>
    </row>
    <row r="460" spans="9:10" x14ac:dyDescent="0.45">
      <c r="I460" s="42"/>
      <c r="J460" s="42"/>
    </row>
    <row r="461" spans="9:10" x14ac:dyDescent="0.45">
      <c r="I461" s="42"/>
      <c r="J461" s="42"/>
    </row>
    <row r="462" spans="9:10" x14ac:dyDescent="0.45">
      <c r="I462" s="42"/>
      <c r="J462" s="42"/>
    </row>
    <row r="463" spans="9:10" x14ac:dyDescent="0.45">
      <c r="I463" s="42"/>
      <c r="J463" s="42"/>
    </row>
    <row r="464" spans="9:10" x14ac:dyDescent="0.45">
      <c r="I464" s="42"/>
      <c r="J464" s="42"/>
    </row>
    <row r="465" spans="9:10" x14ac:dyDescent="0.45">
      <c r="I465" s="42"/>
      <c r="J465" s="42"/>
    </row>
    <row r="466" spans="9:10" x14ac:dyDescent="0.45">
      <c r="I466" s="42"/>
      <c r="J466" s="42"/>
    </row>
    <row r="467" spans="9:10" x14ac:dyDescent="0.45">
      <c r="I467" s="42"/>
      <c r="J467" s="42"/>
    </row>
    <row r="468" spans="9:10" x14ac:dyDescent="0.45">
      <c r="I468" s="42"/>
      <c r="J468" s="42"/>
    </row>
    <row r="469" spans="9:10" x14ac:dyDescent="0.45">
      <c r="I469" s="42"/>
      <c r="J469" s="42"/>
    </row>
    <row r="470" spans="9:10" x14ac:dyDescent="0.45">
      <c r="I470" s="42"/>
      <c r="J470" s="42"/>
    </row>
    <row r="471" spans="9:10" x14ac:dyDescent="0.45">
      <c r="I471" s="42"/>
      <c r="J471" s="42"/>
    </row>
    <row r="472" spans="9:10" x14ac:dyDescent="0.45">
      <c r="I472" s="42"/>
      <c r="J472" s="42"/>
    </row>
    <row r="473" spans="9:10" x14ac:dyDescent="0.45">
      <c r="I473" s="42"/>
      <c r="J473" s="42"/>
    </row>
    <row r="474" spans="9:10" x14ac:dyDescent="0.45">
      <c r="I474" s="42"/>
      <c r="J474" s="42"/>
    </row>
    <row r="475" spans="9:10" x14ac:dyDescent="0.45">
      <c r="I475" s="42"/>
      <c r="J475" s="42"/>
    </row>
    <row r="476" spans="9:10" x14ac:dyDescent="0.45">
      <c r="I476" s="42"/>
      <c r="J476" s="42"/>
    </row>
    <row r="477" spans="9:10" x14ac:dyDescent="0.45">
      <c r="I477" s="42"/>
      <c r="J477" s="42"/>
    </row>
    <row r="478" spans="9:10" x14ac:dyDescent="0.45">
      <c r="I478" s="42"/>
      <c r="J478" s="42"/>
    </row>
    <row r="479" spans="9:10" x14ac:dyDescent="0.45">
      <c r="I479" s="42"/>
      <c r="J479" s="42"/>
    </row>
    <row r="480" spans="9:10" x14ac:dyDescent="0.45">
      <c r="I480" s="42"/>
      <c r="J480" s="42"/>
    </row>
    <row r="481" spans="9:10" x14ac:dyDescent="0.45">
      <c r="I481" s="42"/>
      <c r="J481" s="42"/>
    </row>
    <row r="482" spans="9:10" x14ac:dyDescent="0.45">
      <c r="I482" s="42"/>
      <c r="J482" s="42"/>
    </row>
    <row r="483" spans="9:10" x14ac:dyDescent="0.45">
      <c r="I483" s="42"/>
      <c r="J483" s="42"/>
    </row>
    <row r="484" spans="9:10" x14ac:dyDescent="0.45">
      <c r="I484" s="42"/>
      <c r="J484" s="42"/>
    </row>
    <row r="485" spans="9:10" x14ac:dyDescent="0.45">
      <c r="I485" s="42"/>
      <c r="J485" s="42"/>
    </row>
    <row r="486" spans="9:10" x14ac:dyDescent="0.45">
      <c r="I486" s="42"/>
      <c r="J486" s="42"/>
    </row>
    <row r="487" spans="9:10" x14ac:dyDescent="0.45">
      <c r="I487" s="42"/>
      <c r="J487" s="42"/>
    </row>
    <row r="488" spans="9:10" x14ac:dyDescent="0.45">
      <c r="I488" s="42"/>
      <c r="J488" s="42"/>
    </row>
    <row r="489" spans="9:10" x14ac:dyDescent="0.45">
      <c r="I489" s="42"/>
      <c r="J489" s="42"/>
    </row>
    <row r="490" spans="9:10" x14ac:dyDescent="0.45">
      <c r="I490" s="42"/>
      <c r="J490" s="42"/>
    </row>
    <row r="491" spans="9:10" x14ac:dyDescent="0.45">
      <c r="I491" s="42"/>
      <c r="J491" s="42"/>
    </row>
    <row r="492" spans="9:10" x14ac:dyDescent="0.45">
      <c r="I492" s="42"/>
      <c r="J492" s="42"/>
    </row>
    <row r="493" spans="9:10" x14ac:dyDescent="0.45">
      <c r="I493" s="42"/>
      <c r="J493" s="42"/>
    </row>
    <row r="494" spans="9:10" x14ac:dyDescent="0.45">
      <c r="I494" s="42"/>
      <c r="J494" s="42"/>
    </row>
    <row r="495" spans="9:10" x14ac:dyDescent="0.45">
      <c r="I495" s="42"/>
      <c r="J495" s="42"/>
    </row>
    <row r="496" spans="9:10" x14ac:dyDescent="0.45">
      <c r="I496" s="42"/>
      <c r="J496" s="42"/>
    </row>
    <row r="497" spans="9:10" x14ac:dyDescent="0.45">
      <c r="I497" s="42"/>
      <c r="J497" s="42"/>
    </row>
    <row r="498" spans="9:10" x14ac:dyDescent="0.45">
      <c r="I498" s="42"/>
      <c r="J498" s="42"/>
    </row>
    <row r="499" spans="9:10" x14ac:dyDescent="0.45">
      <c r="I499" s="42"/>
      <c r="J499" s="42"/>
    </row>
    <row r="500" spans="9:10" x14ac:dyDescent="0.45">
      <c r="I500" s="42"/>
      <c r="J500" s="42"/>
    </row>
    <row r="501" spans="9:10" x14ac:dyDescent="0.45">
      <c r="I501" s="42"/>
      <c r="J501" s="42"/>
    </row>
    <row r="502" spans="9:10" x14ac:dyDescent="0.45">
      <c r="I502" s="42"/>
      <c r="J502" s="42"/>
    </row>
    <row r="503" spans="9:10" x14ac:dyDescent="0.45">
      <c r="I503" s="42"/>
      <c r="J503" s="42"/>
    </row>
    <row r="504" spans="9:10" x14ac:dyDescent="0.45">
      <c r="I504" s="42"/>
      <c r="J504" s="42"/>
    </row>
    <row r="505" spans="9:10" x14ac:dyDescent="0.45">
      <c r="I505" s="42"/>
      <c r="J505" s="42"/>
    </row>
    <row r="506" spans="9:10" x14ac:dyDescent="0.45">
      <c r="I506" s="42"/>
      <c r="J506" s="42"/>
    </row>
    <row r="507" spans="9:10" x14ac:dyDescent="0.45">
      <c r="I507" s="42"/>
      <c r="J507" s="42"/>
    </row>
    <row r="508" spans="9:10" x14ac:dyDescent="0.45">
      <c r="I508" s="42"/>
      <c r="J508" s="42"/>
    </row>
    <row r="509" spans="9:10" x14ac:dyDescent="0.45">
      <c r="I509" s="42"/>
      <c r="J509" s="42"/>
    </row>
    <row r="510" spans="9:10" x14ac:dyDescent="0.45">
      <c r="I510" s="42"/>
      <c r="J510" s="42"/>
    </row>
    <row r="511" spans="9:10" x14ac:dyDescent="0.45">
      <c r="I511" s="42"/>
      <c r="J511" s="42"/>
    </row>
    <row r="512" spans="9:10" x14ac:dyDescent="0.45">
      <c r="I512" s="42"/>
      <c r="J512" s="42"/>
    </row>
    <row r="513" spans="9:10" x14ac:dyDescent="0.45">
      <c r="I513" s="42"/>
      <c r="J513" s="42"/>
    </row>
    <row r="514" spans="9:10" x14ac:dyDescent="0.45">
      <c r="I514" s="42"/>
      <c r="J514" s="42"/>
    </row>
    <row r="515" spans="9:10" x14ac:dyDescent="0.45">
      <c r="I515" s="42"/>
      <c r="J515" s="42"/>
    </row>
    <row r="516" spans="9:10" x14ac:dyDescent="0.45">
      <c r="I516" s="42"/>
      <c r="J516" s="42"/>
    </row>
    <row r="517" spans="9:10" x14ac:dyDescent="0.45">
      <c r="I517" s="42"/>
      <c r="J517" s="42"/>
    </row>
    <row r="518" spans="9:10" x14ac:dyDescent="0.45">
      <c r="I518" s="42"/>
      <c r="J518" s="42"/>
    </row>
    <row r="519" spans="9:10" x14ac:dyDescent="0.45">
      <c r="I519" s="42"/>
      <c r="J519" s="42"/>
    </row>
    <row r="520" spans="9:10" x14ac:dyDescent="0.45">
      <c r="I520" s="42"/>
      <c r="J520" s="42"/>
    </row>
    <row r="521" spans="9:10" x14ac:dyDescent="0.45">
      <c r="I521" s="42"/>
      <c r="J521" s="42"/>
    </row>
    <row r="522" spans="9:10" x14ac:dyDescent="0.45">
      <c r="I522" s="42"/>
      <c r="J522" s="42"/>
    </row>
    <row r="523" spans="9:10" x14ac:dyDescent="0.45">
      <c r="I523" s="42"/>
      <c r="J523" s="42"/>
    </row>
    <row r="524" spans="9:10" x14ac:dyDescent="0.45">
      <c r="I524" s="42"/>
      <c r="J524" s="42"/>
    </row>
    <row r="525" spans="9:10" x14ac:dyDescent="0.45">
      <c r="I525" s="42"/>
      <c r="J525" s="42"/>
    </row>
    <row r="526" spans="9:10" x14ac:dyDescent="0.45">
      <c r="I526" s="42"/>
      <c r="J526" s="42"/>
    </row>
    <row r="527" spans="9:10" x14ac:dyDescent="0.45">
      <c r="I527" s="42"/>
      <c r="J527" s="42"/>
    </row>
    <row r="528" spans="9:10" x14ac:dyDescent="0.45">
      <c r="I528" s="42"/>
      <c r="J528" s="42"/>
    </row>
    <row r="529" spans="9:10" x14ac:dyDescent="0.45">
      <c r="I529" s="42"/>
      <c r="J529" s="42"/>
    </row>
    <row r="530" spans="9:10" x14ac:dyDescent="0.45">
      <c r="I530" s="42"/>
      <c r="J530" s="42"/>
    </row>
    <row r="531" spans="9:10" x14ac:dyDescent="0.45">
      <c r="I531" s="42"/>
      <c r="J531" s="42"/>
    </row>
    <row r="532" spans="9:10" x14ac:dyDescent="0.45">
      <c r="I532" s="42"/>
      <c r="J532" s="42"/>
    </row>
    <row r="533" spans="9:10" x14ac:dyDescent="0.45">
      <c r="I533" s="42"/>
      <c r="J533" s="42"/>
    </row>
    <row r="534" spans="9:10" x14ac:dyDescent="0.45">
      <c r="I534" s="42"/>
      <c r="J534" s="42"/>
    </row>
    <row r="535" spans="9:10" x14ac:dyDescent="0.45">
      <c r="I535" s="42"/>
      <c r="J535" s="42"/>
    </row>
    <row r="536" spans="9:10" x14ac:dyDescent="0.45">
      <c r="I536" s="42"/>
      <c r="J536" s="42"/>
    </row>
    <row r="537" spans="9:10" x14ac:dyDescent="0.45">
      <c r="I537" s="42"/>
      <c r="J537" s="42"/>
    </row>
    <row r="538" spans="9:10" x14ac:dyDescent="0.45">
      <c r="I538" s="42"/>
      <c r="J538" s="42"/>
    </row>
    <row r="539" spans="9:10" x14ac:dyDescent="0.45">
      <c r="I539" s="42"/>
      <c r="J539" s="42"/>
    </row>
    <row r="540" spans="9:10" x14ac:dyDescent="0.45">
      <c r="I540" s="42"/>
      <c r="J540" s="42"/>
    </row>
    <row r="541" spans="9:10" x14ac:dyDescent="0.45">
      <c r="I541" s="42"/>
      <c r="J541" s="42"/>
    </row>
    <row r="542" spans="9:10" x14ac:dyDescent="0.45">
      <c r="I542" s="42"/>
      <c r="J542" s="42"/>
    </row>
    <row r="543" spans="9:10" x14ac:dyDescent="0.45">
      <c r="I543" s="42"/>
      <c r="J543" s="42"/>
    </row>
    <row r="544" spans="9:10" x14ac:dyDescent="0.45">
      <c r="I544" s="42"/>
      <c r="J544" s="42"/>
    </row>
    <row r="545" spans="9:10" x14ac:dyDescent="0.45">
      <c r="I545" s="42"/>
      <c r="J545" s="42"/>
    </row>
    <row r="546" spans="9:10" x14ac:dyDescent="0.45">
      <c r="I546" s="42"/>
      <c r="J546" s="42"/>
    </row>
    <row r="547" spans="9:10" x14ac:dyDescent="0.45">
      <c r="I547" s="42"/>
      <c r="J547" s="42"/>
    </row>
    <row r="548" spans="9:10" x14ac:dyDescent="0.45">
      <c r="I548" s="42"/>
      <c r="J548" s="42"/>
    </row>
    <row r="549" spans="9:10" x14ac:dyDescent="0.45">
      <c r="I549" s="42"/>
      <c r="J549" s="42"/>
    </row>
    <row r="550" spans="9:10" x14ac:dyDescent="0.45">
      <c r="I550" s="42"/>
      <c r="J550" s="42"/>
    </row>
    <row r="551" spans="9:10" x14ac:dyDescent="0.45">
      <c r="I551" s="42"/>
      <c r="J551" s="42"/>
    </row>
    <row r="552" spans="9:10" x14ac:dyDescent="0.45">
      <c r="I552" s="42"/>
      <c r="J552" s="42"/>
    </row>
    <row r="553" spans="9:10" x14ac:dyDescent="0.45">
      <c r="I553" s="42"/>
      <c r="J553" s="42"/>
    </row>
    <row r="554" spans="9:10" x14ac:dyDescent="0.45">
      <c r="I554" s="42"/>
      <c r="J554" s="42"/>
    </row>
    <row r="555" spans="9:10" x14ac:dyDescent="0.45">
      <c r="I555" s="42"/>
      <c r="J555" s="42"/>
    </row>
    <row r="556" spans="9:10" x14ac:dyDescent="0.45">
      <c r="I556" s="42"/>
      <c r="J556" s="42"/>
    </row>
    <row r="557" spans="9:10" x14ac:dyDescent="0.45">
      <c r="I557" s="42"/>
      <c r="J557" s="42"/>
    </row>
    <row r="558" spans="9:10" x14ac:dyDescent="0.45">
      <c r="I558" s="42"/>
      <c r="J558" s="42"/>
    </row>
    <row r="559" spans="9:10" x14ac:dyDescent="0.45">
      <c r="I559" s="42"/>
      <c r="J559" s="42"/>
    </row>
    <row r="560" spans="9:10" x14ac:dyDescent="0.45">
      <c r="I560" s="42"/>
      <c r="J560" s="42"/>
    </row>
    <row r="561" spans="9:10" x14ac:dyDescent="0.45">
      <c r="I561" s="42"/>
      <c r="J561" s="42"/>
    </row>
    <row r="562" spans="9:10" x14ac:dyDescent="0.45">
      <c r="I562" s="42"/>
      <c r="J562" s="42"/>
    </row>
    <row r="563" spans="9:10" x14ac:dyDescent="0.45">
      <c r="I563" s="42"/>
      <c r="J563" s="42"/>
    </row>
    <row r="564" spans="9:10" x14ac:dyDescent="0.45">
      <c r="I564" s="42"/>
      <c r="J564" s="42"/>
    </row>
    <row r="565" spans="9:10" x14ac:dyDescent="0.45">
      <c r="I565" s="42"/>
      <c r="J565" s="42"/>
    </row>
    <row r="566" spans="9:10" x14ac:dyDescent="0.45">
      <c r="I566" s="42"/>
      <c r="J566" s="42"/>
    </row>
    <row r="567" spans="9:10" x14ac:dyDescent="0.45">
      <c r="I567" s="42"/>
      <c r="J567" s="42"/>
    </row>
    <row r="568" spans="9:10" x14ac:dyDescent="0.45">
      <c r="I568" s="42"/>
      <c r="J568" s="42"/>
    </row>
    <row r="569" spans="9:10" x14ac:dyDescent="0.45">
      <c r="I569" s="42"/>
      <c r="J569" s="42"/>
    </row>
    <row r="570" spans="9:10" x14ac:dyDescent="0.45">
      <c r="I570" s="42"/>
      <c r="J570" s="42"/>
    </row>
    <row r="571" spans="9:10" x14ac:dyDescent="0.45">
      <c r="I571" s="42"/>
      <c r="J571" s="42"/>
    </row>
    <row r="572" spans="9:10" x14ac:dyDescent="0.45">
      <c r="I572" s="42"/>
      <c r="J572" s="42"/>
    </row>
    <row r="573" spans="9:10" x14ac:dyDescent="0.45">
      <c r="I573" s="42"/>
      <c r="J573" s="42"/>
    </row>
    <row r="574" spans="9:10" x14ac:dyDescent="0.45">
      <c r="I574" s="42"/>
      <c r="J574" s="42"/>
    </row>
    <row r="575" spans="9:10" x14ac:dyDescent="0.45">
      <c r="I575" s="42"/>
      <c r="J575" s="42"/>
    </row>
    <row r="576" spans="9:10" x14ac:dyDescent="0.45">
      <c r="I576" s="42"/>
      <c r="J576" s="42"/>
    </row>
    <row r="577" spans="9:10" x14ac:dyDescent="0.45">
      <c r="I577" s="42"/>
      <c r="J577" s="42"/>
    </row>
    <row r="578" spans="9:10" x14ac:dyDescent="0.45">
      <c r="I578" s="42"/>
      <c r="J578" s="42"/>
    </row>
    <row r="579" spans="9:10" x14ac:dyDescent="0.45">
      <c r="I579" s="42"/>
      <c r="J579" s="42"/>
    </row>
    <row r="580" spans="9:10" x14ac:dyDescent="0.45">
      <c r="I580" s="42"/>
      <c r="J580" s="42"/>
    </row>
    <row r="581" spans="9:10" x14ac:dyDescent="0.45">
      <c r="I581" s="42"/>
      <c r="J581" s="42"/>
    </row>
    <row r="582" spans="9:10" x14ac:dyDescent="0.45">
      <c r="I582" s="42"/>
      <c r="J582" s="42"/>
    </row>
    <row r="583" spans="9:10" x14ac:dyDescent="0.45">
      <c r="I583" s="42"/>
      <c r="J583" s="42"/>
    </row>
    <row r="584" spans="9:10" x14ac:dyDescent="0.45">
      <c r="I584" s="42"/>
      <c r="J584" s="42"/>
    </row>
    <row r="585" spans="9:10" x14ac:dyDescent="0.45">
      <c r="I585" s="42"/>
      <c r="J585" s="42"/>
    </row>
    <row r="586" spans="9:10" x14ac:dyDescent="0.45">
      <c r="I586" s="42"/>
      <c r="J586" s="42"/>
    </row>
    <row r="587" spans="9:10" x14ac:dyDescent="0.45">
      <c r="I587" s="42"/>
      <c r="J587" s="42"/>
    </row>
    <row r="588" spans="9:10" x14ac:dyDescent="0.45">
      <c r="I588" s="42"/>
      <c r="J588" s="42"/>
    </row>
    <row r="589" spans="9:10" x14ac:dyDescent="0.45">
      <c r="I589" s="42"/>
      <c r="J589" s="42"/>
    </row>
    <row r="590" spans="9:10" x14ac:dyDescent="0.45">
      <c r="I590" s="42"/>
      <c r="J590" s="42"/>
    </row>
    <row r="591" spans="9:10" x14ac:dyDescent="0.45">
      <c r="I591" s="42"/>
      <c r="J591" s="42"/>
    </row>
    <row r="592" spans="9:10" x14ac:dyDescent="0.45">
      <c r="I592" s="42"/>
      <c r="J592" s="42"/>
    </row>
    <row r="593" spans="9:10" x14ac:dyDescent="0.45">
      <c r="I593" s="42"/>
      <c r="J593" s="42"/>
    </row>
    <row r="594" spans="9:10" x14ac:dyDescent="0.45">
      <c r="I594" s="42"/>
      <c r="J594" s="42"/>
    </row>
    <row r="595" spans="9:10" x14ac:dyDescent="0.45">
      <c r="I595" s="42"/>
      <c r="J595" s="42"/>
    </row>
    <row r="596" spans="9:10" x14ac:dyDescent="0.45">
      <c r="I596" s="42"/>
      <c r="J596" s="42"/>
    </row>
    <row r="597" spans="9:10" x14ac:dyDescent="0.45">
      <c r="I597" s="42"/>
      <c r="J597" s="42"/>
    </row>
    <row r="598" spans="9:10" x14ac:dyDescent="0.45">
      <c r="I598" s="42"/>
      <c r="J598" s="42"/>
    </row>
    <row r="599" spans="9:10" x14ac:dyDescent="0.45">
      <c r="I599" s="42"/>
      <c r="J599" s="42"/>
    </row>
    <row r="600" spans="9:10" x14ac:dyDescent="0.45">
      <c r="I600" s="42"/>
      <c r="J600" s="42"/>
    </row>
    <row r="601" spans="9:10" x14ac:dyDescent="0.45">
      <c r="I601" s="42"/>
      <c r="J601" s="42"/>
    </row>
    <row r="602" spans="9:10" x14ac:dyDescent="0.45">
      <c r="I602" s="42"/>
      <c r="J602" s="42"/>
    </row>
    <row r="603" spans="9:10" x14ac:dyDescent="0.45">
      <c r="I603" s="42"/>
      <c r="J603" s="42"/>
    </row>
    <row r="604" spans="9:10" x14ac:dyDescent="0.45">
      <c r="I604" s="42"/>
      <c r="J604" s="42"/>
    </row>
    <row r="605" spans="9:10" x14ac:dyDescent="0.45">
      <c r="I605" s="42"/>
      <c r="J605" s="42"/>
    </row>
    <row r="606" spans="9:10" x14ac:dyDescent="0.45">
      <c r="I606" s="42"/>
      <c r="J606" s="42"/>
    </row>
    <row r="607" spans="9:10" x14ac:dyDescent="0.45">
      <c r="I607" s="42"/>
      <c r="J607" s="42"/>
    </row>
    <row r="608" spans="9:10" x14ac:dyDescent="0.45">
      <c r="I608" s="42"/>
      <c r="J608" s="42"/>
    </row>
    <row r="609" spans="9:10" x14ac:dyDescent="0.45">
      <c r="I609" s="42"/>
      <c r="J609" s="42"/>
    </row>
    <row r="610" spans="9:10" x14ac:dyDescent="0.45">
      <c r="I610" s="42"/>
      <c r="J610" s="42"/>
    </row>
    <row r="611" spans="9:10" x14ac:dyDescent="0.45">
      <c r="I611" s="42"/>
      <c r="J611" s="42"/>
    </row>
    <row r="612" spans="9:10" x14ac:dyDescent="0.45">
      <c r="I612" s="42"/>
      <c r="J612" s="42"/>
    </row>
    <row r="613" spans="9:10" x14ac:dyDescent="0.45">
      <c r="I613" s="42"/>
      <c r="J613" s="42"/>
    </row>
    <row r="614" spans="9:10" x14ac:dyDescent="0.45">
      <c r="I614" s="42"/>
      <c r="J614" s="42"/>
    </row>
    <row r="615" spans="9:10" x14ac:dyDescent="0.45">
      <c r="I615" s="42"/>
      <c r="J615" s="42"/>
    </row>
    <row r="616" spans="9:10" x14ac:dyDescent="0.45">
      <c r="I616" s="42"/>
      <c r="J616" s="42"/>
    </row>
    <row r="617" spans="9:10" x14ac:dyDescent="0.45">
      <c r="I617" s="42"/>
      <c r="J617" s="42"/>
    </row>
    <row r="618" spans="9:10" x14ac:dyDescent="0.45">
      <c r="I618" s="42"/>
      <c r="J618" s="42"/>
    </row>
    <row r="619" spans="9:10" x14ac:dyDescent="0.45">
      <c r="I619" s="42"/>
      <c r="J619" s="42"/>
    </row>
    <row r="620" spans="9:10" x14ac:dyDescent="0.45">
      <c r="I620" s="42"/>
      <c r="J620" s="42"/>
    </row>
    <row r="621" spans="9:10" x14ac:dyDescent="0.45">
      <c r="I621" s="42"/>
      <c r="J621" s="42"/>
    </row>
    <row r="622" spans="9:10" x14ac:dyDescent="0.45">
      <c r="I622" s="42"/>
      <c r="J622" s="42"/>
    </row>
    <row r="623" spans="9:10" x14ac:dyDescent="0.45">
      <c r="I623" s="42"/>
      <c r="J623" s="42"/>
    </row>
    <row r="624" spans="9:10" x14ac:dyDescent="0.45">
      <c r="I624" s="42"/>
      <c r="J624" s="42"/>
    </row>
    <row r="625" spans="9:10" x14ac:dyDescent="0.45">
      <c r="I625" s="42"/>
      <c r="J625" s="42"/>
    </row>
    <row r="626" spans="9:10" x14ac:dyDescent="0.45">
      <c r="I626" s="42"/>
      <c r="J626" s="42"/>
    </row>
    <row r="627" spans="9:10" x14ac:dyDescent="0.45">
      <c r="I627" s="42"/>
      <c r="J627" s="42"/>
    </row>
    <row r="628" spans="9:10" x14ac:dyDescent="0.45">
      <c r="I628" s="42"/>
      <c r="J628" s="42"/>
    </row>
    <row r="629" spans="9:10" x14ac:dyDescent="0.45">
      <c r="I629" s="42"/>
      <c r="J629" s="42"/>
    </row>
    <row r="630" spans="9:10" x14ac:dyDescent="0.45">
      <c r="I630" s="42"/>
      <c r="J630" s="42"/>
    </row>
    <row r="631" spans="9:10" x14ac:dyDescent="0.45">
      <c r="I631" s="42"/>
      <c r="J631" s="42"/>
    </row>
    <row r="632" spans="9:10" x14ac:dyDescent="0.45">
      <c r="I632" s="42"/>
      <c r="J632" s="42"/>
    </row>
    <row r="633" spans="9:10" x14ac:dyDescent="0.45">
      <c r="I633" s="42"/>
      <c r="J633" s="42"/>
    </row>
    <row r="634" spans="9:10" x14ac:dyDescent="0.45">
      <c r="I634" s="42"/>
      <c r="J634" s="42"/>
    </row>
    <row r="635" spans="9:10" x14ac:dyDescent="0.45">
      <c r="I635" s="42"/>
      <c r="J635" s="42"/>
    </row>
    <row r="636" spans="9:10" x14ac:dyDescent="0.45">
      <c r="I636" s="42"/>
      <c r="J636" s="42"/>
    </row>
    <row r="637" spans="9:10" x14ac:dyDescent="0.45">
      <c r="I637" s="42"/>
      <c r="J637" s="42"/>
    </row>
    <row r="638" spans="9:10" x14ac:dyDescent="0.45">
      <c r="I638" s="42"/>
      <c r="J638" s="42"/>
    </row>
    <row r="639" spans="9:10" x14ac:dyDescent="0.45">
      <c r="I639" s="42"/>
      <c r="J639" s="42"/>
    </row>
    <row r="640" spans="9:10" x14ac:dyDescent="0.45">
      <c r="I640" s="42"/>
      <c r="J640" s="42"/>
    </row>
    <row r="641" spans="9:10" x14ac:dyDescent="0.45">
      <c r="I641" s="42"/>
      <c r="J641" s="42"/>
    </row>
    <row r="642" spans="9:10" x14ac:dyDescent="0.45">
      <c r="I642" s="42"/>
      <c r="J642" s="42"/>
    </row>
    <row r="643" spans="9:10" x14ac:dyDescent="0.45">
      <c r="I643" s="42"/>
      <c r="J643" s="42"/>
    </row>
    <row r="644" spans="9:10" x14ac:dyDescent="0.45">
      <c r="I644" s="42"/>
      <c r="J644" s="42"/>
    </row>
    <row r="645" spans="9:10" x14ac:dyDescent="0.45">
      <c r="I645" s="42"/>
      <c r="J645" s="42"/>
    </row>
    <row r="646" spans="9:10" x14ac:dyDescent="0.45">
      <c r="I646" s="42"/>
      <c r="J646" s="42"/>
    </row>
    <row r="647" spans="9:10" x14ac:dyDescent="0.45">
      <c r="I647" s="42"/>
      <c r="J647" s="42"/>
    </row>
    <row r="648" spans="9:10" x14ac:dyDescent="0.45">
      <c r="I648" s="42"/>
      <c r="J648" s="42"/>
    </row>
    <row r="649" spans="9:10" x14ac:dyDescent="0.45">
      <c r="I649" s="42"/>
      <c r="J649" s="42"/>
    </row>
    <row r="650" spans="9:10" x14ac:dyDescent="0.45">
      <c r="I650" s="42"/>
      <c r="J650" s="42"/>
    </row>
    <row r="651" spans="9:10" x14ac:dyDescent="0.45">
      <c r="I651" s="42"/>
      <c r="J651" s="42"/>
    </row>
    <row r="652" spans="9:10" x14ac:dyDescent="0.45">
      <c r="I652" s="42"/>
      <c r="J652" s="42"/>
    </row>
    <row r="653" spans="9:10" x14ac:dyDescent="0.45">
      <c r="I653" s="42"/>
      <c r="J653" s="42"/>
    </row>
    <row r="654" spans="9:10" x14ac:dyDescent="0.45">
      <c r="I654" s="42"/>
      <c r="J654" s="42"/>
    </row>
    <row r="655" spans="9:10" x14ac:dyDescent="0.45">
      <c r="I655" s="42"/>
      <c r="J655" s="42"/>
    </row>
    <row r="656" spans="9:10" x14ac:dyDescent="0.45">
      <c r="I656" s="42"/>
      <c r="J656" s="42"/>
    </row>
    <row r="657" spans="9:10" x14ac:dyDescent="0.45">
      <c r="I657" s="42"/>
      <c r="J657" s="42"/>
    </row>
    <row r="658" spans="9:10" x14ac:dyDescent="0.45">
      <c r="I658" s="42"/>
      <c r="J658" s="42"/>
    </row>
    <row r="659" spans="9:10" x14ac:dyDescent="0.45">
      <c r="I659" s="42"/>
      <c r="J659" s="42"/>
    </row>
    <row r="660" spans="9:10" x14ac:dyDescent="0.45">
      <c r="I660" s="42"/>
      <c r="J660" s="42"/>
    </row>
    <row r="661" spans="9:10" x14ac:dyDescent="0.45">
      <c r="I661" s="42"/>
      <c r="J661" s="42"/>
    </row>
    <row r="662" spans="9:10" x14ac:dyDescent="0.45">
      <c r="I662" s="42"/>
      <c r="J662" s="42"/>
    </row>
    <row r="663" spans="9:10" x14ac:dyDescent="0.45">
      <c r="I663" s="42"/>
      <c r="J663" s="42"/>
    </row>
    <row r="664" spans="9:10" x14ac:dyDescent="0.45">
      <c r="I664" s="42"/>
      <c r="J664" s="42"/>
    </row>
    <row r="665" spans="9:10" x14ac:dyDescent="0.45">
      <c r="I665" s="42"/>
      <c r="J665" s="42"/>
    </row>
    <row r="666" spans="9:10" x14ac:dyDescent="0.45">
      <c r="I666" s="42"/>
      <c r="J666" s="42"/>
    </row>
    <row r="667" spans="9:10" x14ac:dyDescent="0.45">
      <c r="I667" s="42"/>
      <c r="J667" s="42"/>
    </row>
    <row r="668" spans="9:10" x14ac:dyDescent="0.45">
      <c r="I668" s="42"/>
      <c r="J668" s="42"/>
    </row>
    <row r="669" spans="9:10" x14ac:dyDescent="0.45">
      <c r="I669" s="42"/>
      <c r="J669" s="42"/>
    </row>
    <row r="670" spans="9:10" x14ac:dyDescent="0.45">
      <c r="I670" s="42"/>
      <c r="J670" s="42"/>
    </row>
    <row r="671" spans="9:10" x14ac:dyDescent="0.45">
      <c r="I671" s="42"/>
      <c r="J671" s="42"/>
    </row>
    <row r="672" spans="9:10" x14ac:dyDescent="0.45">
      <c r="I672" s="42"/>
      <c r="J672" s="42"/>
    </row>
    <row r="673" spans="9:10" x14ac:dyDescent="0.45">
      <c r="I673" s="42"/>
      <c r="J673" s="42"/>
    </row>
    <row r="674" spans="9:10" x14ac:dyDescent="0.45">
      <c r="I674" s="42"/>
      <c r="J674" s="42"/>
    </row>
    <row r="675" spans="9:10" x14ac:dyDescent="0.45">
      <c r="I675" s="42"/>
      <c r="J675" s="42"/>
    </row>
    <row r="676" spans="9:10" x14ac:dyDescent="0.45">
      <c r="I676" s="42"/>
      <c r="J676" s="42"/>
    </row>
    <row r="677" spans="9:10" x14ac:dyDescent="0.45">
      <c r="I677" s="42"/>
      <c r="J677" s="42"/>
    </row>
    <row r="678" spans="9:10" x14ac:dyDescent="0.45">
      <c r="I678" s="42"/>
      <c r="J678" s="42"/>
    </row>
    <row r="679" spans="9:10" x14ac:dyDescent="0.45">
      <c r="I679" s="42"/>
      <c r="J679" s="42"/>
    </row>
    <row r="680" spans="9:10" x14ac:dyDescent="0.45">
      <c r="I680" s="42"/>
      <c r="J680" s="42"/>
    </row>
    <row r="681" spans="9:10" x14ac:dyDescent="0.45">
      <c r="I681" s="42"/>
      <c r="J681" s="42"/>
    </row>
    <row r="682" spans="9:10" x14ac:dyDescent="0.45">
      <c r="I682" s="42"/>
      <c r="J682" s="42"/>
    </row>
    <row r="683" spans="9:10" x14ac:dyDescent="0.45">
      <c r="I683" s="42"/>
      <c r="J683" s="42"/>
    </row>
    <row r="684" spans="9:10" x14ac:dyDescent="0.45">
      <c r="I684" s="42"/>
      <c r="J684" s="42"/>
    </row>
    <row r="685" spans="9:10" x14ac:dyDescent="0.45">
      <c r="I685" s="42"/>
      <c r="J685" s="42"/>
    </row>
    <row r="686" spans="9:10" x14ac:dyDescent="0.45">
      <c r="I686" s="42"/>
      <c r="J686" s="42"/>
    </row>
    <row r="687" spans="9:10" x14ac:dyDescent="0.45">
      <c r="I687" s="42"/>
      <c r="J687" s="42"/>
    </row>
    <row r="688" spans="9:10" x14ac:dyDescent="0.45">
      <c r="I688" s="42"/>
      <c r="J688" s="42"/>
    </row>
    <row r="689" spans="9:10" x14ac:dyDescent="0.45">
      <c r="I689" s="42"/>
      <c r="J689" s="42"/>
    </row>
    <row r="690" spans="9:10" x14ac:dyDescent="0.45">
      <c r="I690" s="42"/>
      <c r="J690" s="42"/>
    </row>
    <row r="691" spans="9:10" x14ac:dyDescent="0.45">
      <c r="I691" s="42"/>
      <c r="J691" s="42"/>
    </row>
    <row r="692" spans="9:10" x14ac:dyDescent="0.45">
      <c r="I692" s="42"/>
      <c r="J692" s="42"/>
    </row>
    <row r="693" spans="9:10" x14ac:dyDescent="0.45">
      <c r="I693" s="42"/>
      <c r="J693" s="42"/>
    </row>
    <row r="694" spans="9:10" x14ac:dyDescent="0.45">
      <c r="I694" s="42"/>
      <c r="J694" s="42"/>
    </row>
    <row r="695" spans="9:10" x14ac:dyDescent="0.45">
      <c r="I695" s="42"/>
      <c r="J695" s="42"/>
    </row>
    <row r="696" spans="9:10" x14ac:dyDescent="0.45">
      <c r="I696" s="42"/>
      <c r="J696" s="42"/>
    </row>
    <row r="697" spans="9:10" x14ac:dyDescent="0.45">
      <c r="I697" s="42"/>
      <c r="J697" s="42"/>
    </row>
    <row r="698" spans="9:10" x14ac:dyDescent="0.45">
      <c r="I698" s="42"/>
      <c r="J698" s="42"/>
    </row>
    <row r="699" spans="9:10" x14ac:dyDescent="0.45">
      <c r="I699" s="42"/>
      <c r="J699" s="42"/>
    </row>
    <row r="700" spans="9:10" x14ac:dyDescent="0.45">
      <c r="I700" s="42"/>
      <c r="J700" s="42"/>
    </row>
    <row r="701" spans="9:10" x14ac:dyDescent="0.45">
      <c r="I701" s="42"/>
      <c r="J701" s="42"/>
    </row>
    <row r="702" spans="9:10" x14ac:dyDescent="0.45">
      <c r="I702" s="42"/>
      <c r="J702" s="42"/>
    </row>
    <row r="703" spans="9:10" x14ac:dyDescent="0.45">
      <c r="I703" s="42"/>
      <c r="J703" s="42"/>
    </row>
    <row r="704" spans="9:10" x14ac:dyDescent="0.45">
      <c r="I704" s="42"/>
      <c r="J704" s="42"/>
    </row>
    <row r="705" spans="9:10" x14ac:dyDescent="0.45">
      <c r="I705" s="42"/>
      <c r="J705" s="42"/>
    </row>
    <row r="706" spans="9:10" x14ac:dyDescent="0.45">
      <c r="I706" s="42"/>
      <c r="J706" s="42"/>
    </row>
    <row r="707" spans="9:10" x14ac:dyDescent="0.45">
      <c r="I707" s="42"/>
      <c r="J707" s="42"/>
    </row>
    <row r="708" spans="9:10" x14ac:dyDescent="0.45">
      <c r="I708" s="42"/>
      <c r="J708" s="42"/>
    </row>
    <row r="709" spans="9:10" x14ac:dyDescent="0.45">
      <c r="I709" s="42"/>
      <c r="J709" s="42"/>
    </row>
    <row r="710" spans="9:10" x14ac:dyDescent="0.45">
      <c r="I710" s="42"/>
      <c r="J710" s="42"/>
    </row>
    <row r="711" spans="9:10" x14ac:dyDescent="0.45">
      <c r="I711" s="42"/>
      <c r="J711" s="42"/>
    </row>
    <row r="712" spans="9:10" x14ac:dyDescent="0.45">
      <c r="I712" s="42"/>
      <c r="J712" s="42"/>
    </row>
    <row r="713" spans="9:10" x14ac:dyDescent="0.45">
      <c r="I713" s="42"/>
      <c r="J713" s="42"/>
    </row>
    <row r="714" spans="9:10" x14ac:dyDescent="0.45">
      <c r="I714" s="42"/>
      <c r="J714" s="42"/>
    </row>
    <row r="715" spans="9:10" x14ac:dyDescent="0.45">
      <c r="I715" s="42"/>
      <c r="J715" s="42"/>
    </row>
    <row r="716" spans="9:10" x14ac:dyDescent="0.45">
      <c r="I716" s="42"/>
      <c r="J716" s="42"/>
    </row>
    <row r="717" spans="9:10" x14ac:dyDescent="0.45">
      <c r="I717" s="42"/>
      <c r="J717" s="42"/>
    </row>
    <row r="718" spans="9:10" x14ac:dyDescent="0.45">
      <c r="I718" s="42"/>
      <c r="J718" s="42"/>
    </row>
    <row r="719" spans="9:10" x14ac:dyDescent="0.45">
      <c r="I719" s="42"/>
      <c r="J719" s="42"/>
    </row>
    <row r="720" spans="9:10" x14ac:dyDescent="0.45">
      <c r="I720" s="42"/>
      <c r="J720" s="42"/>
    </row>
    <row r="721" spans="9:10" x14ac:dyDescent="0.45">
      <c r="I721" s="42"/>
      <c r="J721" s="42"/>
    </row>
    <row r="722" spans="9:10" x14ac:dyDescent="0.45">
      <c r="I722" s="42"/>
      <c r="J722" s="42"/>
    </row>
    <row r="723" spans="9:10" x14ac:dyDescent="0.45">
      <c r="I723" s="42"/>
      <c r="J723" s="42"/>
    </row>
    <row r="724" spans="9:10" x14ac:dyDescent="0.45">
      <c r="I724" s="42"/>
      <c r="J724" s="42"/>
    </row>
    <row r="725" spans="9:10" x14ac:dyDescent="0.45">
      <c r="I725" s="42"/>
      <c r="J725" s="42"/>
    </row>
    <row r="726" spans="9:10" x14ac:dyDescent="0.45">
      <c r="I726" s="42"/>
      <c r="J726" s="42"/>
    </row>
    <row r="727" spans="9:10" x14ac:dyDescent="0.45">
      <c r="I727" s="42"/>
      <c r="J727" s="42"/>
    </row>
    <row r="728" spans="9:10" x14ac:dyDescent="0.45">
      <c r="I728" s="42"/>
      <c r="J728" s="42"/>
    </row>
    <row r="729" spans="9:10" x14ac:dyDescent="0.45">
      <c r="I729" s="42"/>
      <c r="J729" s="42"/>
    </row>
    <row r="730" spans="9:10" x14ac:dyDescent="0.45">
      <c r="I730" s="42"/>
      <c r="J730" s="42"/>
    </row>
    <row r="731" spans="9:10" x14ac:dyDescent="0.45">
      <c r="I731" s="42"/>
      <c r="J731" s="42"/>
    </row>
    <row r="732" spans="9:10" x14ac:dyDescent="0.45">
      <c r="I732" s="42"/>
      <c r="J732" s="42"/>
    </row>
    <row r="733" spans="9:10" x14ac:dyDescent="0.45">
      <c r="I733" s="42"/>
      <c r="J733" s="42"/>
    </row>
    <row r="734" spans="9:10" x14ac:dyDescent="0.45">
      <c r="I734" s="42"/>
      <c r="J734" s="42"/>
    </row>
    <row r="735" spans="9:10" x14ac:dyDescent="0.45">
      <c r="I735" s="42"/>
      <c r="J735" s="42"/>
    </row>
    <row r="736" spans="9:10" x14ac:dyDescent="0.45">
      <c r="I736" s="42"/>
      <c r="J736" s="42"/>
    </row>
    <row r="737" spans="9:10" x14ac:dyDescent="0.45">
      <c r="I737" s="42"/>
      <c r="J737" s="42"/>
    </row>
    <row r="738" spans="9:10" x14ac:dyDescent="0.45">
      <c r="I738" s="42"/>
      <c r="J738" s="42"/>
    </row>
    <row r="739" spans="9:10" x14ac:dyDescent="0.45">
      <c r="I739" s="42"/>
      <c r="J739" s="42"/>
    </row>
    <row r="740" spans="9:10" x14ac:dyDescent="0.45">
      <c r="I740" s="42"/>
      <c r="J740" s="42"/>
    </row>
    <row r="741" spans="9:10" x14ac:dyDescent="0.45">
      <c r="I741" s="42"/>
      <c r="J741" s="42"/>
    </row>
    <row r="742" spans="9:10" x14ac:dyDescent="0.45">
      <c r="I742" s="42"/>
      <c r="J742" s="42"/>
    </row>
    <row r="743" spans="9:10" x14ac:dyDescent="0.45">
      <c r="I743" s="42"/>
      <c r="J743" s="42"/>
    </row>
    <row r="744" spans="9:10" x14ac:dyDescent="0.45">
      <c r="I744" s="42"/>
      <c r="J744" s="42"/>
    </row>
    <row r="745" spans="9:10" x14ac:dyDescent="0.45">
      <c r="I745" s="42"/>
      <c r="J745" s="42"/>
    </row>
    <row r="746" spans="9:10" x14ac:dyDescent="0.45">
      <c r="I746" s="42"/>
      <c r="J746" s="42"/>
    </row>
    <row r="747" spans="9:10" x14ac:dyDescent="0.45">
      <c r="I747" s="42"/>
      <c r="J747" s="42"/>
    </row>
    <row r="748" spans="9:10" x14ac:dyDescent="0.45">
      <c r="I748" s="42"/>
      <c r="J748" s="42"/>
    </row>
    <row r="749" spans="9:10" x14ac:dyDescent="0.45">
      <c r="I749" s="42"/>
      <c r="J749" s="42"/>
    </row>
    <row r="750" spans="9:10" x14ac:dyDescent="0.45">
      <c r="I750" s="42"/>
      <c r="J750" s="42"/>
    </row>
    <row r="751" spans="9:10" x14ac:dyDescent="0.45">
      <c r="I751" s="42"/>
      <c r="J751" s="42"/>
    </row>
    <row r="752" spans="9:10" x14ac:dyDescent="0.45">
      <c r="I752" s="42"/>
      <c r="J752" s="42"/>
    </row>
    <row r="753" spans="9:10" x14ac:dyDescent="0.45">
      <c r="I753" s="42"/>
      <c r="J753" s="42"/>
    </row>
    <row r="754" spans="9:10" x14ac:dyDescent="0.45">
      <c r="I754" s="42"/>
      <c r="J754" s="42"/>
    </row>
    <row r="755" spans="9:10" x14ac:dyDescent="0.45">
      <c r="I755" s="42"/>
      <c r="J755" s="42"/>
    </row>
    <row r="756" spans="9:10" x14ac:dyDescent="0.45">
      <c r="I756" s="42"/>
      <c r="J756" s="42"/>
    </row>
    <row r="757" spans="9:10" x14ac:dyDescent="0.45">
      <c r="I757" s="42"/>
      <c r="J757" s="42"/>
    </row>
    <row r="758" spans="9:10" x14ac:dyDescent="0.45">
      <c r="I758" s="42"/>
      <c r="J758" s="42"/>
    </row>
    <row r="759" spans="9:10" x14ac:dyDescent="0.45">
      <c r="I759" s="42"/>
      <c r="J759" s="42"/>
    </row>
    <row r="760" spans="9:10" x14ac:dyDescent="0.45">
      <c r="I760" s="42"/>
      <c r="J760" s="42"/>
    </row>
    <row r="761" spans="9:10" x14ac:dyDescent="0.45">
      <c r="I761" s="42"/>
      <c r="J761" s="42"/>
    </row>
    <row r="762" spans="9:10" x14ac:dyDescent="0.45">
      <c r="I762" s="42"/>
      <c r="J762" s="42"/>
    </row>
    <row r="763" spans="9:10" x14ac:dyDescent="0.45">
      <c r="I763" s="42"/>
      <c r="J763" s="42"/>
    </row>
    <row r="764" spans="9:10" x14ac:dyDescent="0.45">
      <c r="I764" s="42"/>
      <c r="J764" s="42"/>
    </row>
    <row r="765" spans="9:10" x14ac:dyDescent="0.45">
      <c r="I765" s="42"/>
      <c r="J765" s="42"/>
    </row>
    <row r="766" spans="9:10" x14ac:dyDescent="0.45">
      <c r="I766" s="42"/>
      <c r="J766" s="42"/>
    </row>
    <row r="767" spans="9:10" x14ac:dyDescent="0.45">
      <c r="I767" s="42"/>
      <c r="J767" s="42"/>
    </row>
    <row r="768" spans="9:10" x14ac:dyDescent="0.45">
      <c r="I768" s="42"/>
      <c r="J768" s="42"/>
    </row>
    <row r="769" spans="9:10" x14ac:dyDescent="0.45">
      <c r="I769" s="42"/>
      <c r="J769" s="42"/>
    </row>
    <row r="770" spans="9:10" x14ac:dyDescent="0.45">
      <c r="I770" s="42"/>
      <c r="J770" s="42"/>
    </row>
    <row r="771" spans="9:10" x14ac:dyDescent="0.45">
      <c r="I771" s="42"/>
      <c r="J771" s="42"/>
    </row>
    <row r="772" spans="9:10" x14ac:dyDescent="0.45">
      <c r="I772" s="42"/>
      <c r="J772" s="42"/>
    </row>
    <row r="773" spans="9:10" x14ac:dyDescent="0.45">
      <c r="I773" s="42"/>
      <c r="J773" s="42"/>
    </row>
    <row r="774" spans="9:10" x14ac:dyDescent="0.45">
      <c r="I774" s="42"/>
      <c r="J774" s="42"/>
    </row>
    <row r="775" spans="9:10" x14ac:dyDescent="0.45">
      <c r="I775" s="42"/>
      <c r="J775" s="42"/>
    </row>
    <row r="776" spans="9:10" x14ac:dyDescent="0.45">
      <c r="I776" s="42"/>
      <c r="J776" s="42"/>
    </row>
    <row r="777" spans="9:10" x14ac:dyDescent="0.45">
      <c r="I777" s="42"/>
      <c r="J777" s="42"/>
    </row>
    <row r="778" spans="9:10" x14ac:dyDescent="0.45">
      <c r="I778" s="42"/>
      <c r="J778" s="42"/>
    </row>
    <row r="779" spans="9:10" x14ac:dyDescent="0.45">
      <c r="I779" s="42"/>
      <c r="J779" s="42"/>
    </row>
    <row r="780" spans="9:10" x14ac:dyDescent="0.45">
      <c r="I780" s="42"/>
      <c r="J780" s="42"/>
    </row>
    <row r="781" spans="9:10" x14ac:dyDescent="0.45">
      <c r="I781" s="42"/>
      <c r="J781" s="42"/>
    </row>
    <row r="782" spans="9:10" x14ac:dyDescent="0.45">
      <c r="I782" s="42"/>
      <c r="J782" s="42"/>
    </row>
    <row r="783" spans="9:10" x14ac:dyDescent="0.45">
      <c r="I783" s="42"/>
      <c r="J783" s="42"/>
    </row>
    <row r="784" spans="9:10" x14ac:dyDescent="0.45">
      <c r="I784" s="42"/>
      <c r="J784" s="42"/>
    </row>
    <row r="785" spans="9:10" x14ac:dyDescent="0.45">
      <c r="I785" s="42"/>
      <c r="J785" s="42"/>
    </row>
    <row r="786" spans="9:10" x14ac:dyDescent="0.45">
      <c r="I786" s="42"/>
      <c r="J786" s="42"/>
    </row>
    <row r="787" spans="9:10" x14ac:dyDescent="0.45">
      <c r="I787" s="42"/>
      <c r="J787" s="42"/>
    </row>
    <row r="788" spans="9:10" x14ac:dyDescent="0.45">
      <c r="I788" s="42"/>
      <c r="J788" s="42"/>
    </row>
    <row r="789" spans="9:10" x14ac:dyDescent="0.45">
      <c r="I789" s="42"/>
      <c r="J789" s="42"/>
    </row>
    <row r="790" spans="9:10" x14ac:dyDescent="0.45">
      <c r="I790" s="42"/>
      <c r="J790" s="42"/>
    </row>
    <row r="791" spans="9:10" x14ac:dyDescent="0.45">
      <c r="I791" s="42"/>
      <c r="J791" s="42"/>
    </row>
    <row r="792" spans="9:10" x14ac:dyDescent="0.45">
      <c r="I792" s="42"/>
      <c r="J792" s="42"/>
    </row>
    <row r="793" spans="9:10" x14ac:dyDescent="0.45">
      <c r="I793" s="42"/>
      <c r="J793" s="42"/>
    </row>
    <row r="794" spans="9:10" x14ac:dyDescent="0.45">
      <c r="I794" s="42"/>
      <c r="J794" s="42"/>
    </row>
    <row r="795" spans="9:10" x14ac:dyDescent="0.45">
      <c r="I795" s="42"/>
      <c r="J795" s="42"/>
    </row>
    <row r="796" spans="9:10" x14ac:dyDescent="0.45">
      <c r="I796" s="42"/>
      <c r="J796" s="42"/>
    </row>
    <row r="797" spans="9:10" x14ac:dyDescent="0.45">
      <c r="I797" s="42"/>
      <c r="J797" s="42"/>
    </row>
    <row r="798" spans="9:10" x14ac:dyDescent="0.45">
      <c r="I798" s="42"/>
      <c r="J798" s="42"/>
    </row>
    <row r="799" spans="9:10" x14ac:dyDescent="0.45">
      <c r="I799" s="42"/>
      <c r="J799" s="42"/>
    </row>
    <row r="800" spans="9:10" x14ac:dyDescent="0.45">
      <c r="I800" s="42"/>
      <c r="J800" s="42"/>
    </row>
    <row r="801" spans="9:10" x14ac:dyDescent="0.45">
      <c r="I801" s="42"/>
      <c r="J801" s="42"/>
    </row>
    <row r="802" spans="9:10" x14ac:dyDescent="0.45">
      <c r="I802" s="42"/>
      <c r="J802" s="42"/>
    </row>
    <row r="803" spans="9:10" x14ac:dyDescent="0.45">
      <c r="I803" s="42"/>
      <c r="J803" s="42"/>
    </row>
    <row r="804" spans="9:10" x14ac:dyDescent="0.45">
      <c r="I804" s="42"/>
      <c r="J804" s="42"/>
    </row>
    <row r="805" spans="9:10" x14ac:dyDescent="0.45">
      <c r="I805" s="42"/>
      <c r="J805" s="42"/>
    </row>
    <row r="806" spans="9:10" x14ac:dyDescent="0.45">
      <c r="I806" s="42"/>
      <c r="J806" s="42"/>
    </row>
    <row r="807" spans="9:10" x14ac:dyDescent="0.45">
      <c r="I807" s="42"/>
      <c r="J807" s="42"/>
    </row>
    <row r="808" spans="9:10" x14ac:dyDescent="0.45">
      <c r="I808" s="42"/>
      <c r="J808" s="42"/>
    </row>
    <row r="809" spans="9:10" x14ac:dyDescent="0.45">
      <c r="I809" s="42"/>
      <c r="J809" s="42"/>
    </row>
    <row r="810" spans="9:10" x14ac:dyDescent="0.45">
      <c r="I810" s="42"/>
      <c r="J810" s="42"/>
    </row>
    <row r="811" spans="9:10" x14ac:dyDescent="0.45">
      <c r="I811" s="42"/>
      <c r="J811" s="42"/>
    </row>
    <row r="812" spans="9:10" x14ac:dyDescent="0.45">
      <c r="I812" s="42"/>
      <c r="J812" s="42"/>
    </row>
    <row r="813" spans="9:10" x14ac:dyDescent="0.45">
      <c r="I813" s="42"/>
      <c r="J813" s="42"/>
    </row>
    <row r="814" spans="9:10" x14ac:dyDescent="0.45">
      <c r="I814" s="42"/>
      <c r="J814" s="42"/>
    </row>
    <row r="815" spans="9:10" x14ac:dyDescent="0.45">
      <c r="I815" s="42"/>
      <c r="J815" s="42"/>
    </row>
    <row r="816" spans="9:10" x14ac:dyDescent="0.45">
      <c r="I816" s="42"/>
      <c r="J816" s="42"/>
    </row>
    <row r="817" spans="9:10" x14ac:dyDescent="0.45">
      <c r="I817" s="42"/>
      <c r="J817" s="42"/>
    </row>
    <row r="818" spans="9:10" x14ac:dyDescent="0.45">
      <c r="I818" s="42"/>
      <c r="J818" s="42"/>
    </row>
    <row r="819" spans="9:10" x14ac:dyDescent="0.45">
      <c r="I819" s="42"/>
      <c r="J819" s="42"/>
    </row>
    <row r="820" spans="9:10" x14ac:dyDescent="0.45">
      <c r="I820" s="42"/>
      <c r="J820" s="42"/>
    </row>
    <row r="821" spans="9:10" x14ac:dyDescent="0.45">
      <c r="I821" s="42"/>
      <c r="J821" s="42"/>
    </row>
    <row r="822" spans="9:10" x14ac:dyDescent="0.45">
      <c r="I822" s="42"/>
      <c r="J822" s="42"/>
    </row>
    <row r="823" spans="9:10" x14ac:dyDescent="0.45">
      <c r="I823" s="42"/>
      <c r="J823" s="42"/>
    </row>
    <row r="824" spans="9:10" x14ac:dyDescent="0.45">
      <c r="I824" s="42"/>
      <c r="J824" s="42"/>
    </row>
    <row r="825" spans="9:10" x14ac:dyDescent="0.45">
      <c r="I825" s="42"/>
      <c r="J825" s="42"/>
    </row>
    <row r="826" spans="9:10" x14ac:dyDescent="0.45">
      <c r="I826" s="42"/>
      <c r="J826" s="42"/>
    </row>
    <row r="827" spans="9:10" x14ac:dyDescent="0.45">
      <c r="I827" s="42"/>
      <c r="J827" s="42"/>
    </row>
    <row r="828" spans="9:10" x14ac:dyDescent="0.45">
      <c r="I828" s="42"/>
      <c r="J828" s="42"/>
    </row>
    <row r="829" spans="9:10" x14ac:dyDescent="0.45">
      <c r="I829" s="42"/>
      <c r="J829" s="42"/>
    </row>
    <row r="830" spans="9:10" x14ac:dyDescent="0.45">
      <c r="I830" s="42"/>
      <c r="J830" s="42"/>
    </row>
    <row r="831" spans="9:10" x14ac:dyDescent="0.45">
      <c r="I831" s="42"/>
      <c r="J831" s="42"/>
    </row>
    <row r="832" spans="9:10" x14ac:dyDescent="0.45">
      <c r="I832" s="42"/>
      <c r="J832" s="42"/>
    </row>
    <row r="833" spans="9:10" x14ac:dyDescent="0.45">
      <c r="I833" s="42"/>
      <c r="J833" s="42"/>
    </row>
    <row r="834" spans="9:10" x14ac:dyDescent="0.45">
      <c r="I834" s="42"/>
      <c r="J834" s="42"/>
    </row>
    <row r="835" spans="9:10" x14ac:dyDescent="0.45">
      <c r="I835" s="42"/>
      <c r="J835" s="42"/>
    </row>
    <row r="836" spans="9:10" x14ac:dyDescent="0.45">
      <c r="I836" s="42"/>
      <c r="J836" s="42"/>
    </row>
    <row r="837" spans="9:10" x14ac:dyDescent="0.45">
      <c r="I837" s="42"/>
      <c r="J837" s="42"/>
    </row>
    <row r="838" spans="9:10" x14ac:dyDescent="0.45">
      <c r="I838" s="42"/>
      <c r="J838" s="42"/>
    </row>
    <row r="839" spans="9:10" x14ac:dyDescent="0.45">
      <c r="I839" s="42"/>
      <c r="J839" s="42"/>
    </row>
    <row r="840" spans="9:10" x14ac:dyDescent="0.45">
      <c r="I840" s="42"/>
      <c r="J840" s="42"/>
    </row>
    <row r="841" spans="9:10" x14ac:dyDescent="0.45">
      <c r="I841" s="42"/>
      <c r="J841" s="42"/>
    </row>
    <row r="842" spans="9:10" x14ac:dyDescent="0.45">
      <c r="I842" s="42"/>
      <c r="J842" s="42"/>
    </row>
    <row r="843" spans="9:10" x14ac:dyDescent="0.45">
      <c r="I843" s="42"/>
      <c r="J843" s="42"/>
    </row>
    <row r="844" spans="9:10" x14ac:dyDescent="0.45">
      <c r="I844" s="42"/>
      <c r="J844" s="42"/>
    </row>
    <row r="845" spans="9:10" x14ac:dyDescent="0.45">
      <c r="I845" s="42"/>
      <c r="J845" s="42"/>
    </row>
    <row r="846" spans="9:10" x14ac:dyDescent="0.45">
      <c r="I846" s="42"/>
      <c r="J846" s="42"/>
    </row>
    <row r="847" spans="9:10" x14ac:dyDescent="0.45">
      <c r="I847" s="42"/>
      <c r="J847" s="42"/>
    </row>
    <row r="848" spans="9:10" x14ac:dyDescent="0.45">
      <c r="I848" s="42"/>
      <c r="J848" s="42"/>
    </row>
    <row r="849" spans="9:10" x14ac:dyDescent="0.45">
      <c r="I849" s="42"/>
      <c r="J849" s="42"/>
    </row>
    <row r="850" spans="9:10" x14ac:dyDescent="0.45">
      <c r="I850" s="42"/>
      <c r="J850" s="42"/>
    </row>
    <row r="851" spans="9:10" x14ac:dyDescent="0.45">
      <c r="I851" s="42"/>
      <c r="J851" s="42"/>
    </row>
    <row r="852" spans="9:10" x14ac:dyDescent="0.45">
      <c r="I852" s="42"/>
      <c r="J852" s="42"/>
    </row>
    <row r="853" spans="9:10" x14ac:dyDescent="0.45">
      <c r="I853" s="42"/>
      <c r="J853" s="42"/>
    </row>
    <row r="854" spans="9:10" x14ac:dyDescent="0.45">
      <c r="I854" s="42"/>
      <c r="J854" s="42"/>
    </row>
    <row r="855" spans="9:10" x14ac:dyDescent="0.45">
      <c r="I855" s="42"/>
      <c r="J855" s="42"/>
    </row>
    <row r="856" spans="9:10" x14ac:dyDescent="0.45">
      <c r="I856" s="42"/>
      <c r="J856" s="42"/>
    </row>
    <row r="857" spans="9:10" x14ac:dyDescent="0.45">
      <c r="I857" s="42"/>
      <c r="J857" s="42"/>
    </row>
    <row r="858" spans="9:10" x14ac:dyDescent="0.45">
      <c r="I858" s="42"/>
      <c r="J858" s="42"/>
    </row>
    <row r="859" spans="9:10" x14ac:dyDescent="0.45">
      <c r="I859" s="42"/>
      <c r="J859" s="42"/>
    </row>
    <row r="860" spans="9:10" x14ac:dyDescent="0.45">
      <c r="I860" s="42"/>
      <c r="J860" s="42"/>
    </row>
    <row r="861" spans="9:10" x14ac:dyDescent="0.45">
      <c r="I861" s="42"/>
      <c r="J861" s="42"/>
    </row>
    <row r="862" spans="9:10" x14ac:dyDescent="0.45">
      <c r="I862" s="42"/>
      <c r="J862" s="42"/>
    </row>
    <row r="863" spans="9:10" x14ac:dyDescent="0.45">
      <c r="I863" s="42"/>
      <c r="J863" s="42"/>
    </row>
    <row r="864" spans="9:10" x14ac:dyDescent="0.45">
      <c r="I864" s="42"/>
      <c r="J864" s="42"/>
    </row>
    <row r="865" spans="9:10" x14ac:dyDescent="0.45">
      <c r="I865" s="42"/>
      <c r="J865" s="42"/>
    </row>
    <row r="866" spans="9:10" x14ac:dyDescent="0.45">
      <c r="I866" s="42"/>
      <c r="J866" s="42"/>
    </row>
    <row r="867" spans="9:10" x14ac:dyDescent="0.45">
      <c r="I867" s="42"/>
      <c r="J867" s="42"/>
    </row>
    <row r="868" spans="9:10" x14ac:dyDescent="0.45">
      <c r="I868" s="42"/>
      <c r="J868" s="42"/>
    </row>
    <row r="869" spans="9:10" x14ac:dyDescent="0.45">
      <c r="I869" s="42"/>
      <c r="J869" s="42"/>
    </row>
    <row r="870" spans="9:10" x14ac:dyDescent="0.45">
      <c r="I870" s="42"/>
      <c r="J870" s="42"/>
    </row>
    <row r="871" spans="9:10" x14ac:dyDescent="0.45">
      <c r="I871" s="42"/>
      <c r="J871" s="42"/>
    </row>
    <row r="872" spans="9:10" x14ac:dyDescent="0.45">
      <c r="I872" s="42"/>
      <c r="J872" s="42"/>
    </row>
    <row r="873" spans="9:10" x14ac:dyDescent="0.45">
      <c r="I873" s="42"/>
      <c r="J873" s="42"/>
    </row>
    <row r="874" spans="9:10" x14ac:dyDescent="0.45">
      <c r="I874" s="42"/>
      <c r="J874" s="42"/>
    </row>
    <row r="875" spans="9:10" x14ac:dyDescent="0.45">
      <c r="I875" s="42"/>
      <c r="J875" s="42"/>
    </row>
    <row r="876" spans="9:10" x14ac:dyDescent="0.45">
      <c r="I876" s="42"/>
      <c r="J876" s="42"/>
    </row>
    <row r="877" spans="9:10" x14ac:dyDescent="0.45">
      <c r="I877" s="42"/>
      <c r="J877" s="42"/>
    </row>
    <row r="878" spans="9:10" x14ac:dyDescent="0.45">
      <c r="I878" s="42"/>
      <c r="J878" s="42"/>
    </row>
    <row r="879" spans="9:10" x14ac:dyDescent="0.45">
      <c r="I879" s="42"/>
      <c r="J879" s="42"/>
    </row>
    <row r="880" spans="9:10" x14ac:dyDescent="0.45">
      <c r="I880" s="42"/>
      <c r="J880" s="42"/>
    </row>
    <row r="881" spans="9:10" x14ac:dyDescent="0.45">
      <c r="I881" s="42"/>
      <c r="J881" s="42"/>
    </row>
    <row r="882" spans="9:10" x14ac:dyDescent="0.45">
      <c r="I882" s="42"/>
      <c r="J882" s="42"/>
    </row>
    <row r="883" spans="9:10" x14ac:dyDescent="0.45">
      <c r="I883" s="42"/>
      <c r="J883" s="42"/>
    </row>
    <row r="884" spans="9:10" x14ac:dyDescent="0.45">
      <c r="I884" s="42"/>
      <c r="J884" s="42"/>
    </row>
    <row r="885" spans="9:10" x14ac:dyDescent="0.45">
      <c r="I885" s="42"/>
      <c r="J885" s="42"/>
    </row>
    <row r="886" spans="9:10" x14ac:dyDescent="0.45">
      <c r="I886" s="42"/>
      <c r="J886" s="42"/>
    </row>
    <row r="887" spans="9:10" x14ac:dyDescent="0.45">
      <c r="I887" s="42"/>
      <c r="J887" s="42"/>
    </row>
    <row r="888" spans="9:10" x14ac:dyDescent="0.45">
      <c r="I888" s="42"/>
      <c r="J888" s="42"/>
    </row>
    <row r="889" spans="9:10" x14ac:dyDescent="0.45">
      <c r="I889" s="42"/>
      <c r="J889" s="42"/>
    </row>
    <row r="890" spans="9:10" x14ac:dyDescent="0.45">
      <c r="I890" s="42"/>
      <c r="J890" s="42"/>
    </row>
    <row r="891" spans="9:10" x14ac:dyDescent="0.45">
      <c r="I891" s="42"/>
      <c r="J891" s="42"/>
    </row>
    <row r="892" spans="9:10" x14ac:dyDescent="0.45">
      <c r="I892" s="42"/>
      <c r="J892" s="42"/>
    </row>
    <row r="893" spans="9:10" x14ac:dyDescent="0.45">
      <c r="I893" s="42"/>
      <c r="J893" s="42"/>
    </row>
    <row r="894" spans="9:10" x14ac:dyDescent="0.45">
      <c r="I894" s="42"/>
      <c r="J894" s="42"/>
    </row>
    <row r="895" spans="9:10" x14ac:dyDescent="0.45">
      <c r="I895" s="42"/>
      <c r="J895" s="42"/>
    </row>
    <row r="896" spans="9:10" x14ac:dyDescent="0.45">
      <c r="I896" s="42"/>
      <c r="J896" s="42"/>
    </row>
    <row r="897" spans="9:10" x14ac:dyDescent="0.45">
      <c r="I897" s="42"/>
      <c r="J897" s="42"/>
    </row>
    <row r="898" spans="9:10" x14ac:dyDescent="0.45">
      <c r="I898" s="42"/>
      <c r="J898" s="42"/>
    </row>
    <row r="899" spans="9:10" x14ac:dyDescent="0.45">
      <c r="I899" s="42"/>
      <c r="J899" s="42"/>
    </row>
    <row r="900" spans="9:10" x14ac:dyDescent="0.45">
      <c r="I900" s="42"/>
      <c r="J900" s="42"/>
    </row>
    <row r="901" spans="9:10" x14ac:dyDescent="0.45">
      <c r="I901" s="42"/>
      <c r="J901" s="42"/>
    </row>
    <row r="902" spans="9:10" x14ac:dyDescent="0.45">
      <c r="I902" s="42"/>
      <c r="J902" s="42"/>
    </row>
    <row r="903" spans="9:10" x14ac:dyDescent="0.45">
      <c r="I903" s="42"/>
      <c r="J903" s="42"/>
    </row>
    <row r="904" spans="9:10" x14ac:dyDescent="0.45">
      <c r="I904" s="42"/>
      <c r="J904" s="42"/>
    </row>
    <row r="905" spans="9:10" x14ac:dyDescent="0.45">
      <c r="I905" s="42"/>
      <c r="J905" s="42"/>
    </row>
    <row r="906" spans="9:10" x14ac:dyDescent="0.45">
      <c r="I906" s="42"/>
      <c r="J906" s="42"/>
    </row>
    <row r="907" spans="9:10" x14ac:dyDescent="0.45">
      <c r="I907" s="42"/>
      <c r="J907" s="42"/>
    </row>
    <row r="908" spans="9:10" x14ac:dyDescent="0.45">
      <c r="I908" s="42"/>
      <c r="J908" s="42"/>
    </row>
    <row r="909" spans="9:10" x14ac:dyDescent="0.45">
      <c r="I909" s="42"/>
      <c r="J909" s="42"/>
    </row>
    <row r="910" spans="9:10" x14ac:dyDescent="0.45">
      <c r="I910" s="42"/>
      <c r="J910" s="42"/>
    </row>
    <row r="911" spans="9:10" x14ac:dyDescent="0.45">
      <c r="I911" s="42"/>
      <c r="J911" s="42"/>
    </row>
    <row r="912" spans="9:10" x14ac:dyDescent="0.45">
      <c r="I912" s="42"/>
      <c r="J912" s="42"/>
    </row>
    <row r="913" spans="9:10" x14ac:dyDescent="0.45">
      <c r="I913" s="42"/>
      <c r="J913" s="42"/>
    </row>
    <row r="914" spans="9:10" x14ac:dyDescent="0.45">
      <c r="I914" s="42"/>
      <c r="J914" s="42"/>
    </row>
    <row r="915" spans="9:10" x14ac:dyDescent="0.45">
      <c r="I915" s="42"/>
      <c r="J915" s="42"/>
    </row>
    <row r="916" spans="9:10" x14ac:dyDescent="0.45">
      <c r="I916" s="42"/>
      <c r="J916" s="42"/>
    </row>
    <row r="917" spans="9:10" x14ac:dyDescent="0.45">
      <c r="I917" s="42"/>
      <c r="J917" s="42"/>
    </row>
    <row r="918" spans="9:10" x14ac:dyDescent="0.45">
      <c r="I918" s="42"/>
      <c r="J918" s="42"/>
    </row>
    <row r="919" spans="9:10" x14ac:dyDescent="0.45">
      <c r="I919" s="42"/>
      <c r="J919" s="42"/>
    </row>
    <row r="920" spans="9:10" x14ac:dyDescent="0.45">
      <c r="I920" s="42"/>
      <c r="J920" s="42"/>
    </row>
    <row r="921" spans="9:10" x14ac:dyDescent="0.45">
      <c r="I921" s="42"/>
      <c r="J921" s="42"/>
    </row>
    <row r="922" spans="9:10" x14ac:dyDescent="0.45">
      <c r="I922" s="42"/>
      <c r="J922" s="42"/>
    </row>
    <row r="923" spans="9:10" x14ac:dyDescent="0.45">
      <c r="I923" s="42"/>
      <c r="J923" s="42"/>
    </row>
    <row r="924" spans="9:10" x14ac:dyDescent="0.45">
      <c r="I924" s="42"/>
      <c r="J924" s="42"/>
    </row>
    <row r="925" spans="9:10" x14ac:dyDescent="0.45">
      <c r="I925" s="42"/>
      <c r="J925" s="42"/>
    </row>
    <row r="926" spans="9:10" x14ac:dyDescent="0.45">
      <c r="I926" s="42"/>
      <c r="J926" s="42"/>
    </row>
    <row r="927" spans="9:10" x14ac:dyDescent="0.45">
      <c r="I927" s="42"/>
      <c r="J927" s="42"/>
    </row>
    <row r="928" spans="9:10" x14ac:dyDescent="0.45">
      <c r="I928" s="42"/>
      <c r="J928" s="42"/>
    </row>
    <row r="929" spans="9:10" x14ac:dyDescent="0.45">
      <c r="I929" s="42"/>
      <c r="J929" s="42"/>
    </row>
    <row r="930" spans="9:10" x14ac:dyDescent="0.45">
      <c r="I930" s="42"/>
      <c r="J930" s="42"/>
    </row>
    <row r="931" spans="9:10" x14ac:dyDescent="0.45">
      <c r="I931" s="42"/>
      <c r="J931" s="42"/>
    </row>
    <row r="932" spans="9:10" x14ac:dyDescent="0.45">
      <c r="I932" s="42"/>
      <c r="J932" s="42"/>
    </row>
    <row r="933" spans="9:10" x14ac:dyDescent="0.45">
      <c r="I933" s="42"/>
      <c r="J933" s="42"/>
    </row>
    <row r="934" spans="9:10" x14ac:dyDescent="0.45">
      <c r="I934" s="42"/>
      <c r="J934" s="42"/>
    </row>
    <row r="935" spans="9:10" x14ac:dyDescent="0.45">
      <c r="I935" s="42"/>
      <c r="J935" s="42"/>
    </row>
    <row r="936" spans="9:10" x14ac:dyDescent="0.45">
      <c r="I936" s="42"/>
      <c r="J936" s="42"/>
    </row>
    <row r="937" spans="9:10" x14ac:dyDescent="0.45">
      <c r="I937" s="42"/>
      <c r="J937" s="42"/>
    </row>
    <row r="938" spans="9:10" x14ac:dyDescent="0.45">
      <c r="I938" s="42"/>
      <c r="J938" s="42"/>
    </row>
    <row r="939" spans="9:10" x14ac:dyDescent="0.45">
      <c r="I939" s="42"/>
      <c r="J939" s="42"/>
    </row>
    <row r="940" spans="9:10" x14ac:dyDescent="0.45">
      <c r="I940" s="42"/>
      <c r="J940" s="42"/>
    </row>
    <row r="941" spans="9:10" x14ac:dyDescent="0.45">
      <c r="I941" s="42"/>
      <c r="J941" s="42"/>
    </row>
    <row r="942" spans="9:10" x14ac:dyDescent="0.45">
      <c r="I942" s="42"/>
      <c r="J942" s="42"/>
    </row>
    <row r="943" spans="9:10" x14ac:dyDescent="0.45">
      <c r="I943" s="42"/>
      <c r="J943" s="42"/>
    </row>
    <row r="944" spans="9:10" x14ac:dyDescent="0.45">
      <c r="I944" s="42"/>
      <c r="J944" s="42"/>
    </row>
    <row r="945" spans="9:10" x14ac:dyDescent="0.45">
      <c r="I945" s="42"/>
      <c r="J945" s="42"/>
    </row>
    <row r="946" spans="9:10" x14ac:dyDescent="0.45">
      <c r="I946" s="42"/>
      <c r="J946" s="42"/>
    </row>
    <row r="947" spans="9:10" x14ac:dyDescent="0.45">
      <c r="I947" s="42"/>
      <c r="J947" s="42"/>
    </row>
    <row r="948" spans="9:10" x14ac:dyDescent="0.45">
      <c r="I948" s="42"/>
      <c r="J948" s="42"/>
    </row>
    <row r="949" spans="9:10" x14ac:dyDescent="0.45">
      <c r="I949" s="42"/>
      <c r="J949" s="42"/>
    </row>
    <row r="950" spans="9:10" x14ac:dyDescent="0.45">
      <c r="I950" s="42"/>
      <c r="J950" s="42"/>
    </row>
    <row r="951" spans="9:10" x14ac:dyDescent="0.45">
      <c r="I951" s="42"/>
      <c r="J951" s="42"/>
    </row>
    <row r="952" spans="9:10" x14ac:dyDescent="0.45">
      <c r="I952" s="42"/>
      <c r="J952" s="42"/>
    </row>
    <row r="953" spans="9:10" x14ac:dyDescent="0.45">
      <c r="I953" s="42"/>
      <c r="J953" s="42"/>
    </row>
    <row r="954" spans="9:10" x14ac:dyDescent="0.45">
      <c r="I954" s="42"/>
      <c r="J954" s="42"/>
    </row>
    <row r="955" spans="9:10" x14ac:dyDescent="0.45">
      <c r="I955" s="42"/>
      <c r="J955" s="42"/>
    </row>
    <row r="956" spans="9:10" x14ac:dyDescent="0.45">
      <c r="I956" s="42"/>
      <c r="J956" s="42"/>
    </row>
    <row r="957" spans="9:10" x14ac:dyDescent="0.45">
      <c r="I957" s="42"/>
      <c r="J957" s="42"/>
    </row>
    <row r="958" spans="9:10" x14ac:dyDescent="0.45">
      <c r="I958" s="42"/>
      <c r="J958" s="42"/>
    </row>
    <row r="959" spans="9:10" x14ac:dyDescent="0.45">
      <c r="I959" s="42"/>
      <c r="J959" s="42"/>
    </row>
    <row r="960" spans="9:10" x14ac:dyDescent="0.45">
      <c r="I960" s="42"/>
      <c r="J960" s="42"/>
    </row>
    <row r="961" spans="9:10" x14ac:dyDescent="0.45">
      <c r="I961" s="42"/>
      <c r="J961" s="42"/>
    </row>
    <row r="962" spans="9:10" x14ac:dyDescent="0.45">
      <c r="I962" s="42"/>
      <c r="J962" s="42"/>
    </row>
    <row r="963" spans="9:10" x14ac:dyDescent="0.45">
      <c r="I963" s="42"/>
      <c r="J963" s="42"/>
    </row>
    <row r="964" spans="9:10" x14ac:dyDescent="0.45">
      <c r="I964" s="42"/>
      <c r="J964" s="42"/>
    </row>
    <row r="965" spans="9:10" x14ac:dyDescent="0.45">
      <c r="I965" s="42"/>
      <c r="J965" s="42"/>
    </row>
    <row r="966" spans="9:10" x14ac:dyDescent="0.45">
      <c r="I966" s="42"/>
      <c r="J966" s="42"/>
    </row>
    <row r="967" spans="9:10" x14ac:dyDescent="0.45">
      <c r="I967" s="42"/>
      <c r="J967" s="42"/>
    </row>
    <row r="968" spans="9:10" x14ac:dyDescent="0.45">
      <c r="I968" s="42"/>
      <c r="J968" s="42"/>
    </row>
    <row r="969" spans="9:10" x14ac:dyDescent="0.45">
      <c r="I969" s="42"/>
      <c r="J969" s="42"/>
    </row>
    <row r="970" spans="9:10" x14ac:dyDescent="0.45">
      <c r="I970" s="42"/>
      <c r="J970" s="42"/>
    </row>
    <row r="971" spans="9:10" x14ac:dyDescent="0.45">
      <c r="I971" s="42"/>
      <c r="J971" s="42"/>
    </row>
    <row r="972" spans="9:10" x14ac:dyDescent="0.45">
      <c r="I972" s="42"/>
      <c r="J972" s="42"/>
    </row>
    <row r="973" spans="9:10" x14ac:dyDescent="0.45">
      <c r="I973" s="42"/>
      <c r="J973" s="42"/>
    </row>
    <row r="974" spans="9:10" x14ac:dyDescent="0.45">
      <c r="I974" s="42"/>
      <c r="J974" s="42"/>
    </row>
    <row r="975" spans="9:10" x14ac:dyDescent="0.45">
      <c r="I975" s="42"/>
      <c r="J975" s="42"/>
    </row>
    <row r="976" spans="9:10" x14ac:dyDescent="0.45">
      <c r="I976" s="42"/>
      <c r="J976" s="42"/>
    </row>
    <row r="977" spans="9:10" x14ac:dyDescent="0.45">
      <c r="I977" s="42"/>
      <c r="J977" s="42"/>
    </row>
    <row r="978" spans="9:10" x14ac:dyDescent="0.45">
      <c r="I978" s="42"/>
      <c r="J978" s="42"/>
    </row>
    <row r="979" spans="9:10" x14ac:dyDescent="0.45">
      <c r="I979" s="42"/>
      <c r="J979" s="42"/>
    </row>
    <row r="980" spans="9:10" x14ac:dyDescent="0.45">
      <c r="I980" s="42"/>
      <c r="J980" s="42"/>
    </row>
    <row r="981" spans="9:10" x14ac:dyDescent="0.45">
      <c r="I981" s="42"/>
      <c r="J981" s="42"/>
    </row>
    <row r="982" spans="9:10" x14ac:dyDescent="0.45">
      <c r="I982" s="42"/>
      <c r="J982" s="42"/>
    </row>
    <row r="983" spans="9:10" x14ac:dyDescent="0.45">
      <c r="I983" s="42"/>
      <c r="J983" s="42"/>
    </row>
    <row r="984" spans="9:10" x14ac:dyDescent="0.45">
      <c r="I984" s="42"/>
      <c r="J984" s="42"/>
    </row>
    <row r="985" spans="9:10" x14ac:dyDescent="0.45">
      <c r="I985" s="42"/>
      <c r="J985" s="42"/>
    </row>
    <row r="986" spans="9:10" x14ac:dyDescent="0.45">
      <c r="I986" s="42"/>
      <c r="J986" s="42"/>
    </row>
    <row r="987" spans="9:10" x14ac:dyDescent="0.45">
      <c r="I987" s="42"/>
      <c r="J987" s="42"/>
    </row>
    <row r="988" spans="9:10" x14ac:dyDescent="0.45">
      <c r="I988" s="42"/>
      <c r="J988" s="42"/>
    </row>
    <row r="989" spans="9:10" x14ac:dyDescent="0.45">
      <c r="I989" s="42"/>
      <c r="J989" s="42"/>
    </row>
    <row r="990" spans="9:10" x14ac:dyDescent="0.45">
      <c r="I990" s="42"/>
      <c r="J990" s="42"/>
    </row>
    <row r="991" spans="9:10" x14ac:dyDescent="0.45">
      <c r="I991" s="42"/>
      <c r="J991" s="42"/>
    </row>
    <row r="992" spans="9:10" x14ac:dyDescent="0.45">
      <c r="I992" s="42"/>
      <c r="J992" s="42"/>
    </row>
    <row r="993" spans="9:10" x14ac:dyDescent="0.45">
      <c r="I993" s="42"/>
      <c r="J993" s="42"/>
    </row>
    <row r="994" spans="9:10" x14ac:dyDescent="0.45">
      <c r="I994" s="42"/>
      <c r="J994" s="42"/>
    </row>
    <row r="995" spans="9:10" x14ac:dyDescent="0.45">
      <c r="I995" s="42"/>
      <c r="J995" s="42"/>
    </row>
    <row r="996" spans="9:10" x14ac:dyDescent="0.45">
      <c r="I996" s="42"/>
      <c r="J996" s="42"/>
    </row>
    <row r="997" spans="9:10" x14ac:dyDescent="0.45">
      <c r="I997" s="42"/>
      <c r="J997" s="42"/>
    </row>
    <row r="998" spans="9:10" x14ac:dyDescent="0.45">
      <c r="I998" s="42"/>
      <c r="J998" s="42"/>
    </row>
    <row r="999" spans="9:10" x14ac:dyDescent="0.45">
      <c r="I999" s="42"/>
      <c r="J999" s="42"/>
    </row>
    <row r="1000" spans="9:10" x14ac:dyDescent="0.45">
      <c r="I1000" s="42"/>
      <c r="J1000" s="42"/>
    </row>
    <row r="1001" spans="9:10" x14ac:dyDescent="0.45">
      <c r="I1001" s="42"/>
      <c r="J1001" s="42"/>
    </row>
    <row r="1002" spans="9:10" x14ac:dyDescent="0.45">
      <c r="I1002" s="42"/>
      <c r="J1002" s="42"/>
    </row>
    <row r="1003" spans="9:10" x14ac:dyDescent="0.45">
      <c r="I1003" s="42"/>
      <c r="J1003" s="42"/>
    </row>
    <row r="1004" spans="9:10" x14ac:dyDescent="0.45">
      <c r="I1004" s="42"/>
      <c r="J1004" s="42"/>
    </row>
    <row r="1005" spans="9:10" x14ac:dyDescent="0.45">
      <c r="I1005" s="42"/>
      <c r="J1005" s="42"/>
    </row>
    <row r="1006" spans="9:10" x14ac:dyDescent="0.45">
      <c r="I1006" s="42"/>
      <c r="J1006" s="42"/>
    </row>
    <row r="1007" spans="9:10" x14ac:dyDescent="0.45">
      <c r="I1007" s="42"/>
      <c r="J1007" s="42"/>
    </row>
    <row r="1008" spans="9:10" x14ac:dyDescent="0.45">
      <c r="I1008" s="42"/>
      <c r="J1008" s="42"/>
    </row>
    <row r="1009" spans="9:10" x14ac:dyDescent="0.45">
      <c r="I1009" s="42"/>
      <c r="J1009" s="42"/>
    </row>
    <row r="1010" spans="9:10" x14ac:dyDescent="0.45">
      <c r="I1010" s="42"/>
      <c r="J1010" s="42"/>
    </row>
    <row r="1011" spans="9:10" x14ac:dyDescent="0.45">
      <c r="I1011" s="42"/>
      <c r="J1011" s="42"/>
    </row>
    <row r="1012" spans="9:10" x14ac:dyDescent="0.45">
      <c r="I1012" s="42"/>
      <c r="J1012" s="42"/>
    </row>
    <row r="1013" spans="9:10" x14ac:dyDescent="0.45">
      <c r="I1013" s="42"/>
      <c r="J1013" s="42"/>
    </row>
    <row r="1014" spans="9:10" x14ac:dyDescent="0.45">
      <c r="I1014" s="42"/>
      <c r="J1014" s="42"/>
    </row>
    <row r="1015" spans="9:10" x14ac:dyDescent="0.45">
      <c r="I1015" s="42"/>
      <c r="J1015" s="42"/>
    </row>
    <row r="1016" spans="9:10" x14ac:dyDescent="0.45">
      <c r="I1016" s="42"/>
      <c r="J1016" s="42"/>
    </row>
    <row r="1017" spans="9:10" x14ac:dyDescent="0.45">
      <c r="I1017" s="42"/>
      <c r="J1017" s="42"/>
    </row>
    <row r="1018" spans="9:10" x14ac:dyDescent="0.45">
      <c r="I1018" s="42"/>
      <c r="J1018" s="42"/>
    </row>
    <row r="1019" spans="9:10" x14ac:dyDescent="0.45">
      <c r="I1019" s="42"/>
      <c r="J1019" s="42"/>
    </row>
    <row r="1020" spans="9:10" x14ac:dyDescent="0.45">
      <c r="I1020" s="42"/>
      <c r="J1020" s="42"/>
    </row>
    <row r="1021" spans="9:10" x14ac:dyDescent="0.45">
      <c r="I1021" s="42"/>
      <c r="J1021" s="42"/>
    </row>
    <row r="1022" spans="9:10" x14ac:dyDescent="0.45">
      <c r="I1022" s="42"/>
      <c r="J1022" s="42"/>
    </row>
    <row r="1023" spans="9:10" x14ac:dyDescent="0.45">
      <c r="I1023" s="42"/>
      <c r="J1023" s="42"/>
    </row>
    <row r="1024" spans="9:10" x14ac:dyDescent="0.45">
      <c r="I1024" s="42"/>
      <c r="J1024" s="42"/>
    </row>
    <row r="1025" spans="9:10" x14ac:dyDescent="0.45">
      <c r="I1025" s="42"/>
      <c r="J1025" s="42"/>
    </row>
    <row r="1026" spans="9:10" x14ac:dyDescent="0.45">
      <c r="I1026" s="42"/>
      <c r="J1026" s="42"/>
    </row>
    <row r="1027" spans="9:10" x14ac:dyDescent="0.45">
      <c r="I1027" s="42"/>
      <c r="J1027" s="42"/>
    </row>
    <row r="1028" spans="9:10" x14ac:dyDescent="0.45">
      <c r="I1028" s="42"/>
      <c r="J1028" s="42"/>
    </row>
    <row r="1029" spans="9:10" x14ac:dyDescent="0.45">
      <c r="I1029" s="42"/>
      <c r="J1029" s="42"/>
    </row>
    <row r="1030" spans="9:10" x14ac:dyDescent="0.45">
      <c r="I1030" s="42"/>
      <c r="J1030" s="42"/>
    </row>
    <row r="1031" spans="9:10" x14ac:dyDescent="0.45">
      <c r="I1031" s="42"/>
      <c r="J1031" s="42"/>
    </row>
    <row r="1032" spans="9:10" x14ac:dyDescent="0.45">
      <c r="I1032" s="42"/>
      <c r="J1032" s="42"/>
    </row>
    <row r="1033" spans="9:10" x14ac:dyDescent="0.45">
      <c r="I1033" s="42"/>
      <c r="J1033" s="42"/>
    </row>
    <row r="1034" spans="9:10" x14ac:dyDescent="0.45">
      <c r="I1034" s="42"/>
      <c r="J1034" s="42"/>
    </row>
    <row r="1035" spans="9:10" x14ac:dyDescent="0.45">
      <c r="I1035" s="42"/>
      <c r="J1035" s="42"/>
    </row>
    <row r="1036" spans="9:10" x14ac:dyDescent="0.45">
      <c r="I1036" s="42"/>
      <c r="J1036" s="42"/>
    </row>
    <row r="1037" spans="9:10" x14ac:dyDescent="0.45">
      <c r="I1037" s="42"/>
      <c r="J1037" s="42"/>
    </row>
    <row r="1038" spans="9:10" x14ac:dyDescent="0.45">
      <c r="I1038" s="42"/>
      <c r="J1038" s="42"/>
    </row>
    <row r="1039" spans="9:10" x14ac:dyDescent="0.45">
      <c r="I1039" s="42"/>
      <c r="J1039" s="42"/>
    </row>
    <row r="1040" spans="9:10" x14ac:dyDescent="0.45">
      <c r="I1040" s="42"/>
      <c r="J1040" s="42"/>
    </row>
    <row r="1041" spans="9:10" x14ac:dyDescent="0.45">
      <c r="I1041" s="42"/>
      <c r="J1041" s="42"/>
    </row>
    <row r="1042" spans="9:10" x14ac:dyDescent="0.45">
      <c r="I1042" s="42"/>
      <c r="J1042" s="42"/>
    </row>
    <row r="1043" spans="9:10" x14ac:dyDescent="0.45">
      <c r="I1043" s="42"/>
      <c r="J1043" s="42"/>
    </row>
    <row r="1044" spans="9:10" x14ac:dyDescent="0.45">
      <c r="I1044" s="42"/>
      <c r="J1044" s="42"/>
    </row>
    <row r="1045" spans="9:10" x14ac:dyDescent="0.45">
      <c r="I1045" s="42"/>
      <c r="J1045" s="42"/>
    </row>
    <row r="1046" spans="9:10" x14ac:dyDescent="0.45">
      <c r="I1046" s="42"/>
      <c r="J1046" s="42"/>
    </row>
    <row r="1047" spans="9:10" x14ac:dyDescent="0.45">
      <c r="I1047" s="42"/>
      <c r="J1047" s="42"/>
    </row>
    <row r="1048" spans="9:10" x14ac:dyDescent="0.45">
      <c r="I1048" s="42"/>
      <c r="J1048" s="42"/>
    </row>
    <row r="1049" spans="9:10" x14ac:dyDescent="0.45">
      <c r="I1049" s="42"/>
      <c r="J1049" s="42"/>
    </row>
    <row r="1050" spans="9:10" x14ac:dyDescent="0.45">
      <c r="I1050" s="42"/>
      <c r="J1050" s="42"/>
    </row>
    <row r="1051" spans="9:10" x14ac:dyDescent="0.45">
      <c r="I1051" s="42"/>
      <c r="J1051" s="42"/>
    </row>
    <row r="1052" spans="9:10" x14ac:dyDescent="0.45">
      <c r="I1052" s="42"/>
      <c r="J1052" s="42"/>
    </row>
    <row r="1053" spans="9:10" x14ac:dyDescent="0.45">
      <c r="I1053" s="42"/>
      <c r="J1053" s="42"/>
    </row>
    <row r="1054" spans="9:10" x14ac:dyDescent="0.45">
      <c r="I1054" s="42"/>
      <c r="J1054" s="42"/>
    </row>
    <row r="1055" spans="9:10" x14ac:dyDescent="0.45">
      <c r="I1055" s="42"/>
      <c r="J1055" s="42"/>
    </row>
    <row r="1056" spans="9:10" x14ac:dyDescent="0.45">
      <c r="I1056" s="42"/>
      <c r="J1056" s="42"/>
    </row>
    <row r="1057" spans="9:10" x14ac:dyDescent="0.45">
      <c r="I1057" s="42"/>
      <c r="J1057" s="42"/>
    </row>
    <row r="1058" spans="9:10" x14ac:dyDescent="0.45">
      <c r="I1058" s="42"/>
      <c r="J1058" s="42"/>
    </row>
    <row r="1059" spans="9:10" x14ac:dyDescent="0.45">
      <c r="I1059" s="42"/>
      <c r="J1059" s="42"/>
    </row>
    <row r="1060" spans="9:10" x14ac:dyDescent="0.45">
      <c r="I1060" s="42"/>
      <c r="J1060" s="42"/>
    </row>
    <row r="1061" spans="9:10" x14ac:dyDescent="0.45">
      <c r="I1061" s="42"/>
      <c r="J1061" s="42"/>
    </row>
    <row r="1062" spans="9:10" x14ac:dyDescent="0.45">
      <c r="I1062" s="42"/>
      <c r="J1062" s="42"/>
    </row>
    <row r="1063" spans="9:10" x14ac:dyDescent="0.45">
      <c r="I1063" s="42"/>
      <c r="J1063" s="42"/>
    </row>
    <row r="1064" spans="9:10" x14ac:dyDescent="0.45">
      <c r="I1064" s="42"/>
      <c r="J1064" s="42"/>
    </row>
    <row r="1065" spans="9:10" x14ac:dyDescent="0.45">
      <c r="I1065" s="42"/>
      <c r="J1065" s="42"/>
    </row>
    <row r="1066" spans="9:10" x14ac:dyDescent="0.45">
      <c r="I1066" s="42"/>
      <c r="J1066" s="42"/>
    </row>
    <row r="1067" spans="9:10" x14ac:dyDescent="0.45">
      <c r="I1067" s="42"/>
      <c r="J1067" s="42"/>
    </row>
    <row r="1068" spans="9:10" x14ac:dyDescent="0.45">
      <c r="I1068" s="42"/>
      <c r="J1068" s="42"/>
    </row>
    <row r="1069" spans="9:10" x14ac:dyDescent="0.45">
      <c r="I1069" s="42"/>
      <c r="J1069" s="42"/>
    </row>
    <row r="1070" spans="9:10" x14ac:dyDescent="0.45">
      <c r="I1070" s="42"/>
      <c r="J1070" s="42"/>
    </row>
    <row r="1071" spans="9:10" x14ac:dyDescent="0.45">
      <c r="I1071" s="42"/>
      <c r="J1071" s="42"/>
    </row>
    <row r="1072" spans="9:10" x14ac:dyDescent="0.45">
      <c r="I1072" s="42"/>
      <c r="J1072" s="42"/>
    </row>
    <row r="1073" spans="9:10" x14ac:dyDescent="0.45">
      <c r="I1073" s="42"/>
      <c r="J1073" s="42"/>
    </row>
    <row r="1074" spans="9:10" x14ac:dyDescent="0.45">
      <c r="I1074" s="42"/>
      <c r="J1074" s="42"/>
    </row>
    <row r="1075" spans="9:10" x14ac:dyDescent="0.45">
      <c r="I1075" s="42"/>
      <c r="J1075" s="42"/>
    </row>
    <row r="1076" spans="9:10" x14ac:dyDescent="0.45">
      <c r="I1076" s="42"/>
      <c r="J1076" s="42"/>
    </row>
    <row r="1077" spans="9:10" x14ac:dyDescent="0.45">
      <c r="I1077" s="42"/>
      <c r="J1077" s="42"/>
    </row>
    <row r="1078" spans="9:10" x14ac:dyDescent="0.45">
      <c r="I1078" s="42"/>
      <c r="J1078" s="42"/>
    </row>
    <row r="1079" spans="9:10" x14ac:dyDescent="0.45">
      <c r="I1079" s="42"/>
      <c r="J1079" s="42"/>
    </row>
    <row r="1080" spans="9:10" x14ac:dyDescent="0.45">
      <c r="I1080" s="42"/>
      <c r="J1080" s="42"/>
    </row>
    <row r="1081" spans="9:10" x14ac:dyDescent="0.45">
      <c r="I1081" s="42"/>
      <c r="J1081" s="42"/>
    </row>
    <row r="1082" spans="9:10" x14ac:dyDescent="0.45">
      <c r="I1082" s="42"/>
      <c r="J1082" s="42"/>
    </row>
    <row r="1083" spans="9:10" x14ac:dyDescent="0.45">
      <c r="I1083" s="42"/>
      <c r="J1083" s="42"/>
    </row>
    <row r="1084" spans="9:10" x14ac:dyDescent="0.45">
      <c r="I1084" s="42"/>
      <c r="J1084" s="42"/>
    </row>
    <row r="1085" spans="9:10" x14ac:dyDescent="0.45">
      <c r="I1085" s="42"/>
      <c r="J1085" s="42"/>
    </row>
    <row r="1086" spans="9:10" x14ac:dyDescent="0.45">
      <c r="I1086" s="42"/>
      <c r="J1086" s="42"/>
    </row>
    <row r="1087" spans="9:10" x14ac:dyDescent="0.45">
      <c r="I1087" s="42"/>
      <c r="J1087" s="42"/>
    </row>
    <row r="1088" spans="9:10" x14ac:dyDescent="0.45">
      <c r="I1088" s="42"/>
      <c r="J1088" s="42"/>
    </row>
    <row r="1089" spans="9:10" x14ac:dyDescent="0.45">
      <c r="I1089" s="42"/>
      <c r="J1089" s="42"/>
    </row>
    <row r="1090" spans="9:10" x14ac:dyDescent="0.45">
      <c r="I1090" s="42"/>
      <c r="J1090" s="42"/>
    </row>
    <row r="1091" spans="9:10" x14ac:dyDescent="0.45">
      <c r="I1091" s="42"/>
      <c r="J1091" s="42"/>
    </row>
    <row r="1092" spans="9:10" x14ac:dyDescent="0.45">
      <c r="I1092" s="42"/>
      <c r="J1092" s="42"/>
    </row>
    <row r="1093" spans="9:10" x14ac:dyDescent="0.45">
      <c r="I1093" s="42"/>
      <c r="J1093" s="42"/>
    </row>
    <row r="1094" spans="9:10" x14ac:dyDescent="0.45">
      <c r="I1094" s="42"/>
      <c r="J1094" s="42"/>
    </row>
    <row r="1095" spans="9:10" x14ac:dyDescent="0.45">
      <c r="I1095" s="42"/>
      <c r="J1095" s="42"/>
    </row>
    <row r="1096" spans="9:10" x14ac:dyDescent="0.45">
      <c r="I1096" s="42"/>
      <c r="J1096" s="42"/>
    </row>
    <row r="1097" spans="9:10" x14ac:dyDescent="0.45">
      <c r="I1097" s="42"/>
      <c r="J1097" s="42"/>
    </row>
    <row r="1098" spans="9:10" x14ac:dyDescent="0.45">
      <c r="I1098" s="42"/>
      <c r="J1098" s="42"/>
    </row>
    <row r="1099" spans="9:10" x14ac:dyDescent="0.45">
      <c r="I1099" s="42"/>
      <c r="J1099" s="42"/>
    </row>
    <row r="1100" spans="9:10" x14ac:dyDescent="0.45">
      <c r="I1100" s="42"/>
      <c r="J1100" s="42"/>
    </row>
    <row r="1101" spans="9:10" x14ac:dyDescent="0.45">
      <c r="I1101" s="42"/>
      <c r="J1101" s="42"/>
    </row>
    <row r="1102" spans="9:10" x14ac:dyDescent="0.45">
      <c r="I1102" s="42"/>
      <c r="J1102" s="42"/>
    </row>
    <row r="1103" spans="9:10" x14ac:dyDescent="0.45">
      <c r="I1103" s="42"/>
      <c r="J1103" s="42"/>
    </row>
    <row r="1104" spans="9:10" x14ac:dyDescent="0.45">
      <c r="I1104" s="42"/>
      <c r="J1104" s="42"/>
    </row>
    <row r="1105" spans="9:10" x14ac:dyDescent="0.45">
      <c r="I1105" s="42"/>
      <c r="J1105" s="42"/>
    </row>
    <row r="1106" spans="9:10" x14ac:dyDescent="0.45">
      <c r="I1106" s="42"/>
      <c r="J1106" s="42"/>
    </row>
    <row r="1107" spans="9:10" x14ac:dyDescent="0.45">
      <c r="I1107" s="42"/>
      <c r="J1107" s="42"/>
    </row>
    <row r="1108" spans="9:10" x14ac:dyDescent="0.45">
      <c r="I1108" s="42"/>
      <c r="J1108" s="42"/>
    </row>
    <row r="1109" spans="9:10" x14ac:dyDescent="0.45">
      <c r="I1109" s="42"/>
      <c r="J1109" s="42"/>
    </row>
    <row r="1110" spans="9:10" x14ac:dyDescent="0.45">
      <c r="I1110" s="42"/>
      <c r="J1110" s="42"/>
    </row>
    <row r="1111" spans="9:10" x14ac:dyDescent="0.45">
      <c r="I1111" s="42"/>
      <c r="J1111" s="42"/>
    </row>
    <row r="1112" spans="9:10" x14ac:dyDescent="0.45">
      <c r="I1112" s="42"/>
      <c r="J1112" s="42"/>
    </row>
    <row r="1113" spans="9:10" x14ac:dyDescent="0.45">
      <c r="I1113" s="42"/>
      <c r="J1113" s="42"/>
    </row>
    <row r="1114" spans="9:10" x14ac:dyDescent="0.45">
      <c r="I1114" s="42"/>
      <c r="J1114" s="42"/>
    </row>
    <row r="1115" spans="9:10" x14ac:dyDescent="0.45">
      <c r="I1115" s="42"/>
      <c r="J1115" s="42"/>
    </row>
    <row r="1116" spans="9:10" x14ac:dyDescent="0.45">
      <c r="I1116" s="42"/>
      <c r="J1116" s="42"/>
    </row>
    <row r="1117" spans="9:10" x14ac:dyDescent="0.45">
      <c r="I1117" s="42"/>
      <c r="J1117" s="42"/>
    </row>
    <row r="1118" spans="9:10" x14ac:dyDescent="0.45">
      <c r="I1118" s="42"/>
      <c r="J1118" s="42"/>
    </row>
    <row r="1119" spans="9:10" x14ac:dyDescent="0.45">
      <c r="I1119" s="42"/>
      <c r="J1119" s="42"/>
    </row>
    <row r="1120" spans="9:10" x14ac:dyDescent="0.45">
      <c r="I1120" s="42"/>
      <c r="J1120" s="42"/>
    </row>
    <row r="1121" spans="9:10" x14ac:dyDescent="0.45">
      <c r="I1121" s="42"/>
      <c r="J1121" s="42"/>
    </row>
    <row r="1122" spans="9:10" x14ac:dyDescent="0.45">
      <c r="I1122" s="42"/>
      <c r="J1122" s="42"/>
    </row>
    <row r="1123" spans="9:10" x14ac:dyDescent="0.45">
      <c r="I1123" s="42"/>
      <c r="J1123" s="42"/>
    </row>
    <row r="1124" spans="9:10" x14ac:dyDescent="0.45">
      <c r="I1124" s="42"/>
      <c r="J1124" s="42"/>
    </row>
    <row r="1125" spans="9:10" x14ac:dyDescent="0.45">
      <c r="I1125" s="42"/>
      <c r="J1125" s="42"/>
    </row>
    <row r="1126" spans="9:10" x14ac:dyDescent="0.45">
      <c r="I1126" s="42"/>
      <c r="J1126" s="42"/>
    </row>
    <row r="1127" spans="9:10" x14ac:dyDescent="0.45">
      <c r="I1127" s="42"/>
      <c r="J1127" s="42"/>
    </row>
    <row r="1128" spans="9:10" x14ac:dyDescent="0.45">
      <c r="I1128" s="42"/>
      <c r="J1128" s="42"/>
    </row>
    <row r="1129" spans="9:10" x14ac:dyDescent="0.45">
      <c r="I1129" s="42"/>
      <c r="J1129" s="42"/>
    </row>
    <row r="1130" spans="9:10" x14ac:dyDescent="0.45">
      <c r="I1130" s="42"/>
      <c r="J1130" s="42"/>
    </row>
    <row r="1131" spans="9:10" x14ac:dyDescent="0.45">
      <c r="I1131" s="42"/>
      <c r="J1131" s="42"/>
    </row>
    <row r="1132" spans="9:10" x14ac:dyDescent="0.45">
      <c r="I1132" s="42"/>
      <c r="J1132" s="42"/>
    </row>
    <row r="1133" spans="9:10" x14ac:dyDescent="0.45">
      <c r="I1133" s="42"/>
      <c r="J1133" s="42"/>
    </row>
    <row r="1134" spans="9:10" x14ac:dyDescent="0.45">
      <c r="I1134" s="42"/>
      <c r="J1134" s="42"/>
    </row>
    <row r="1135" spans="9:10" x14ac:dyDescent="0.45">
      <c r="I1135" s="42"/>
      <c r="J1135" s="42"/>
    </row>
    <row r="1136" spans="9:10" x14ac:dyDescent="0.45">
      <c r="I1136" s="42"/>
      <c r="J1136" s="42"/>
    </row>
    <row r="1137" spans="9:10" x14ac:dyDescent="0.45">
      <c r="I1137" s="42"/>
      <c r="J1137" s="42"/>
    </row>
    <row r="1138" spans="9:10" x14ac:dyDescent="0.45">
      <c r="I1138" s="42"/>
      <c r="J1138" s="42"/>
    </row>
    <row r="1139" spans="9:10" x14ac:dyDescent="0.45">
      <c r="I1139" s="42"/>
      <c r="J1139" s="42"/>
    </row>
    <row r="1140" spans="9:10" x14ac:dyDescent="0.45">
      <c r="I1140" s="42"/>
      <c r="J1140" s="42"/>
    </row>
    <row r="1141" spans="9:10" x14ac:dyDescent="0.45">
      <c r="I1141" s="42"/>
      <c r="J1141" s="42"/>
    </row>
    <row r="1142" spans="9:10" x14ac:dyDescent="0.45">
      <c r="I1142" s="42"/>
      <c r="J1142" s="42"/>
    </row>
    <row r="1143" spans="9:10" x14ac:dyDescent="0.45">
      <c r="I1143" s="42"/>
      <c r="J1143" s="42"/>
    </row>
    <row r="1144" spans="9:10" x14ac:dyDescent="0.45">
      <c r="I1144" s="42"/>
      <c r="J1144" s="42"/>
    </row>
    <row r="1145" spans="9:10" x14ac:dyDescent="0.45">
      <c r="I1145" s="42"/>
      <c r="J1145" s="42"/>
    </row>
    <row r="1146" spans="9:10" x14ac:dyDescent="0.45">
      <c r="I1146" s="42"/>
      <c r="J1146" s="42"/>
    </row>
    <row r="1147" spans="9:10" x14ac:dyDescent="0.45">
      <c r="I1147" s="42"/>
      <c r="J1147" s="42"/>
    </row>
    <row r="1148" spans="9:10" x14ac:dyDescent="0.45">
      <c r="I1148" s="42"/>
      <c r="J1148" s="42"/>
    </row>
    <row r="1149" spans="9:10" x14ac:dyDescent="0.45">
      <c r="I1149" s="42"/>
      <c r="J1149" s="42"/>
    </row>
    <row r="1150" spans="9:10" x14ac:dyDescent="0.45">
      <c r="I1150" s="42"/>
      <c r="J1150" s="42"/>
    </row>
    <row r="1151" spans="9:10" x14ac:dyDescent="0.45">
      <c r="I1151" s="42"/>
      <c r="J1151" s="42"/>
    </row>
    <row r="1152" spans="9:10" x14ac:dyDescent="0.45">
      <c r="I1152" s="42"/>
      <c r="J1152" s="42"/>
    </row>
    <row r="1153" spans="9:10" x14ac:dyDescent="0.45">
      <c r="I1153" s="42"/>
      <c r="J1153" s="42"/>
    </row>
    <row r="1154" spans="9:10" x14ac:dyDescent="0.45">
      <c r="I1154" s="42"/>
      <c r="J1154" s="42"/>
    </row>
    <row r="1155" spans="9:10" x14ac:dyDescent="0.45">
      <c r="I1155" s="42"/>
      <c r="J1155" s="42"/>
    </row>
    <row r="1156" spans="9:10" x14ac:dyDescent="0.45">
      <c r="I1156" s="42"/>
      <c r="J1156" s="42"/>
    </row>
    <row r="1157" spans="9:10" x14ac:dyDescent="0.45">
      <c r="I1157" s="42"/>
      <c r="J1157" s="42"/>
    </row>
    <row r="1158" spans="9:10" x14ac:dyDescent="0.45">
      <c r="I1158" s="42"/>
      <c r="J1158" s="42"/>
    </row>
    <row r="1159" spans="9:10" x14ac:dyDescent="0.45">
      <c r="I1159" s="42"/>
      <c r="J1159" s="42"/>
    </row>
    <row r="1160" spans="9:10" x14ac:dyDescent="0.45">
      <c r="I1160" s="42"/>
      <c r="J1160" s="42"/>
    </row>
    <row r="1161" spans="9:10" x14ac:dyDescent="0.45">
      <c r="I1161" s="42"/>
      <c r="J1161" s="42"/>
    </row>
    <row r="1162" spans="9:10" x14ac:dyDescent="0.45">
      <c r="I1162" s="42"/>
      <c r="J1162" s="42"/>
    </row>
    <row r="1163" spans="9:10" x14ac:dyDescent="0.45">
      <c r="I1163" s="42"/>
      <c r="J1163" s="42"/>
    </row>
    <row r="1164" spans="9:10" x14ac:dyDescent="0.45">
      <c r="I1164" s="42"/>
      <c r="J1164" s="42"/>
    </row>
    <row r="1165" spans="9:10" x14ac:dyDescent="0.45">
      <c r="I1165" s="42"/>
      <c r="J1165" s="42"/>
    </row>
    <row r="1166" spans="9:10" x14ac:dyDescent="0.45">
      <c r="I1166" s="42"/>
      <c r="J1166" s="42"/>
    </row>
    <row r="1167" spans="9:10" x14ac:dyDescent="0.45">
      <c r="I1167" s="42"/>
      <c r="J1167" s="42"/>
    </row>
    <row r="1168" spans="9:10" x14ac:dyDescent="0.45">
      <c r="I1168" s="42"/>
      <c r="J1168" s="42"/>
    </row>
    <row r="1169" spans="9:10" x14ac:dyDescent="0.45">
      <c r="I1169" s="42"/>
      <c r="J1169" s="42"/>
    </row>
    <row r="1170" spans="9:10" x14ac:dyDescent="0.45">
      <c r="I1170" s="42"/>
      <c r="J1170" s="42"/>
    </row>
    <row r="1171" spans="9:10" x14ac:dyDescent="0.45">
      <c r="I1171" s="42"/>
      <c r="J1171" s="42"/>
    </row>
    <row r="1172" spans="9:10" x14ac:dyDescent="0.45">
      <c r="I1172" s="42"/>
      <c r="J1172" s="42"/>
    </row>
    <row r="1173" spans="9:10" x14ac:dyDescent="0.45">
      <c r="I1173" s="42"/>
      <c r="J1173" s="42"/>
    </row>
    <row r="1174" spans="9:10" x14ac:dyDescent="0.45">
      <c r="I1174" s="42"/>
      <c r="J1174" s="42"/>
    </row>
    <row r="1175" spans="9:10" x14ac:dyDescent="0.45">
      <c r="I1175" s="42"/>
      <c r="J1175" s="42"/>
    </row>
    <row r="1176" spans="9:10" x14ac:dyDescent="0.45">
      <c r="I1176" s="42"/>
      <c r="J1176" s="42"/>
    </row>
    <row r="1177" spans="9:10" x14ac:dyDescent="0.45">
      <c r="I1177" s="42"/>
      <c r="J1177" s="42"/>
    </row>
    <row r="1178" spans="9:10" x14ac:dyDescent="0.45">
      <c r="I1178" s="42"/>
      <c r="J1178" s="42"/>
    </row>
    <row r="1179" spans="9:10" x14ac:dyDescent="0.45">
      <c r="I1179" s="42"/>
      <c r="J1179" s="42"/>
    </row>
    <row r="1180" spans="9:10" x14ac:dyDescent="0.45">
      <c r="I1180" s="42"/>
      <c r="J1180" s="42"/>
    </row>
    <row r="1181" spans="9:10" x14ac:dyDescent="0.45">
      <c r="I1181" s="42"/>
      <c r="J1181" s="42"/>
    </row>
    <row r="1182" spans="9:10" x14ac:dyDescent="0.45">
      <c r="I1182" s="42"/>
      <c r="J1182" s="42"/>
    </row>
    <row r="1183" spans="9:10" x14ac:dyDescent="0.45">
      <c r="I1183" s="42"/>
      <c r="J1183" s="42"/>
    </row>
    <row r="1184" spans="9:10" x14ac:dyDescent="0.45">
      <c r="I1184" s="42"/>
      <c r="J1184" s="42"/>
    </row>
    <row r="1185" spans="9:10" x14ac:dyDescent="0.45">
      <c r="I1185" s="42"/>
      <c r="J1185" s="42"/>
    </row>
    <row r="1186" spans="9:10" x14ac:dyDescent="0.45">
      <c r="I1186" s="42"/>
      <c r="J1186" s="42"/>
    </row>
    <row r="1187" spans="9:10" x14ac:dyDescent="0.45">
      <c r="I1187" s="42"/>
      <c r="J1187" s="42"/>
    </row>
    <row r="1188" spans="9:10" x14ac:dyDescent="0.45">
      <c r="I1188" s="42"/>
      <c r="J1188" s="42"/>
    </row>
    <row r="1189" spans="9:10" x14ac:dyDescent="0.45">
      <c r="I1189" s="42"/>
      <c r="J1189" s="42"/>
    </row>
    <row r="1190" spans="9:10" x14ac:dyDescent="0.45">
      <c r="I1190" s="42"/>
      <c r="J1190" s="42"/>
    </row>
    <row r="1191" spans="9:10" x14ac:dyDescent="0.45">
      <c r="I1191" s="42"/>
      <c r="J1191" s="42"/>
    </row>
    <row r="1192" spans="9:10" x14ac:dyDescent="0.45">
      <c r="I1192" s="42"/>
      <c r="J1192" s="42"/>
    </row>
    <row r="1193" spans="9:10" x14ac:dyDescent="0.45">
      <c r="I1193" s="42"/>
      <c r="J1193" s="42"/>
    </row>
    <row r="1194" spans="9:10" x14ac:dyDescent="0.45">
      <c r="I1194" s="42"/>
      <c r="J1194" s="42"/>
    </row>
    <row r="1195" spans="9:10" x14ac:dyDescent="0.45">
      <c r="I1195" s="42"/>
      <c r="J1195" s="42"/>
    </row>
    <row r="1196" spans="9:10" x14ac:dyDescent="0.45">
      <c r="I1196" s="42"/>
      <c r="J1196" s="42"/>
    </row>
    <row r="1197" spans="9:10" x14ac:dyDescent="0.45">
      <c r="I1197" s="42"/>
      <c r="J1197" s="42"/>
    </row>
    <row r="1198" spans="9:10" x14ac:dyDescent="0.45">
      <c r="I1198" s="42"/>
      <c r="J1198" s="42"/>
    </row>
    <row r="1199" spans="9:10" x14ac:dyDescent="0.45">
      <c r="I1199" s="42"/>
      <c r="J1199" s="42"/>
    </row>
    <row r="1200" spans="9:10" x14ac:dyDescent="0.45">
      <c r="I1200" s="42"/>
      <c r="J1200" s="42"/>
    </row>
    <row r="1201" spans="9:10" x14ac:dyDescent="0.45">
      <c r="I1201" s="42"/>
      <c r="J1201" s="42"/>
    </row>
    <row r="1202" spans="9:10" x14ac:dyDescent="0.45">
      <c r="I1202" s="42"/>
      <c r="J1202" s="42"/>
    </row>
    <row r="1203" spans="9:10" x14ac:dyDescent="0.45">
      <c r="I1203" s="42"/>
      <c r="J1203" s="42"/>
    </row>
    <row r="1204" spans="9:10" x14ac:dyDescent="0.45">
      <c r="I1204" s="42"/>
      <c r="J1204" s="42"/>
    </row>
    <row r="1205" spans="9:10" x14ac:dyDescent="0.45">
      <c r="I1205" s="42"/>
      <c r="J1205" s="42"/>
    </row>
    <row r="1206" spans="9:10" x14ac:dyDescent="0.45">
      <c r="I1206" s="42"/>
      <c r="J1206" s="42"/>
    </row>
    <row r="1207" spans="9:10" x14ac:dyDescent="0.45">
      <c r="I1207" s="42"/>
      <c r="J1207" s="42"/>
    </row>
    <row r="1208" spans="9:10" x14ac:dyDescent="0.45">
      <c r="I1208" s="42"/>
      <c r="J1208" s="42"/>
    </row>
    <row r="1209" spans="9:10" x14ac:dyDescent="0.45">
      <c r="I1209" s="42"/>
      <c r="J1209" s="42"/>
    </row>
    <row r="1210" spans="9:10" x14ac:dyDescent="0.45">
      <c r="I1210" s="42"/>
      <c r="J1210" s="42"/>
    </row>
    <row r="1211" spans="9:10" x14ac:dyDescent="0.45">
      <c r="I1211" s="42"/>
      <c r="J1211" s="42"/>
    </row>
    <row r="1212" spans="9:10" x14ac:dyDescent="0.45">
      <c r="I1212" s="42"/>
      <c r="J1212" s="42"/>
    </row>
    <row r="1213" spans="9:10" x14ac:dyDescent="0.45">
      <c r="I1213" s="42"/>
      <c r="J1213" s="42"/>
    </row>
    <row r="1214" spans="9:10" x14ac:dyDescent="0.45">
      <c r="I1214" s="42"/>
      <c r="J1214" s="42"/>
    </row>
    <row r="1215" spans="9:10" x14ac:dyDescent="0.45">
      <c r="I1215" s="42"/>
      <c r="J1215" s="42"/>
    </row>
    <row r="1216" spans="9:10" x14ac:dyDescent="0.45">
      <c r="I1216" s="42"/>
      <c r="J1216" s="42"/>
    </row>
    <row r="1217" spans="9:10" x14ac:dyDescent="0.45">
      <c r="I1217" s="42"/>
      <c r="J1217" s="42"/>
    </row>
    <row r="1218" spans="9:10" x14ac:dyDescent="0.45">
      <c r="I1218" s="42"/>
      <c r="J1218" s="42"/>
    </row>
    <row r="1219" spans="9:10" x14ac:dyDescent="0.45">
      <c r="I1219" s="42"/>
      <c r="J1219" s="42"/>
    </row>
    <row r="1220" spans="9:10" x14ac:dyDescent="0.45">
      <c r="I1220" s="42"/>
      <c r="J1220" s="42"/>
    </row>
    <row r="1221" spans="9:10" x14ac:dyDescent="0.45">
      <c r="I1221" s="42"/>
      <c r="J1221" s="42"/>
    </row>
    <row r="1222" spans="9:10" x14ac:dyDescent="0.45">
      <c r="I1222" s="42"/>
      <c r="J1222" s="42"/>
    </row>
    <row r="1223" spans="9:10" x14ac:dyDescent="0.45">
      <c r="I1223" s="42"/>
      <c r="J1223" s="42"/>
    </row>
    <row r="1224" spans="9:10" x14ac:dyDescent="0.45">
      <c r="I1224" s="42"/>
      <c r="J1224" s="42"/>
    </row>
    <row r="1225" spans="9:10" x14ac:dyDescent="0.45">
      <c r="I1225" s="42"/>
      <c r="J1225" s="42"/>
    </row>
    <row r="1226" spans="9:10" x14ac:dyDescent="0.45">
      <c r="I1226" s="42"/>
      <c r="J1226" s="42"/>
    </row>
    <row r="1227" spans="9:10" x14ac:dyDescent="0.45">
      <c r="I1227" s="42"/>
      <c r="J1227" s="42"/>
    </row>
    <row r="1228" spans="9:10" x14ac:dyDescent="0.45">
      <c r="I1228" s="42"/>
      <c r="J1228" s="42"/>
    </row>
    <row r="1229" spans="9:10" x14ac:dyDescent="0.45">
      <c r="I1229" s="42"/>
      <c r="J1229" s="42"/>
    </row>
    <row r="1230" spans="9:10" x14ac:dyDescent="0.45">
      <c r="I1230" s="42"/>
      <c r="J1230" s="42"/>
    </row>
    <row r="1231" spans="9:10" x14ac:dyDescent="0.45">
      <c r="I1231" s="42"/>
      <c r="J1231" s="42"/>
    </row>
    <row r="1232" spans="9:10" x14ac:dyDescent="0.45">
      <c r="I1232" s="42"/>
      <c r="J1232" s="42"/>
    </row>
    <row r="1233" spans="9:10" x14ac:dyDescent="0.45">
      <c r="I1233" s="42"/>
      <c r="J1233" s="42"/>
    </row>
    <row r="1234" spans="9:10" x14ac:dyDescent="0.45">
      <c r="I1234" s="42"/>
      <c r="J1234" s="42"/>
    </row>
    <row r="1235" spans="9:10" x14ac:dyDescent="0.45">
      <c r="I1235" s="42"/>
      <c r="J1235" s="42"/>
    </row>
    <row r="1236" spans="9:10" x14ac:dyDescent="0.45">
      <c r="I1236" s="42"/>
      <c r="J1236" s="42"/>
    </row>
    <row r="1237" spans="9:10" x14ac:dyDescent="0.45">
      <c r="I1237" s="42"/>
      <c r="J1237" s="42"/>
    </row>
    <row r="1238" spans="9:10" x14ac:dyDescent="0.45">
      <c r="I1238" s="42"/>
      <c r="J1238" s="42"/>
    </row>
    <row r="1239" spans="9:10" x14ac:dyDescent="0.45">
      <c r="I1239" s="42"/>
      <c r="J1239" s="42"/>
    </row>
    <row r="1240" spans="9:10" x14ac:dyDescent="0.45">
      <c r="I1240" s="42"/>
      <c r="J1240" s="42"/>
    </row>
    <row r="1241" spans="9:10" x14ac:dyDescent="0.45">
      <c r="I1241" s="42"/>
      <c r="J1241" s="42"/>
    </row>
    <row r="1242" spans="9:10" x14ac:dyDescent="0.45">
      <c r="I1242" s="42"/>
      <c r="J1242" s="42"/>
    </row>
    <row r="1243" spans="9:10" x14ac:dyDescent="0.45">
      <c r="I1243" s="42"/>
      <c r="J1243" s="42"/>
    </row>
    <row r="1244" spans="9:10" x14ac:dyDescent="0.45">
      <c r="I1244" s="42"/>
      <c r="J1244" s="42"/>
    </row>
    <row r="1245" spans="9:10" x14ac:dyDescent="0.45">
      <c r="I1245" s="42"/>
      <c r="J1245" s="42"/>
    </row>
    <row r="1246" spans="9:10" x14ac:dyDescent="0.45">
      <c r="I1246" s="42"/>
      <c r="J1246" s="42"/>
    </row>
    <row r="1247" spans="9:10" x14ac:dyDescent="0.45">
      <c r="I1247" s="42"/>
      <c r="J1247" s="42"/>
    </row>
    <row r="1248" spans="9:10" x14ac:dyDescent="0.45">
      <c r="I1248" s="42"/>
      <c r="J1248" s="42"/>
    </row>
    <row r="1249" spans="9:10" x14ac:dyDescent="0.45">
      <c r="I1249" s="42"/>
      <c r="J1249" s="42"/>
    </row>
    <row r="1250" spans="9:10" x14ac:dyDescent="0.45">
      <c r="I1250" s="42"/>
      <c r="J1250" s="42"/>
    </row>
    <row r="1251" spans="9:10" x14ac:dyDescent="0.45">
      <c r="I1251" s="42"/>
      <c r="J1251" s="42"/>
    </row>
    <row r="1252" spans="9:10" x14ac:dyDescent="0.45">
      <c r="I1252" s="42"/>
      <c r="J1252" s="42"/>
    </row>
    <row r="1253" spans="9:10" x14ac:dyDescent="0.45">
      <c r="I1253" s="42"/>
      <c r="J1253" s="42"/>
    </row>
    <row r="1254" spans="9:10" x14ac:dyDescent="0.45">
      <c r="I1254" s="42"/>
      <c r="J1254" s="42"/>
    </row>
    <row r="1255" spans="9:10" x14ac:dyDescent="0.45">
      <c r="I1255" s="42"/>
      <c r="J1255" s="42"/>
    </row>
    <row r="1256" spans="9:10" x14ac:dyDescent="0.45">
      <c r="I1256" s="42"/>
      <c r="J1256" s="42"/>
    </row>
    <row r="1257" spans="9:10" x14ac:dyDescent="0.45">
      <c r="I1257" s="42"/>
      <c r="J1257" s="42"/>
    </row>
    <row r="1258" spans="9:10" x14ac:dyDescent="0.45">
      <c r="I1258" s="42"/>
      <c r="J1258" s="42"/>
    </row>
    <row r="1259" spans="9:10" x14ac:dyDescent="0.45">
      <c r="I1259" s="42"/>
      <c r="J1259" s="42"/>
    </row>
    <row r="1260" spans="9:10" x14ac:dyDescent="0.45">
      <c r="I1260" s="42"/>
      <c r="J1260" s="42"/>
    </row>
    <row r="1261" spans="9:10" x14ac:dyDescent="0.45">
      <c r="I1261" s="42"/>
      <c r="J1261" s="42"/>
    </row>
    <row r="1262" spans="9:10" x14ac:dyDescent="0.45">
      <c r="I1262" s="42"/>
      <c r="J1262" s="42"/>
    </row>
    <row r="1263" spans="9:10" x14ac:dyDescent="0.45">
      <c r="I1263" s="42"/>
      <c r="J1263" s="42"/>
    </row>
    <row r="1264" spans="9:10" x14ac:dyDescent="0.45">
      <c r="I1264" s="42"/>
      <c r="J1264" s="42"/>
    </row>
    <row r="1265" spans="9:10" x14ac:dyDescent="0.45">
      <c r="I1265" s="42"/>
      <c r="J1265" s="42"/>
    </row>
    <row r="1266" spans="9:10" x14ac:dyDescent="0.45">
      <c r="I1266" s="42"/>
      <c r="J1266" s="42"/>
    </row>
    <row r="1267" spans="9:10" x14ac:dyDescent="0.45">
      <c r="I1267" s="42"/>
      <c r="J1267" s="42"/>
    </row>
    <row r="1268" spans="9:10" x14ac:dyDescent="0.45">
      <c r="I1268" s="42"/>
      <c r="J1268" s="42"/>
    </row>
    <row r="1269" spans="9:10" x14ac:dyDescent="0.45">
      <c r="I1269" s="42"/>
      <c r="J1269" s="42"/>
    </row>
    <row r="1270" spans="9:10" x14ac:dyDescent="0.45">
      <c r="I1270" s="42"/>
      <c r="J1270" s="42"/>
    </row>
    <row r="1271" spans="9:10" x14ac:dyDescent="0.45">
      <c r="I1271" s="42"/>
      <c r="J1271" s="42"/>
    </row>
    <row r="1272" spans="9:10" x14ac:dyDescent="0.45">
      <c r="I1272" s="42"/>
      <c r="J1272" s="42"/>
    </row>
    <row r="1273" spans="9:10" x14ac:dyDescent="0.45">
      <c r="I1273" s="42"/>
      <c r="J1273" s="42"/>
    </row>
    <row r="1274" spans="9:10" x14ac:dyDescent="0.45">
      <c r="I1274" s="42"/>
      <c r="J1274" s="42"/>
    </row>
    <row r="1275" spans="9:10" x14ac:dyDescent="0.45">
      <c r="I1275" s="42"/>
      <c r="J1275" s="42"/>
    </row>
    <row r="1276" spans="9:10" x14ac:dyDescent="0.45">
      <c r="I1276" s="42"/>
      <c r="J1276" s="42"/>
    </row>
    <row r="1277" spans="9:10" x14ac:dyDescent="0.45">
      <c r="I1277" s="42"/>
      <c r="J1277" s="42"/>
    </row>
    <row r="1278" spans="9:10" x14ac:dyDescent="0.45">
      <c r="I1278" s="42"/>
      <c r="J1278" s="42"/>
    </row>
    <row r="1279" spans="9:10" x14ac:dyDescent="0.45">
      <c r="I1279" s="42"/>
      <c r="J1279" s="42"/>
    </row>
    <row r="1280" spans="9:10" x14ac:dyDescent="0.45">
      <c r="I1280" s="42"/>
      <c r="J1280" s="42"/>
    </row>
    <row r="1281" spans="9:10" x14ac:dyDescent="0.45">
      <c r="I1281" s="42"/>
      <c r="J1281" s="42"/>
    </row>
    <row r="1282" spans="9:10" x14ac:dyDescent="0.45">
      <c r="I1282" s="42"/>
      <c r="J1282" s="42"/>
    </row>
    <row r="1283" spans="9:10" x14ac:dyDescent="0.45">
      <c r="I1283" s="42"/>
      <c r="J1283" s="42"/>
    </row>
    <row r="1284" spans="9:10" x14ac:dyDescent="0.45">
      <c r="I1284" s="42"/>
      <c r="J1284" s="42"/>
    </row>
    <row r="1285" spans="9:10" x14ac:dyDescent="0.45">
      <c r="I1285" s="42"/>
      <c r="J1285" s="42"/>
    </row>
    <row r="1286" spans="9:10" x14ac:dyDescent="0.45">
      <c r="I1286" s="42"/>
      <c r="J1286" s="42"/>
    </row>
    <row r="1287" spans="9:10" x14ac:dyDescent="0.45">
      <c r="I1287" s="42"/>
      <c r="J1287" s="42"/>
    </row>
    <row r="1288" spans="9:10" x14ac:dyDescent="0.45">
      <c r="I1288" s="42"/>
      <c r="J1288" s="42"/>
    </row>
    <row r="1289" spans="9:10" x14ac:dyDescent="0.45">
      <c r="I1289" s="42"/>
      <c r="J1289" s="42"/>
    </row>
    <row r="1290" spans="9:10" x14ac:dyDescent="0.45">
      <c r="I1290" s="42"/>
      <c r="J1290" s="42"/>
    </row>
    <row r="1291" spans="9:10" x14ac:dyDescent="0.45">
      <c r="I1291" s="42"/>
      <c r="J1291" s="42"/>
    </row>
    <row r="1292" spans="9:10" x14ac:dyDescent="0.45">
      <c r="I1292" s="42"/>
      <c r="J1292" s="42"/>
    </row>
    <row r="1293" spans="9:10" x14ac:dyDescent="0.45">
      <c r="I1293" s="42"/>
      <c r="J1293" s="42"/>
    </row>
    <row r="1294" spans="9:10" x14ac:dyDescent="0.45">
      <c r="I1294" s="42"/>
      <c r="J1294" s="42"/>
    </row>
    <row r="1295" spans="9:10" x14ac:dyDescent="0.45">
      <c r="I1295" s="42"/>
      <c r="J1295" s="42"/>
    </row>
    <row r="1296" spans="9:10" x14ac:dyDescent="0.45">
      <c r="I1296" s="42"/>
      <c r="J1296" s="42"/>
    </row>
    <row r="1297" spans="9:10" x14ac:dyDescent="0.45">
      <c r="I1297" s="42"/>
      <c r="J1297" s="42"/>
    </row>
    <row r="1298" spans="9:10" x14ac:dyDescent="0.45">
      <c r="I1298" s="42"/>
      <c r="J1298" s="42"/>
    </row>
    <row r="1299" spans="9:10" x14ac:dyDescent="0.45">
      <c r="I1299" s="42"/>
      <c r="J1299" s="42"/>
    </row>
    <row r="1300" spans="9:10" x14ac:dyDescent="0.45">
      <c r="I1300" s="42"/>
      <c r="J1300" s="42"/>
    </row>
    <row r="1301" spans="9:10" x14ac:dyDescent="0.45">
      <c r="I1301" s="42"/>
      <c r="J1301" s="42"/>
    </row>
    <row r="1302" spans="9:10" x14ac:dyDescent="0.45">
      <c r="I1302" s="42"/>
      <c r="J1302" s="42"/>
    </row>
    <row r="1303" spans="9:10" x14ac:dyDescent="0.45">
      <c r="I1303" s="42"/>
      <c r="J1303" s="42"/>
    </row>
    <row r="1304" spans="9:10" x14ac:dyDescent="0.45">
      <c r="I1304" s="42"/>
      <c r="J1304" s="42"/>
    </row>
    <row r="1305" spans="9:10" x14ac:dyDescent="0.45">
      <c r="I1305" s="42"/>
      <c r="J1305" s="42"/>
    </row>
    <row r="1306" spans="9:10" x14ac:dyDescent="0.45">
      <c r="I1306" s="42"/>
      <c r="J1306" s="42"/>
    </row>
    <row r="1307" spans="9:10" x14ac:dyDescent="0.45">
      <c r="I1307" s="42"/>
      <c r="J1307" s="42"/>
    </row>
    <row r="1308" spans="9:10" x14ac:dyDescent="0.45">
      <c r="I1308" s="42"/>
      <c r="J1308" s="42"/>
    </row>
    <row r="1309" spans="9:10" x14ac:dyDescent="0.45">
      <c r="I1309" s="42"/>
      <c r="J1309" s="42"/>
    </row>
    <row r="1310" spans="9:10" x14ac:dyDescent="0.45">
      <c r="I1310" s="42"/>
      <c r="J1310" s="42"/>
    </row>
    <row r="1311" spans="9:10" x14ac:dyDescent="0.45">
      <c r="I1311" s="42"/>
      <c r="J1311" s="42"/>
    </row>
    <row r="1312" spans="9:10" x14ac:dyDescent="0.45">
      <c r="I1312" s="42"/>
      <c r="J1312" s="42"/>
    </row>
    <row r="1313" spans="9:10" x14ac:dyDescent="0.45">
      <c r="I1313" s="42"/>
      <c r="J1313" s="42"/>
    </row>
    <row r="1314" spans="9:10" x14ac:dyDescent="0.45">
      <c r="I1314" s="42"/>
      <c r="J1314" s="42"/>
    </row>
    <row r="1315" spans="9:10" x14ac:dyDescent="0.45">
      <c r="I1315" s="42"/>
      <c r="J1315" s="42"/>
    </row>
    <row r="1316" spans="9:10" x14ac:dyDescent="0.45">
      <c r="I1316" s="42"/>
      <c r="J1316" s="42"/>
    </row>
    <row r="1317" spans="9:10" x14ac:dyDescent="0.45">
      <c r="I1317" s="42"/>
      <c r="J1317" s="42"/>
    </row>
    <row r="1318" spans="9:10" x14ac:dyDescent="0.45">
      <c r="I1318" s="42"/>
      <c r="J1318" s="42"/>
    </row>
    <row r="1319" spans="9:10" x14ac:dyDescent="0.45">
      <c r="I1319" s="42"/>
      <c r="J1319" s="42"/>
    </row>
    <row r="1320" spans="9:10" x14ac:dyDescent="0.45">
      <c r="I1320" s="42"/>
      <c r="J1320" s="42"/>
    </row>
    <row r="1321" spans="9:10" x14ac:dyDescent="0.45">
      <c r="I1321" s="42"/>
      <c r="J1321" s="42"/>
    </row>
    <row r="1322" spans="9:10" x14ac:dyDescent="0.45">
      <c r="I1322" s="42"/>
      <c r="J1322" s="42"/>
    </row>
    <row r="1323" spans="9:10" x14ac:dyDescent="0.45">
      <c r="I1323" s="42"/>
      <c r="J1323" s="42"/>
    </row>
    <row r="1324" spans="9:10" x14ac:dyDescent="0.45">
      <c r="I1324" s="42"/>
      <c r="J1324" s="42"/>
    </row>
    <row r="1325" spans="9:10" x14ac:dyDescent="0.45">
      <c r="I1325" s="42"/>
      <c r="J1325" s="42"/>
    </row>
    <row r="1326" spans="9:10" x14ac:dyDescent="0.45">
      <c r="I1326" s="42"/>
      <c r="J1326" s="42"/>
    </row>
    <row r="1327" spans="9:10" x14ac:dyDescent="0.45">
      <c r="I1327" s="42"/>
      <c r="J1327" s="42"/>
    </row>
    <row r="1328" spans="9:10" x14ac:dyDescent="0.45">
      <c r="I1328" s="42"/>
      <c r="J1328" s="42"/>
    </row>
    <row r="1329" spans="9:10" x14ac:dyDescent="0.45">
      <c r="I1329" s="42"/>
      <c r="J1329" s="42"/>
    </row>
    <row r="1330" spans="9:10" x14ac:dyDescent="0.45">
      <c r="I1330" s="42"/>
      <c r="J1330" s="42"/>
    </row>
    <row r="1331" spans="9:10" x14ac:dyDescent="0.45">
      <c r="I1331" s="42"/>
      <c r="J1331" s="42"/>
    </row>
    <row r="1332" spans="9:10" x14ac:dyDescent="0.45">
      <c r="I1332" s="42"/>
      <c r="J1332" s="42"/>
    </row>
    <row r="1333" spans="9:10" x14ac:dyDescent="0.45">
      <c r="I1333" s="42"/>
      <c r="J1333" s="42"/>
    </row>
    <row r="1334" spans="9:10" x14ac:dyDescent="0.45">
      <c r="I1334" s="42"/>
      <c r="J1334" s="42"/>
    </row>
    <row r="1335" spans="9:10" x14ac:dyDescent="0.45">
      <c r="I1335" s="42"/>
      <c r="J1335" s="42"/>
    </row>
    <row r="1336" spans="9:10" x14ac:dyDescent="0.45">
      <c r="I1336" s="42"/>
      <c r="J1336" s="42"/>
    </row>
    <row r="1337" spans="9:10" x14ac:dyDescent="0.45">
      <c r="I1337" s="42"/>
      <c r="J1337" s="42"/>
    </row>
    <row r="1338" spans="9:10" x14ac:dyDescent="0.45">
      <c r="I1338" s="42"/>
      <c r="J1338" s="42"/>
    </row>
    <row r="1339" spans="9:10" x14ac:dyDescent="0.45">
      <c r="I1339" s="42"/>
      <c r="J1339" s="42"/>
    </row>
    <row r="1340" spans="9:10" x14ac:dyDescent="0.45">
      <c r="I1340" s="42"/>
      <c r="J1340" s="42"/>
    </row>
    <row r="1341" spans="9:10" x14ac:dyDescent="0.45">
      <c r="I1341" s="42"/>
      <c r="J1341" s="42"/>
    </row>
    <row r="1342" spans="9:10" x14ac:dyDescent="0.45">
      <c r="I1342" s="42"/>
      <c r="J1342" s="42"/>
    </row>
    <row r="1343" spans="9:10" x14ac:dyDescent="0.45">
      <c r="I1343" s="42"/>
      <c r="J1343" s="42"/>
    </row>
    <row r="1344" spans="9:10" x14ac:dyDescent="0.45">
      <c r="I1344" s="42"/>
      <c r="J1344" s="42"/>
    </row>
    <row r="1345" spans="9:10" x14ac:dyDescent="0.45">
      <c r="I1345" s="42"/>
      <c r="J1345" s="42"/>
    </row>
    <row r="1346" spans="9:10" x14ac:dyDescent="0.45">
      <c r="I1346" s="42"/>
      <c r="J1346" s="42"/>
    </row>
    <row r="1347" spans="9:10" x14ac:dyDescent="0.45">
      <c r="I1347" s="42"/>
      <c r="J1347" s="42"/>
    </row>
    <row r="1348" spans="9:10" x14ac:dyDescent="0.45">
      <c r="I1348" s="42"/>
      <c r="J1348" s="42"/>
    </row>
    <row r="1349" spans="9:10" x14ac:dyDescent="0.45">
      <c r="I1349" s="42"/>
      <c r="J1349" s="42"/>
    </row>
    <row r="1350" spans="9:10" x14ac:dyDescent="0.45">
      <c r="I1350" s="42"/>
      <c r="J1350" s="42"/>
    </row>
    <row r="1351" spans="9:10" x14ac:dyDescent="0.45">
      <c r="I1351" s="42"/>
      <c r="J1351" s="42"/>
    </row>
    <row r="1352" spans="9:10" x14ac:dyDescent="0.45">
      <c r="I1352" s="42"/>
      <c r="J1352" s="42"/>
    </row>
    <row r="1353" spans="9:10" x14ac:dyDescent="0.45">
      <c r="I1353" s="42"/>
      <c r="J1353" s="42"/>
    </row>
    <row r="1354" spans="9:10" x14ac:dyDescent="0.45">
      <c r="I1354" s="42"/>
      <c r="J1354" s="42"/>
    </row>
    <row r="1355" spans="9:10" x14ac:dyDescent="0.45">
      <c r="I1355" s="42"/>
      <c r="J1355" s="42"/>
    </row>
    <row r="1356" spans="9:10" x14ac:dyDescent="0.45">
      <c r="I1356" s="42"/>
      <c r="J1356" s="42"/>
    </row>
    <row r="1357" spans="9:10" x14ac:dyDescent="0.45">
      <c r="I1357" s="42"/>
      <c r="J1357" s="42"/>
    </row>
    <row r="1358" spans="9:10" x14ac:dyDescent="0.45">
      <c r="I1358" s="42"/>
      <c r="J1358" s="42"/>
    </row>
    <row r="1359" spans="9:10" x14ac:dyDescent="0.45">
      <c r="I1359" s="42"/>
      <c r="J1359" s="42"/>
    </row>
    <row r="1360" spans="9:10" x14ac:dyDescent="0.45">
      <c r="I1360" s="42"/>
      <c r="J1360" s="42"/>
    </row>
    <row r="1361" spans="9:10" x14ac:dyDescent="0.45">
      <c r="I1361" s="42"/>
      <c r="J1361" s="42"/>
    </row>
    <row r="1362" spans="9:10" x14ac:dyDescent="0.45">
      <c r="I1362" s="42"/>
      <c r="J1362" s="42"/>
    </row>
    <row r="1363" spans="9:10" x14ac:dyDescent="0.45">
      <c r="I1363" s="42"/>
      <c r="J1363" s="42"/>
    </row>
    <row r="1364" spans="9:10" x14ac:dyDescent="0.45">
      <c r="I1364" s="42"/>
      <c r="J1364" s="42"/>
    </row>
    <row r="1365" spans="9:10" x14ac:dyDescent="0.45">
      <c r="I1365" s="42"/>
      <c r="J1365" s="42"/>
    </row>
    <row r="1366" spans="9:10" x14ac:dyDescent="0.45">
      <c r="I1366" s="42"/>
      <c r="J1366" s="42"/>
    </row>
    <row r="1367" spans="9:10" x14ac:dyDescent="0.45">
      <c r="I1367" s="42"/>
      <c r="J1367" s="42"/>
    </row>
    <row r="1368" spans="9:10" x14ac:dyDescent="0.45">
      <c r="I1368" s="42"/>
      <c r="J1368" s="42"/>
    </row>
    <row r="1369" spans="9:10" x14ac:dyDescent="0.45">
      <c r="I1369" s="42"/>
      <c r="J1369" s="42"/>
    </row>
    <row r="1370" spans="9:10" x14ac:dyDescent="0.45">
      <c r="I1370" s="42"/>
      <c r="J1370" s="42"/>
    </row>
    <row r="1371" spans="9:10" x14ac:dyDescent="0.45">
      <c r="I1371" s="42"/>
      <c r="J1371" s="42"/>
    </row>
    <row r="1372" spans="9:10" x14ac:dyDescent="0.45">
      <c r="I1372" s="42"/>
      <c r="J1372" s="42"/>
    </row>
    <row r="1373" spans="9:10" x14ac:dyDescent="0.45">
      <c r="I1373" s="42"/>
      <c r="J1373" s="42"/>
    </row>
    <row r="1374" spans="9:10" x14ac:dyDescent="0.45">
      <c r="I1374" s="42"/>
      <c r="J1374" s="42"/>
    </row>
    <row r="1375" spans="9:10" x14ac:dyDescent="0.45">
      <c r="I1375" s="42"/>
      <c r="J1375" s="42"/>
    </row>
    <row r="1376" spans="9:10" x14ac:dyDescent="0.45">
      <c r="I1376" s="42"/>
      <c r="J1376" s="42"/>
    </row>
    <row r="1377" spans="9:10" x14ac:dyDescent="0.45">
      <c r="I1377" s="42"/>
      <c r="J1377" s="42"/>
    </row>
    <row r="1378" spans="9:10" x14ac:dyDescent="0.45">
      <c r="I1378" s="42"/>
      <c r="J1378" s="42"/>
    </row>
    <row r="1379" spans="9:10" x14ac:dyDescent="0.45">
      <c r="I1379" s="42"/>
      <c r="J1379" s="42"/>
    </row>
    <row r="1380" spans="9:10" x14ac:dyDescent="0.45">
      <c r="I1380" s="42"/>
      <c r="J1380" s="42"/>
    </row>
    <row r="1381" spans="9:10" x14ac:dyDescent="0.45">
      <c r="I1381" s="42"/>
      <c r="J1381" s="42"/>
    </row>
    <row r="1382" spans="9:10" x14ac:dyDescent="0.45">
      <c r="I1382" s="42"/>
      <c r="J1382" s="42"/>
    </row>
    <row r="1383" spans="9:10" x14ac:dyDescent="0.45">
      <c r="I1383" s="42"/>
      <c r="J1383" s="42"/>
    </row>
    <row r="1384" spans="9:10" x14ac:dyDescent="0.45">
      <c r="I1384" s="42"/>
      <c r="J1384" s="42"/>
    </row>
    <row r="1385" spans="9:10" x14ac:dyDescent="0.45">
      <c r="I1385" s="42"/>
      <c r="J1385" s="42"/>
    </row>
    <row r="1386" spans="9:10" x14ac:dyDescent="0.45">
      <c r="I1386" s="42"/>
      <c r="J1386" s="42"/>
    </row>
    <row r="1387" spans="9:10" x14ac:dyDescent="0.45">
      <c r="I1387" s="42"/>
      <c r="J1387" s="42"/>
    </row>
    <row r="1388" spans="9:10" x14ac:dyDescent="0.45">
      <c r="I1388" s="42"/>
      <c r="J1388" s="42"/>
    </row>
    <row r="1389" spans="9:10" x14ac:dyDescent="0.45">
      <c r="I1389" s="42"/>
      <c r="J1389" s="42"/>
    </row>
    <row r="1390" spans="9:10" x14ac:dyDescent="0.45">
      <c r="I1390" s="42"/>
      <c r="J1390" s="42"/>
    </row>
    <row r="1391" spans="9:10" x14ac:dyDescent="0.45">
      <c r="I1391" s="42"/>
      <c r="J1391" s="42"/>
    </row>
    <row r="1392" spans="9:10" x14ac:dyDescent="0.45">
      <c r="I1392" s="42"/>
      <c r="J1392" s="42"/>
    </row>
    <row r="1393" spans="9:10" x14ac:dyDescent="0.45">
      <c r="I1393" s="42"/>
      <c r="J1393" s="42"/>
    </row>
    <row r="1394" spans="9:10" x14ac:dyDescent="0.45">
      <c r="I1394" s="42"/>
      <c r="J1394" s="42"/>
    </row>
    <row r="1395" spans="9:10" x14ac:dyDescent="0.45">
      <c r="I1395" s="42"/>
      <c r="J1395" s="42"/>
    </row>
    <row r="1396" spans="9:10" x14ac:dyDescent="0.45">
      <c r="I1396" s="42"/>
      <c r="J1396" s="42"/>
    </row>
    <row r="1397" spans="9:10" x14ac:dyDescent="0.45">
      <c r="I1397" s="42"/>
      <c r="J1397" s="42"/>
    </row>
    <row r="1398" spans="9:10" x14ac:dyDescent="0.45">
      <c r="I1398" s="42"/>
      <c r="J1398" s="42"/>
    </row>
    <row r="1399" spans="9:10" x14ac:dyDescent="0.45">
      <c r="I1399" s="42"/>
      <c r="J1399" s="42"/>
    </row>
    <row r="1400" spans="9:10" x14ac:dyDescent="0.45">
      <c r="I1400" s="42"/>
      <c r="J1400" s="42"/>
    </row>
    <row r="1401" spans="9:10" x14ac:dyDescent="0.45">
      <c r="I1401" s="42"/>
      <c r="J1401" s="42"/>
    </row>
    <row r="1402" spans="9:10" x14ac:dyDescent="0.45">
      <c r="I1402" s="42"/>
      <c r="J1402" s="42"/>
    </row>
    <row r="1403" spans="9:10" x14ac:dyDescent="0.45">
      <c r="I1403" s="42"/>
      <c r="J1403" s="42"/>
    </row>
    <row r="1404" spans="9:10" x14ac:dyDescent="0.45">
      <c r="I1404" s="42"/>
      <c r="J1404" s="42"/>
    </row>
    <row r="1405" spans="9:10" x14ac:dyDescent="0.45">
      <c r="I1405" s="42"/>
      <c r="J1405" s="42"/>
    </row>
    <row r="1406" spans="9:10" x14ac:dyDescent="0.45">
      <c r="I1406" s="42"/>
      <c r="J1406" s="42"/>
    </row>
    <row r="1407" spans="9:10" x14ac:dyDescent="0.45">
      <c r="I1407" s="42"/>
      <c r="J1407" s="42"/>
    </row>
    <row r="1408" spans="9:10" x14ac:dyDescent="0.45">
      <c r="I1408" s="42"/>
      <c r="J1408" s="42"/>
    </row>
    <row r="1409" spans="9:10" x14ac:dyDescent="0.45">
      <c r="I1409" s="42"/>
      <c r="J1409" s="42"/>
    </row>
    <row r="1410" spans="9:10" x14ac:dyDescent="0.45">
      <c r="I1410" s="42"/>
      <c r="J1410" s="42"/>
    </row>
    <row r="1411" spans="9:10" x14ac:dyDescent="0.45">
      <c r="I1411" s="42"/>
      <c r="J1411" s="42"/>
    </row>
    <row r="1412" spans="9:10" x14ac:dyDescent="0.45">
      <c r="I1412" s="42"/>
      <c r="J1412" s="42"/>
    </row>
    <row r="1413" spans="9:10" x14ac:dyDescent="0.45">
      <c r="I1413" s="42"/>
      <c r="J1413" s="42"/>
    </row>
    <row r="1414" spans="9:10" x14ac:dyDescent="0.45">
      <c r="I1414" s="42"/>
      <c r="J1414" s="42"/>
    </row>
    <row r="1415" spans="9:10" x14ac:dyDescent="0.45">
      <c r="I1415" s="42"/>
      <c r="J1415" s="42"/>
    </row>
    <row r="1416" spans="9:10" x14ac:dyDescent="0.45">
      <c r="I1416" s="42"/>
      <c r="J1416" s="42"/>
    </row>
    <row r="1417" spans="9:10" x14ac:dyDescent="0.45">
      <c r="I1417" s="42"/>
      <c r="J1417" s="42"/>
    </row>
    <row r="1418" spans="9:10" x14ac:dyDescent="0.45">
      <c r="I1418" s="42"/>
      <c r="J1418" s="42"/>
    </row>
    <row r="1419" spans="9:10" x14ac:dyDescent="0.45">
      <c r="I1419" s="42"/>
      <c r="J1419" s="42"/>
    </row>
    <row r="1420" spans="9:10" x14ac:dyDescent="0.45">
      <c r="I1420" s="42"/>
      <c r="J1420" s="42"/>
    </row>
    <row r="1421" spans="9:10" x14ac:dyDescent="0.45">
      <c r="I1421" s="42"/>
      <c r="J1421" s="42"/>
    </row>
    <row r="1422" spans="9:10" x14ac:dyDescent="0.45">
      <c r="I1422" s="42"/>
      <c r="J1422" s="42"/>
    </row>
    <row r="1423" spans="9:10" x14ac:dyDescent="0.45">
      <c r="I1423" s="42"/>
      <c r="J1423" s="42"/>
    </row>
    <row r="1424" spans="9:10" x14ac:dyDescent="0.45">
      <c r="I1424" s="42"/>
      <c r="J1424" s="42"/>
    </row>
    <row r="1425" spans="9:10" x14ac:dyDescent="0.45">
      <c r="I1425" s="42"/>
      <c r="J1425" s="42"/>
    </row>
    <row r="1426" spans="9:10" x14ac:dyDescent="0.45">
      <c r="I1426" s="42"/>
      <c r="J1426" s="42"/>
    </row>
    <row r="1427" spans="9:10" x14ac:dyDescent="0.45">
      <c r="I1427" s="42"/>
      <c r="J1427" s="42"/>
    </row>
    <row r="1428" spans="9:10" x14ac:dyDescent="0.45">
      <c r="I1428" s="42"/>
      <c r="J1428" s="42"/>
    </row>
    <row r="1429" spans="9:10" x14ac:dyDescent="0.45">
      <c r="I1429" s="42"/>
      <c r="J1429" s="42"/>
    </row>
    <row r="1430" spans="9:10" x14ac:dyDescent="0.45">
      <c r="I1430" s="42"/>
      <c r="J1430" s="42"/>
    </row>
    <row r="1431" spans="9:10" x14ac:dyDescent="0.45">
      <c r="I1431" s="42"/>
      <c r="J1431" s="42"/>
    </row>
    <row r="1432" spans="9:10" x14ac:dyDescent="0.45">
      <c r="I1432" s="42"/>
      <c r="J1432" s="42"/>
    </row>
    <row r="1433" spans="9:10" x14ac:dyDescent="0.45">
      <c r="I1433" s="42"/>
      <c r="J1433" s="42"/>
    </row>
    <row r="1434" spans="9:10" x14ac:dyDescent="0.45">
      <c r="I1434" s="42"/>
      <c r="J1434" s="42"/>
    </row>
    <row r="1435" spans="9:10" x14ac:dyDescent="0.45">
      <c r="I1435" s="42"/>
      <c r="J1435" s="42"/>
    </row>
    <row r="1436" spans="9:10" x14ac:dyDescent="0.45">
      <c r="I1436" s="42"/>
      <c r="J1436" s="42"/>
    </row>
    <row r="1437" spans="9:10" x14ac:dyDescent="0.45">
      <c r="I1437" s="42"/>
      <c r="J1437" s="42"/>
    </row>
    <row r="1438" spans="9:10" x14ac:dyDescent="0.45">
      <c r="I1438" s="42"/>
      <c r="J1438" s="42"/>
    </row>
    <row r="1439" spans="9:10" x14ac:dyDescent="0.45">
      <c r="I1439" s="42"/>
      <c r="J1439" s="42"/>
    </row>
    <row r="1440" spans="9:10" x14ac:dyDescent="0.45">
      <c r="I1440" s="42"/>
      <c r="J1440" s="42"/>
    </row>
    <row r="1441" spans="9:10" x14ac:dyDescent="0.45">
      <c r="I1441" s="42"/>
      <c r="J1441" s="42"/>
    </row>
    <row r="1442" spans="9:10" x14ac:dyDescent="0.45">
      <c r="I1442" s="42"/>
      <c r="J1442" s="42"/>
    </row>
    <row r="1443" spans="9:10" x14ac:dyDescent="0.45">
      <c r="I1443" s="42"/>
      <c r="J1443" s="42"/>
    </row>
    <row r="1444" spans="9:10" x14ac:dyDescent="0.45">
      <c r="I1444" s="42"/>
      <c r="J1444" s="42"/>
    </row>
    <row r="1445" spans="9:10" x14ac:dyDescent="0.45">
      <c r="I1445" s="42"/>
      <c r="J1445" s="42"/>
    </row>
    <row r="1446" spans="9:10" x14ac:dyDescent="0.45">
      <c r="I1446" s="42"/>
      <c r="J1446" s="42"/>
    </row>
    <row r="1447" spans="9:10" x14ac:dyDescent="0.45">
      <c r="I1447" s="42"/>
      <c r="J1447" s="42"/>
    </row>
    <row r="1448" spans="9:10" x14ac:dyDescent="0.45">
      <c r="I1448" s="42"/>
      <c r="J1448" s="42"/>
    </row>
    <row r="1449" spans="9:10" x14ac:dyDescent="0.45">
      <c r="I1449" s="42"/>
      <c r="J1449" s="42"/>
    </row>
    <row r="1450" spans="9:10" x14ac:dyDescent="0.45">
      <c r="I1450" s="42"/>
      <c r="J1450" s="42"/>
    </row>
    <row r="1451" spans="9:10" x14ac:dyDescent="0.45">
      <c r="I1451" s="42"/>
      <c r="J1451" s="42"/>
    </row>
    <row r="1452" spans="9:10" x14ac:dyDescent="0.45">
      <c r="I1452" s="42"/>
      <c r="J1452" s="42"/>
    </row>
    <row r="1453" spans="9:10" x14ac:dyDescent="0.45">
      <c r="I1453" s="42"/>
      <c r="J1453" s="42"/>
    </row>
    <row r="1454" spans="9:10" x14ac:dyDescent="0.45">
      <c r="I1454" s="42"/>
      <c r="J1454" s="42"/>
    </row>
    <row r="1455" spans="9:10" x14ac:dyDescent="0.45">
      <c r="I1455" s="42"/>
      <c r="J1455" s="42"/>
    </row>
    <row r="1456" spans="9:10" x14ac:dyDescent="0.45">
      <c r="I1456" s="42"/>
      <c r="J1456" s="42"/>
    </row>
    <row r="1457" spans="9:10" x14ac:dyDescent="0.45">
      <c r="I1457" s="42"/>
      <c r="J1457" s="42"/>
    </row>
    <row r="1458" spans="9:10" x14ac:dyDescent="0.45">
      <c r="I1458" s="42"/>
      <c r="J1458" s="42"/>
    </row>
    <row r="1459" spans="9:10" x14ac:dyDescent="0.45">
      <c r="I1459" s="42"/>
      <c r="J1459" s="42"/>
    </row>
    <row r="1460" spans="9:10" x14ac:dyDescent="0.45">
      <c r="I1460" s="42"/>
      <c r="J1460" s="42"/>
    </row>
    <row r="1461" spans="9:10" x14ac:dyDescent="0.45">
      <c r="I1461" s="42"/>
      <c r="J1461" s="42"/>
    </row>
    <row r="1462" spans="9:10" x14ac:dyDescent="0.45">
      <c r="I1462" s="42"/>
      <c r="J1462" s="42"/>
    </row>
    <row r="1463" spans="9:10" x14ac:dyDescent="0.45">
      <c r="I1463" s="42"/>
      <c r="J1463" s="42"/>
    </row>
    <row r="1464" spans="9:10" x14ac:dyDescent="0.45">
      <c r="I1464" s="42"/>
      <c r="J1464" s="42"/>
    </row>
    <row r="1465" spans="9:10" x14ac:dyDescent="0.45">
      <c r="I1465" s="42"/>
      <c r="J1465" s="42"/>
    </row>
    <row r="1466" spans="9:10" x14ac:dyDescent="0.45">
      <c r="I1466" s="42"/>
      <c r="J1466" s="42"/>
    </row>
    <row r="1467" spans="9:10" x14ac:dyDescent="0.45">
      <c r="I1467" s="42"/>
      <c r="J1467" s="42"/>
    </row>
    <row r="1468" spans="9:10" x14ac:dyDescent="0.45">
      <c r="I1468" s="42"/>
      <c r="J1468" s="42"/>
    </row>
    <row r="1469" spans="9:10" x14ac:dyDescent="0.45">
      <c r="I1469" s="42"/>
      <c r="J1469" s="42"/>
    </row>
    <row r="1470" spans="9:10" x14ac:dyDescent="0.45">
      <c r="I1470" s="42"/>
      <c r="J1470" s="42"/>
    </row>
    <row r="1471" spans="9:10" x14ac:dyDescent="0.45">
      <c r="I1471" s="42"/>
      <c r="J1471" s="42"/>
    </row>
    <row r="1472" spans="9:10" x14ac:dyDescent="0.45">
      <c r="I1472" s="42"/>
      <c r="J1472" s="42"/>
    </row>
    <row r="1473" spans="9:10" x14ac:dyDescent="0.45">
      <c r="I1473" s="42"/>
      <c r="J1473" s="42"/>
    </row>
    <row r="1474" spans="9:10" x14ac:dyDescent="0.45">
      <c r="I1474" s="42"/>
      <c r="J1474" s="42"/>
    </row>
    <row r="1475" spans="9:10" x14ac:dyDescent="0.45">
      <c r="I1475" s="42"/>
      <c r="J1475" s="42"/>
    </row>
    <row r="1476" spans="9:10" x14ac:dyDescent="0.45">
      <c r="I1476" s="42"/>
      <c r="J1476" s="42"/>
    </row>
    <row r="1477" spans="9:10" x14ac:dyDescent="0.45">
      <c r="I1477" s="42"/>
      <c r="J1477" s="42"/>
    </row>
    <row r="1478" spans="9:10" x14ac:dyDescent="0.45">
      <c r="I1478" s="42"/>
      <c r="J1478" s="42"/>
    </row>
    <row r="1479" spans="9:10" x14ac:dyDescent="0.45">
      <c r="I1479" s="42"/>
      <c r="J1479" s="42"/>
    </row>
    <row r="1480" spans="9:10" x14ac:dyDescent="0.45">
      <c r="I1480" s="42"/>
      <c r="J1480" s="42"/>
    </row>
    <row r="1481" spans="9:10" x14ac:dyDescent="0.45">
      <c r="I1481" s="42"/>
      <c r="J1481" s="42"/>
    </row>
    <row r="1482" spans="9:10" x14ac:dyDescent="0.45">
      <c r="I1482" s="42"/>
      <c r="J1482" s="42"/>
    </row>
    <row r="1483" spans="9:10" x14ac:dyDescent="0.45">
      <c r="I1483" s="42"/>
      <c r="J1483" s="42"/>
    </row>
    <row r="1484" spans="9:10" x14ac:dyDescent="0.45">
      <c r="I1484" s="42"/>
      <c r="J1484" s="42"/>
    </row>
    <row r="1485" spans="9:10" x14ac:dyDescent="0.45">
      <c r="I1485" s="42"/>
      <c r="J1485" s="42"/>
    </row>
    <row r="1486" spans="9:10" x14ac:dyDescent="0.45">
      <c r="I1486" s="42"/>
      <c r="J1486" s="42"/>
    </row>
    <row r="1487" spans="9:10" x14ac:dyDescent="0.45">
      <c r="I1487" s="42"/>
      <c r="J1487" s="42"/>
    </row>
    <row r="1488" spans="9:10" x14ac:dyDescent="0.45">
      <c r="I1488" s="42"/>
      <c r="J1488" s="42"/>
    </row>
    <row r="1489" spans="9:10" x14ac:dyDescent="0.45">
      <c r="I1489" s="42"/>
      <c r="J1489" s="42"/>
    </row>
    <row r="1490" spans="9:10" x14ac:dyDescent="0.45">
      <c r="I1490" s="42"/>
      <c r="J1490" s="42"/>
    </row>
    <row r="1491" spans="9:10" x14ac:dyDescent="0.45">
      <c r="I1491" s="42"/>
      <c r="J1491" s="42"/>
    </row>
    <row r="1492" spans="9:10" x14ac:dyDescent="0.45">
      <c r="I1492" s="42"/>
      <c r="J1492" s="42"/>
    </row>
    <row r="1493" spans="9:10" x14ac:dyDescent="0.45">
      <c r="I1493" s="42"/>
      <c r="J1493" s="42"/>
    </row>
    <row r="1494" spans="9:10" x14ac:dyDescent="0.45">
      <c r="I1494" s="42"/>
      <c r="J1494" s="42"/>
    </row>
    <row r="1495" spans="9:10" x14ac:dyDescent="0.45">
      <c r="I1495" s="42"/>
      <c r="J1495" s="42"/>
    </row>
    <row r="1496" spans="9:10" x14ac:dyDescent="0.45">
      <c r="I1496" s="42"/>
      <c r="J1496" s="42"/>
    </row>
    <row r="1497" spans="9:10" x14ac:dyDescent="0.45">
      <c r="I1497" s="42"/>
      <c r="J1497" s="42"/>
    </row>
    <row r="1498" spans="9:10" x14ac:dyDescent="0.45">
      <c r="I1498" s="42"/>
      <c r="J1498" s="42"/>
    </row>
    <row r="1499" spans="9:10" x14ac:dyDescent="0.45">
      <c r="I1499" s="42"/>
      <c r="J1499" s="42"/>
    </row>
    <row r="1500" spans="9:10" x14ac:dyDescent="0.45">
      <c r="I1500" s="42"/>
      <c r="J1500" s="42"/>
    </row>
    <row r="1501" spans="9:10" x14ac:dyDescent="0.45">
      <c r="I1501" s="42"/>
      <c r="J1501" s="42"/>
    </row>
    <row r="1502" spans="9:10" x14ac:dyDescent="0.45">
      <c r="I1502" s="42"/>
      <c r="J1502" s="42"/>
    </row>
    <row r="1503" spans="9:10" x14ac:dyDescent="0.45">
      <c r="I1503" s="42"/>
      <c r="J1503" s="42"/>
    </row>
    <row r="1504" spans="9:10" x14ac:dyDescent="0.45">
      <c r="I1504" s="42"/>
      <c r="J1504" s="42"/>
    </row>
    <row r="1505" spans="9:10" x14ac:dyDescent="0.45">
      <c r="I1505" s="42"/>
      <c r="J1505" s="42"/>
    </row>
    <row r="1506" spans="9:10" x14ac:dyDescent="0.45">
      <c r="I1506" s="42"/>
      <c r="J1506" s="42"/>
    </row>
    <row r="1507" spans="9:10" x14ac:dyDescent="0.45">
      <c r="I1507" s="42"/>
      <c r="J1507" s="42"/>
    </row>
    <row r="1508" spans="9:10" x14ac:dyDescent="0.45">
      <c r="I1508" s="42"/>
      <c r="J1508" s="42"/>
    </row>
    <row r="1509" spans="9:10" x14ac:dyDescent="0.45">
      <c r="I1509" s="42"/>
      <c r="J1509" s="42"/>
    </row>
    <row r="1510" spans="9:10" x14ac:dyDescent="0.45">
      <c r="I1510" s="42"/>
      <c r="J1510" s="42"/>
    </row>
    <row r="1511" spans="9:10" x14ac:dyDescent="0.45">
      <c r="I1511" s="42"/>
      <c r="J1511" s="42"/>
    </row>
    <row r="1512" spans="9:10" x14ac:dyDescent="0.45">
      <c r="I1512" s="42"/>
      <c r="J1512" s="42"/>
    </row>
    <row r="1513" spans="9:10" x14ac:dyDescent="0.45">
      <c r="I1513" s="42"/>
      <c r="J1513" s="42"/>
    </row>
    <row r="1514" spans="9:10" x14ac:dyDescent="0.45">
      <c r="I1514" s="42"/>
      <c r="J1514" s="42"/>
    </row>
    <row r="1515" spans="9:10" x14ac:dyDescent="0.45">
      <c r="I1515" s="42"/>
      <c r="J1515" s="42"/>
    </row>
    <row r="1516" spans="9:10" x14ac:dyDescent="0.45">
      <c r="I1516" s="42"/>
      <c r="J1516" s="42"/>
    </row>
    <row r="1517" spans="9:10" x14ac:dyDescent="0.45">
      <c r="I1517" s="42"/>
      <c r="J1517" s="42"/>
    </row>
    <row r="1518" spans="9:10" x14ac:dyDescent="0.45">
      <c r="I1518" s="42"/>
      <c r="J1518" s="42"/>
    </row>
    <row r="1519" spans="9:10" x14ac:dyDescent="0.45">
      <c r="I1519" s="42"/>
      <c r="J1519" s="42"/>
    </row>
    <row r="1520" spans="9:10" x14ac:dyDescent="0.45">
      <c r="I1520" s="42"/>
      <c r="J1520" s="42"/>
    </row>
    <row r="1521" spans="9:10" x14ac:dyDescent="0.45">
      <c r="I1521" s="42"/>
      <c r="J1521" s="42"/>
    </row>
    <row r="1522" spans="9:10" x14ac:dyDescent="0.45">
      <c r="I1522" s="42"/>
      <c r="J1522" s="42"/>
    </row>
    <row r="1523" spans="9:10" x14ac:dyDescent="0.45">
      <c r="I1523" s="42"/>
      <c r="J1523" s="42"/>
    </row>
    <row r="1524" spans="9:10" x14ac:dyDescent="0.45">
      <c r="I1524" s="42"/>
      <c r="J1524" s="42"/>
    </row>
    <row r="1525" spans="9:10" x14ac:dyDescent="0.45">
      <c r="I1525" s="42"/>
      <c r="J1525" s="42"/>
    </row>
    <row r="1526" spans="9:10" x14ac:dyDescent="0.45">
      <c r="I1526" s="42"/>
      <c r="J1526" s="42"/>
    </row>
    <row r="1527" spans="9:10" x14ac:dyDescent="0.45">
      <c r="I1527" s="42"/>
      <c r="J1527" s="42"/>
    </row>
    <row r="1528" spans="9:10" x14ac:dyDescent="0.45">
      <c r="I1528" s="42"/>
      <c r="J1528" s="42"/>
    </row>
    <row r="1529" spans="9:10" x14ac:dyDescent="0.45">
      <c r="I1529" s="42"/>
      <c r="J1529" s="42"/>
    </row>
    <row r="1530" spans="9:10" x14ac:dyDescent="0.45">
      <c r="I1530" s="42"/>
      <c r="J1530" s="42"/>
    </row>
    <row r="1531" spans="9:10" x14ac:dyDescent="0.45">
      <c r="I1531" s="42"/>
      <c r="J1531" s="42"/>
    </row>
    <row r="1532" spans="9:10" x14ac:dyDescent="0.45">
      <c r="I1532" s="42"/>
      <c r="J1532" s="42"/>
    </row>
    <row r="1533" spans="9:10" x14ac:dyDescent="0.45">
      <c r="I1533" s="42"/>
      <c r="J1533" s="42"/>
    </row>
    <row r="1534" spans="9:10" x14ac:dyDescent="0.45">
      <c r="I1534" s="42"/>
      <c r="J1534" s="42"/>
    </row>
    <row r="1535" spans="9:10" x14ac:dyDescent="0.45">
      <c r="I1535" s="42"/>
      <c r="J1535" s="42"/>
    </row>
    <row r="1536" spans="9:10" x14ac:dyDescent="0.45">
      <c r="I1536" s="42"/>
      <c r="J1536" s="42"/>
    </row>
    <row r="1537" spans="9:10" x14ac:dyDescent="0.45">
      <c r="I1537" s="42"/>
      <c r="J1537" s="42"/>
    </row>
    <row r="1538" spans="9:10" x14ac:dyDescent="0.45">
      <c r="I1538" s="42"/>
      <c r="J1538" s="42"/>
    </row>
    <row r="1539" spans="9:10" x14ac:dyDescent="0.45">
      <c r="I1539" s="42"/>
      <c r="J1539" s="42"/>
    </row>
    <row r="1540" spans="9:10" x14ac:dyDescent="0.45">
      <c r="I1540" s="42"/>
      <c r="J1540" s="42"/>
    </row>
    <row r="1541" spans="9:10" x14ac:dyDescent="0.45">
      <c r="I1541" s="42"/>
      <c r="J1541" s="42"/>
    </row>
    <row r="1542" spans="9:10" x14ac:dyDescent="0.45">
      <c r="I1542" s="42"/>
      <c r="J1542" s="42"/>
    </row>
    <row r="1543" spans="9:10" x14ac:dyDescent="0.45">
      <c r="I1543" s="42"/>
      <c r="J1543" s="42"/>
    </row>
    <row r="1544" spans="9:10" x14ac:dyDescent="0.45">
      <c r="I1544" s="42"/>
      <c r="J1544" s="42"/>
    </row>
    <row r="1545" spans="9:10" x14ac:dyDescent="0.45">
      <c r="I1545" s="42"/>
      <c r="J1545" s="42"/>
    </row>
    <row r="1546" spans="9:10" x14ac:dyDescent="0.45">
      <c r="I1546" s="42"/>
      <c r="J1546" s="42"/>
    </row>
    <row r="1547" spans="9:10" x14ac:dyDescent="0.45">
      <c r="I1547" s="42"/>
      <c r="J1547" s="42"/>
    </row>
    <row r="1548" spans="9:10" x14ac:dyDescent="0.45">
      <c r="I1548" s="42"/>
      <c r="J1548" s="42"/>
    </row>
    <row r="1549" spans="9:10" x14ac:dyDescent="0.45">
      <c r="I1549" s="42"/>
      <c r="J1549" s="42"/>
    </row>
    <row r="1550" spans="9:10" x14ac:dyDescent="0.45">
      <c r="I1550" s="42"/>
      <c r="J1550" s="42"/>
    </row>
    <row r="1551" spans="9:10" x14ac:dyDescent="0.45">
      <c r="I1551" s="42"/>
      <c r="J1551" s="42"/>
    </row>
    <row r="1552" spans="9:10" x14ac:dyDescent="0.45">
      <c r="I1552" s="42"/>
      <c r="J1552" s="42"/>
    </row>
    <row r="1553" spans="9:10" x14ac:dyDescent="0.45">
      <c r="I1553" s="42"/>
      <c r="J1553" s="42"/>
    </row>
    <row r="1554" spans="9:10" x14ac:dyDescent="0.45">
      <c r="I1554" s="42"/>
      <c r="J1554" s="42"/>
    </row>
    <row r="1555" spans="9:10" x14ac:dyDescent="0.45">
      <c r="I1555" s="42"/>
      <c r="J1555" s="42"/>
    </row>
    <row r="1556" spans="9:10" x14ac:dyDescent="0.45">
      <c r="I1556" s="42"/>
      <c r="J1556" s="42"/>
    </row>
    <row r="1557" spans="9:10" x14ac:dyDescent="0.45">
      <c r="I1557" s="42"/>
      <c r="J1557" s="42"/>
    </row>
    <row r="1558" spans="9:10" x14ac:dyDescent="0.45">
      <c r="I1558" s="42"/>
      <c r="J1558" s="42"/>
    </row>
    <row r="1559" spans="9:10" x14ac:dyDescent="0.45">
      <c r="I1559" s="42"/>
      <c r="J1559" s="42"/>
    </row>
    <row r="1560" spans="9:10" x14ac:dyDescent="0.45">
      <c r="I1560" s="42"/>
      <c r="J1560" s="42"/>
    </row>
    <row r="1561" spans="9:10" x14ac:dyDescent="0.45">
      <c r="I1561" s="42"/>
      <c r="J1561" s="42"/>
    </row>
    <row r="1562" spans="9:10" x14ac:dyDescent="0.45">
      <c r="I1562" s="42"/>
      <c r="J1562" s="42"/>
    </row>
    <row r="1563" spans="9:10" x14ac:dyDescent="0.45">
      <c r="I1563" s="42"/>
      <c r="J1563" s="42"/>
    </row>
    <row r="1564" spans="9:10" x14ac:dyDescent="0.45">
      <c r="I1564" s="42"/>
      <c r="J1564" s="42"/>
    </row>
    <row r="1565" spans="9:10" x14ac:dyDescent="0.45">
      <c r="I1565" s="42"/>
      <c r="J1565" s="42"/>
    </row>
    <row r="1566" spans="9:10" x14ac:dyDescent="0.45">
      <c r="I1566" s="42"/>
      <c r="J1566" s="42"/>
    </row>
    <row r="1567" spans="9:10" x14ac:dyDescent="0.45">
      <c r="I1567" s="42"/>
      <c r="J1567" s="42"/>
    </row>
    <row r="1568" spans="9:10" x14ac:dyDescent="0.45">
      <c r="I1568" s="42"/>
      <c r="J1568" s="42"/>
    </row>
    <row r="1569" spans="9:10" x14ac:dyDescent="0.45">
      <c r="I1569" s="42"/>
      <c r="J1569" s="42"/>
    </row>
    <row r="1570" spans="9:10" x14ac:dyDescent="0.45">
      <c r="I1570" s="42"/>
      <c r="J1570" s="42"/>
    </row>
    <row r="1571" spans="9:10" x14ac:dyDescent="0.45">
      <c r="I1571" s="42"/>
      <c r="J1571" s="42"/>
    </row>
    <row r="1572" spans="9:10" x14ac:dyDescent="0.45">
      <c r="I1572" s="42"/>
      <c r="J1572" s="42"/>
    </row>
    <row r="1573" spans="9:10" x14ac:dyDescent="0.45">
      <c r="I1573" s="42"/>
      <c r="J1573" s="42"/>
    </row>
    <row r="1574" spans="9:10" x14ac:dyDescent="0.45">
      <c r="I1574" s="42"/>
      <c r="J1574" s="42"/>
    </row>
    <row r="1575" spans="9:10" x14ac:dyDescent="0.45">
      <c r="I1575" s="42"/>
      <c r="J1575" s="42"/>
    </row>
    <row r="1576" spans="9:10" x14ac:dyDescent="0.45">
      <c r="I1576" s="42"/>
      <c r="J1576" s="42"/>
    </row>
    <row r="1577" spans="9:10" x14ac:dyDescent="0.45">
      <c r="I1577" s="42"/>
      <c r="J1577" s="42"/>
    </row>
    <row r="1578" spans="9:10" x14ac:dyDescent="0.45">
      <c r="I1578" s="42"/>
      <c r="J1578" s="42"/>
    </row>
    <row r="1579" spans="9:10" x14ac:dyDescent="0.45">
      <c r="I1579" s="42"/>
      <c r="J1579" s="42"/>
    </row>
    <row r="1580" spans="9:10" x14ac:dyDescent="0.45">
      <c r="I1580" s="42"/>
      <c r="J1580" s="42"/>
    </row>
    <row r="1581" spans="9:10" x14ac:dyDescent="0.45">
      <c r="I1581" s="42"/>
      <c r="J1581" s="42"/>
    </row>
    <row r="1582" spans="9:10" x14ac:dyDescent="0.45">
      <c r="I1582" s="42"/>
      <c r="J1582" s="42"/>
    </row>
    <row r="1583" spans="9:10" x14ac:dyDescent="0.45">
      <c r="I1583" s="42"/>
      <c r="J1583" s="42"/>
    </row>
    <row r="1584" spans="9:10" x14ac:dyDescent="0.45">
      <c r="I1584" s="42"/>
      <c r="J1584" s="42"/>
    </row>
    <row r="1585" spans="9:10" x14ac:dyDescent="0.45">
      <c r="I1585" s="42"/>
      <c r="J1585" s="42"/>
    </row>
    <row r="1586" spans="9:10" x14ac:dyDescent="0.45">
      <c r="I1586" s="42"/>
      <c r="J1586" s="42"/>
    </row>
    <row r="1587" spans="9:10" x14ac:dyDescent="0.45">
      <c r="I1587" s="42"/>
      <c r="J1587" s="42"/>
    </row>
    <row r="1588" spans="9:10" x14ac:dyDescent="0.45">
      <c r="I1588" s="42"/>
      <c r="J1588" s="42"/>
    </row>
    <row r="1589" spans="9:10" x14ac:dyDescent="0.45">
      <c r="I1589" s="42"/>
      <c r="J1589" s="42"/>
    </row>
    <row r="1590" spans="9:10" x14ac:dyDescent="0.45">
      <c r="I1590" s="42"/>
      <c r="J1590" s="42"/>
    </row>
    <row r="1591" spans="9:10" x14ac:dyDescent="0.45">
      <c r="I1591" s="42"/>
      <c r="J1591" s="42"/>
    </row>
    <row r="1592" spans="9:10" x14ac:dyDescent="0.45">
      <c r="I1592" s="42"/>
      <c r="J1592" s="42"/>
    </row>
    <row r="1593" spans="9:10" x14ac:dyDescent="0.45">
      <c r="I1593" s="42"/>
      <c r="J1593" s="42"/>
    </row>
    <row r="1594" spans="9:10" x14ac:dyDescent="0.45">
      <c r="I1594" s="42"/>
      <c r="J1594" s="42"/>
    </row>
    <row r="1595" spans="9:10" x14ac:dyDescent="0.45">
      <c r="I1595" s="42"/>
      <c r="J1595" s="42"/>
    </row>
    <row r="1596" spans="9:10" x14ac:dyDescent="0.45">
      <c r="I1596" s="42"/>
      <c r="J1596" s="42"/>
    </row>
    <row r="1597" spans="9:10" x14ac:dyDescent="0.45">
      <c r="I1597" s="42"/>
      <c r="J1597" s="42"/>
    </row>
    <row r="1598" spans="9:10" x14ac:dyDescent="0.45">
      <c r="I1598" s="42"/>
      <c r="J1598" s="42"/>
    </row>
    <row r="1599" spans="9:10" x14ac:dyDescent="0.45">
      <c r="I1599" s="42"/>
      <c r="J1599" s="42"/>
    </row>
    <row r="1600" spans="9:10" x14ac:dyDescent="0.45">
      <c r="I1600" s="42"/>
      <c r="J1600" s="42"/>
    </row>
    <row r="1601" spans="9:10" x14ac:dyDescent="0.45">
      <c r="I1601" s="42"/>
      <c r="J1601" s="42"/>
    </row>
    <row r="1602" spans="9:10" x14ac:dyDescent="0.45">
      <c r="I1602" s="42"/>
      <c r="J1602" s="42"/>
    </row>
    <row r="1603" spans="9:10" x14ac:dyDescent="0.45">
      <c r="I1603" s="42"/>
      <c r="J1603" s="42"/>
    </row>
    <row r="1604" spans="9:10" x14ac:dyDescent="0.45">
      <c r="I1604" s="42"/>
      <c r="J1604" s="42"/>
    </row>
    <row r="1605" spans="9:10" x14ac:dyDescent="0.45">
      <c r="I1605" s="42"/>
      <c r="J1605" s="42"/>
    </row>
    <row r="1606" spans="9:10" x14ac:dyDescent="0.45">
      <c r="I1606" s="42"/>
      <c r="J1606" s="42"/>
    </row>
    <row r="1607" spans="9:10" x14ac:dyDescent="0.45">
      <c r="I1607" s="42"/>
      <c r="J1607" s="42"/>
    </row>
    <row r="1608" spans="9:10" x14ac:dyDescent="0.45">
      <c r="I1608" s="42"/>
      <c r="J1608" s="42"/>
    </row>
    <row r="1609" spans="9:10" x14ac:dyDescent="0.45">
      <c r="I1609" s="42"/>
      <c r="J1609" s="42"/>
    </row>
    <row r="1610" spans="9:10" x14ac:dyDescent="0.45">
      <c r="I1610" s="42"/>
      <c r="J1610" s="42"/>
    </row>
    <row r="1611" spans="9:10" x14ac:dyDescent="0.45">
      <c r="I1611" s="42"/>
      <c r="J1611" s="42"/>
    </row>
    <row r="1612" spans="9:10" x14ac:dyDescent="0.45">
      <c r="I1612" s="42"/>
      <c r="J1612" s="42"/>
    </row>
    <row r="1613" spans="9:10" x14ac:dyDescent="0.45">
      <c r="I1613" s="42"/>
      <c r="J1613" s="42"/>
    </row>
    <row r="1614" spans="9:10" x14ac:dyDescent="0.45">
      <c r="I1614" s="42"/>
      <c r="J1614" s="42"/>
    </row>
    <row r="1615" spans="9:10" x14ac:dyDescent="0.45">
      <c r="I1615" s="42"/>
      <c r="J1615" s="42"/>
    </row>
    <row r="1616" spans="9:10" x14ac:dyDescent="0.45">
      <c r="I1616" s="42"/>
      <c r="J1616" s="42"/>
    </row>
    <row r="1617" spans="9:10" x14ac:dyDescent="0.45">
      <c r="I1617" s="42"/>
      <c r="J1617" s="42"/>
    </row>
    <row r="1618" spans="9:10" x14ac:dyDescent="0.45">
      <c r="I1618" s="42"/>
      <c r="J1618" s="42"/>
    </row>
    <row r="1619" spans="9:10" x14ac:dyDescent="0.45">
      <c r="I1619" s="42"/>
      <c r="J1619" s="42"/>
    </row>
    <row r="1620" spans="9:10" x14ac:dyDescent="0.45">
      <c r="I1620" s="42"/>
      <c r="J1620" s="42"/>
    </row>
    <row r="1621" spans="9:10" x14ac:dyDescent="0.45">
      <c r="I1621" s="42"/>
      <c r="J1621" s="42"/>
    </row>
    <row r="1622" spans="9:10" x14ac:dyDescent="0.45">
      <c r="I1622" s="42"/>
      <c r="J1622" s="42"/>
    </row>
    <row r="1623" spans="9:10" x14ac:dyDescent="0.45">
      <c r="I1623" s="42"/>
      <c r="J1623" s="42"/>
    </row>
    <row r="1624" spans="9:10" x14ac:dyDescent="0.45">
      <c r="I1624" s="42"/>
      <c r="J1624" s="42"/>
    </row>
    <row r="1625" spans="9:10" x14ac:dyDescent="0.45">
      <c r="I1625" s="42"/>
      <c r="J1625" s="42"/>
    </row>
    <row r="1626" spans="9:10" x14ac:dyDescent="0.45">
      <c r="I1626" s="42"/>
      <c r="J1626" s="42"/>
    </row>
    <row r="1627" spans="9:10" x14ac:dyDescent="0.45">
      <c r="I1627" s="42"/>
      <c r="J1627" s="42"/>
    </row>
    <row r="1628" spans="9:10" x14ac:dyDescent="0.45">
      <c r="I1628" s="42"/>
      <c r="J1628" s="42"/>
    </row>
    <row r="1629" spans="9:10" x14ac:dyDescent="0.45">
      <c r="I1629" s="42"/>
      <c r="J1629" s="42"/>
    </row>
    <row r="1630" spans="9:10" x14ac:dyDescent="0.45">
      <c r="I1630" s="42"/>
      <c r="J1630" s="42"/>
    </row>
    <row r="1631" spans="9:10" x14ac:dyDescent="0.45">
      <c r="I1631" s="42"/>
      <c r="J1631" s="42"/>
    </row>
    <row r="1632" spans="9:10" x14ac:dyDescent="0.45">
      <c r="I1632" s="42"/>
      <c r="J1632" s="42"/>
    </row>
    <row r="1633" spans="9:10" x14ac:dyDescent="0.45">
      <c r="I1633" s="42"/>
      <c r="J1633" s="42"/>
    </row>
    <row r="1634" spans="9:10" x14ac:dyDescent="0.45">
      <c r="I1634" s="42"/>
      <c r="J1634" s="42"/>
    </row>
    <row r="1635" spans="9:10" x14ac:dyDescent="0.45">
      <c r="I1635" s="42"/>
      <c r="J1635" s="42"/>
    </row>
    <row r="1636" spans="9:10" x14ac:dyDescent="0.45">
      <c r="I1636" s="42"/>
      <c r="J1636" s="42"/>
    </row>
    <row r="1637" spans="9:10" x14ac:dyDescent="0.45">
      <c r="I1637" s="42"/>
      <c r="J1637" s="42"/>
    </row>
    <row r="1638" spans="9:10" x14ac:dyDescent="0.45">
      <c r="I1638" s="42"/>
      <c r="J1638" s="42"/>
    </row>
    <row r="1639" spans="9:10" x14ac:dyDescent="0.45">
      <c r="I1639" s="42"/>
      <c r="J1639" s="42"/>
    </row>
    <row r="1640" spans="9:10" x14ac:dyDescent="0.45">
      <c r="I1640" s="42"/>
      <c r="J1640" s="42"/>
    </row>
    <row r="1641" spans="9:10" x14ac:dyDescent="0.45">
      <c r="I1641" s="42"/>
      <c r="J1641" s="42"/>
    </row>
    <row r="1642" spans="9:10" x14ac:dyDescent="0.45">
      <c r="I1642" s="42"/>
      <c r="J1642" s="42"/>
    </row>
    <row r="1643" spans="9:10" x14ac:dyDescent="0.45">
      <c r="I1643" s="42"/>
      <c r="J1643" s="42"/>
    </row>
    <row r="1644" spans="9:10" x14ac:dyDescent="0.45">
      <c r="I1644" s="42"/>
      <c r="J1644" s="42"/>
    </row>
    <row r="1645" spans="9:10" x14ac:dyDescent="0.45">
      <c r="I1645" s="42"/>
      <c r="J1645" s="42"/>
    </row>
    <row r="1646" spans="9:10" x14ac:dyDescent="0.45">
      <c r="I1646" s="42"/>
      <c r="J1646" s="42"/>
    </row>
    <row r="1647" spans="9:10" x14ac:dyDescent="0.45">
      <c r="I1647" s="42"/>
      <c r="J1647" s="42"/>
    </row>
    <row r="1648" spans="9:10" x14ac:dyDescent="0.45">
      <c r="I1648" s="42"/>
      <c r="J1648" s="42"/>
    </row>
    <row r="1649" spans="9:10" x14ac:dyDescent="0.45">
      <c r="I1649" s="42"/>
      <c r="J1649" s="42"/>
    </row>
    <row r="1650" spans="9:10" x14ac:dyDescent="0.45">
      <c r="I1650" s="42"/>
      <c r="J1650" s="42"/>
    </row>
    <row r="1651" spans="9:10" x14ac:dyDescent="0.45">
      <c r="I1651" s="42"/>
      <c r="J1651" s="42"/>
    </row>
    <row r="1652" spans="9:10" x14ac:dyDescent="0.45">
      <c r="I1652" s="42"/>
      <c r="J1652" s="42"/>
    </row>
    <row r="1653" spans="9:10" x14ac:dyDescent="0.45">
      <c r="I1653" s="42"/>
      <c r="J1653" s="42"/>
    </row>
    <row r="1654" spans="9:10" x14ac:dyDescent="0.45">
      <c r="I1654" s="42"/>
      <c r="J1654" s="42"/>
    </row>
    <row r="1655" spans="9:10" x14ac:dyDescent="0.45">
      <c r="I1655" s="42"/>
      <c r="J1655" s="42"/>
    </row>
    <row r="1656" spans="9:10" x14ac:dyDescent="0.45">
      <c r="I1656" s="42"/>
      <c r="J1656" s="42"/>
    </row>
    <row r="1657" spans="9:10" x14ac:dyDescent="0.45">
      <c r="I1657" s="42"/>
      <c r="J1657" s="42"/>
    </row>
    <row r="1658" spans="9:10" x14ac:dyDescent="0.45">
      <c r="I1658" s="42"/>
      <c r="J1658" s="42"/>
    </row>
    <row r="1659" spans="9:10" x14ac:dyDescent="0.45">
      <c r="I1659" s="42"/>
      <c r="J1659" s="42"/>
    </row>
    <row r="1660" spans="9:10" x14ac:dyDescent="0.45">
      <c r="I1660" s="42"/>
      <c r="J1660" s="42"/>
    </row>
    <row r="1661" spans="9:10" x14ac:dyDescent="0.45">
      <c r="I1661" s="42"/>
      <c r="J1661" s="42"/>
    </row>
    <row r="1662" spans="9:10" x14ac:dyDescent="0.45">
      <c r="I1662" s="42"/>
      <c r="J1662" s="42"/>
    </row>
    <row r="1663" spans="9:10" x14ac:dyDescent="0.45">
      <c r="I1663" s="42"/>
      <c r="J1663" s="42"/>
    </row>
    <row r="1664" spans="9:10" x14ac:dyDescent="0.45">
      <c r="I1664" s="42"/>
      <c r="J1664" s="42"/>
    </row>
    <row r="1665" spans="9:10" x14ac:dyDescent="0.45">
      <c r="I1665" s="42"/>
      <c r="J1665" s="42"/>
    </row>
    <row r="1666" spans="9:10" x14ac:dyDescent="0.45">
      <c r="I1666" s="42"/>
      <c r="J1666" s="42"/>
    </row>
    <row r="1667" spans="9:10" x14ac:dyDescent="0.45">
      <c r="I1667" s="42"/>
      <c r="J1667" s="42"/>
    </row>
    <row r="1668" spans="9:10" x14ac:dyDescent="0.45">
      <c r="I1668" s="42"/>
      <c r="J1668" s="42"/>
    </row>
    <row r="1669" spans="9:10" x14ac:dyDescent="0.45">
      <c r="I1669" s="42"/>
      <c r="J1669" s="42"/>
    </row>
    <row r="1670" spans="9:10" x14ac:dyDescent="0.45">
      <c r="I1670" s="42"/>
      <c r="J1670" s="42"/>
    </row>
    <row r="1671" spans="9:10" x14ac:dyDescent="0.45">
      <c r="I1671" s="42"/>
      <c r="J1671" s="42"/>
    </row>
    <row r="1672" spans="9:10" x14ac:dyDescent="0.45">
      <c r="I1672" s="42"/>
      <c r="J1672" s="42"/>
    </row>
    <row r="1673" spans="9:10" x14ac:dyDescent="0.45">
      <c r="I1673" s="42"/>
      <c r="J1673" s="42"/>
    </row>
    <row r="1674" spans="9:10" x14ac:dyDescent="0.45">
      <c r="I1674" s="42"/>
      <c r="J1674" s="42"/>
    </row>
    <row r="1675" spans="9:10" x14ac:dyDescent="0.45">
      <c r="I1675" s="42"/>
      <c r="J1675" s="42"/>
    </row>
    <row r="1676" spans="9:10" x14ac:dyDescent="0.45">
      <c r="I1676" s="42"/>
      <c r="J1676" s="42"/>
    </row>
    <row r="1677" spans="9:10" x14ac:dyDescent="0.45">
      <c r="I1677" s="42"/>
      <c r="J1677" s="42"/>
    </row>
    <row r="1678" spans="9:10" x14ac:dyDescent="0.45">
      <c r="I1678" s="42"/>
      <c r="J1678" s="42"/>
    </row>
    <row r="1679" spans="9:10" x14ac:dyDescent="0.45">
      <c r="I1679" s="42"/>
      <c r="J1679" s="42"/>
    </row>
    <row r="1680" spans="9:10" x14ac:dyDescent="0.45">
      <c r="I1680" s="42"/>
      <c r="J1680" s="42"/>
    </row>
    <row r="1681" spans="9:10" x14ac:dyDescent="0.45">
      <c r="I1681" s="42"/>
      <c r="J1681" s="42"/>
    </row>
    <row r="1682" spans="9:10" x14ac:dyDescent="0.45">
      <c r="I1682" s="42"/>
      <c r="J1682" s="42"/>
    </row>
    <row r="1683" spans="9:10" x14ac:dyDescent="0.45">
      <c r="I1683" s="42"/>
      <c r="J1683" s="42"/>
    </row>
    <row r="1684" spans="9:10" x14ac:dyDescent="0.45">
      <c r="I1684" s="42"/>
      <c r="J1684" s="42"/>
    </row>
    <row r="1685" spans="9:10" x14ac:dyDescent="0.45">
      <c r="I1685" s="42"/>
      <c r="J1685" s="42"/>
    </row>
    <row r="1686" spans="9:10" x14ac:dyDescent="0.45">
      <c r="I1686" s="42"/>
      <c r="J1686" s="42"/>
    </row>
    <row r="1687" spans="9:10" x14ac:dyDescent="0.45">
      <c r="I1687" s="42"/>
      <c r="J1687" s="42"/>
    </row>
    <row r="1688" spans="9:10" x14ac:dyDescent="0.45">
      <c r="I1688" s="42"/>
      <c r="J1688" s="42"/>
    </row>
    <row r="1689" spans="9:10" x14ac:dyDescent="0.45">
      <c r="I1689" s="42"/>
      <c r="J1689" s="42"/>
    </row>
    <row r="1690" spans="9:10" x14ac:dyDescent="0.45">
      <c r="I1690" s="42"/>
      <c r="J1690" s="42"/>
    </row>
    <row r="1691" spans="9:10" x14ac:dyDescent="0.45">
      <c r="I1691" s="42"/>
      <c r="J1691" s="42"/>
    </row>
    <row r="1692" spans="9:10" x14ac:dyDescent="0.45">
      <c r="I1692" s="42"/>
      <c r="J1692" s="42"/>
    </row>
    <row r="1693" spans="9:10" x14ac:dyDescent="0.45">
      <c r="I1693" s="42"/>
      <c r="J1693" s="42"/>
    </row>
    <row r="1694" spans="9:10" x14ac:dyDescent="0.45">
      <c r="I1694" s="42"/>
      <c r="J1694" s="42"/>
    </row>
    <row r="1695" spans="9:10" x14ac:dyDescent="0.45">
      <c r="I1695" s="42"/>
      <c r="J1695" s="42"/>
    </row>
    <row r="1696" spans="9:10" x14ac:dyDescent="0.45">
      <c r="I1696" s="42"/>
      <c r="J1696" s="42"/>
    </row>
    <row r="1697" spans="9:10" x14ac:dyDescent="0.45">
      <c r="I1697" s="42"/>
      <c r="J1697" s="42"/>
    </row>
    <row r="1698" spans="9:10" x14ac:dyDescent="0.45">
      <c r="I1698" s="42"/>
      <c r="J1698" s="42"/>
    </row>
    <row r="1699" spans="9:10" x14ac:dyDescent="0.45">
      <c r="I1699" s="42"/>
      <c r="J1699" s="42"/>
    </row>
    <row r="1700" spans="9:10" x14ac:dyDescent="0.45">
      <c r="I1700" s="42"/>
      <c r="J1700" s="42"/>
    </row>
    <row r="1701" spans="9:10" x14ac:dyDescent="0.45">
      <c r="I1701" s="42"/>
      <c r="J1701" s="42"/>
    </row>
    <row r="1702" spans="9:10" x14ac:dyDescent="0.45">
      <c r="I1702" s="42"/>
      <c r="J1702" s="42"/>
    </row>
    <row r="1703" spans="9:10" x14ac:dyDescent="0.45">
      <c r="I1703" s="42"/>
      <c r="J1703" s="42"/>
    </row>
    <row r="1704" spans="9:10" x14ac:dyDescent="0.45">
      <c r="I1704" s="42"/>
      <c r="J1704" s="42"/>
    </row>
    <row r="1705" spans="9:10" x14ac:dyDescent="0.45">
      <c r="I1705" s="42"/>
      <c r="J1705" s="42"/>
    </row>
    <row r="1706" spans="9:10" x14ac:dyDescent="0.45">
      <c r="I1706" s="42"/>
      <c r="J1706" s="42"/>
    </row>
    <row r="1707" spans="9:10" x14ac:dyDescent="0.45">
      <c r="I1707" s="42"/>
      <c r="J1707" s="42"/>
    </row>
    <row r="1708" spans="9:10" x14ac:dyDescent="0.45">
      <c r="I1708" s="42"/>
      <c r="J1708" s="42"/>
    </row>
    <row r="1709" spans="9:10" x14ac:dyDescent="0.45">
      <c r="I1709" s="42"/>
      <c r="J1709" s="42"/>
    </row>
    <row r="1710" spans="9:10" x14ac:dyDescent="0.45">
      <c r="I1710" s="42"/>
      <c r="J1710" s="42"/>
    </row>
    <row r="1711" spans="9:10" x14ac:dyDescent="0.45">
      <c r="I1711" s="42"/>
      <c r="J1711" s="42"/>
    </row>
    <row r="1712" spans="9:10" x14ac:dyDescent="0.45">
      <c r="I1712" s="42"/>
      <c r="J1712" s="42"/>
    </row>
    <row r="1713" spans="9:10" x14ac:dyDescent="0.45">
      <c r="I1713" s="42"/>
      <c r="J1713" s="42"/>
    </row>
    <row r="1714" spans="9:10" x14ac:dyDescent="0.45">
      <c r="I1714" s="42"/>
      <c r="J1714" s="42"/>
    </row>
    <row r="1715" spans="9:10" x14ac:dyDescent="0.45">
      <c r="I1715" s="42"/>
      <c r="J1715" s="42"/>
    </row>
    <row r="1716" spans="9:10" x14ac:dyDescent="0.45">
      <c r="I1716" s="42"/>
      <c r="J1716" s="42"/>
    </row>
    <row r="1717" spans="9:10" x14ac:dyDescent="0.45">
      <c r="I1717" s="42"/>
      <c r="J1717" s="42"/>
    </row>
    <row r="1718" spans="9:10" x14ac:dyDescent="0.45">
      <c r="I1718" s="42"/>
      <c r="J1718" s="42"/>
    </row>
    <row r="1719" spans="9:10" x14ac:dyDescent="0.45">
      <c r="I1719" s="42"/>
      <c r="J1719" s="42"/>
    </row>
    <row r="1720" spans="9:10" x14ac:dyDescent="0.45">
      <c r="I1720" s="42"/>
      <c r="J1720" s="42"/>
    </row>
    <row r="1721" spans="9:10" x14ac:dyDescent="0.45">
      <c r="I1721" s="42"/>
      <c r="J1721" s="42"/>
    </row>
    <row r="1722" spans="9:10" x14ac:dyDescent="0.45">
      <c r="I1722" s="42"/>
      <c r="J1722" s="42"/>
    </row>
    <row r="1723" spans="9:10" x14ac:dyDescent="0.45">
      <c r="I1723" s="42"/>
      <c r="J1723" s="42"/>
    </row>
    <row r="1724" spans="9:10" x14ac:dyDescent="0.45">
      <c r="I1724" s="42"/>
      <c r="J1724" s="42"/>
    </row>
    <row r="1725" spans="9:10" x14ac:dyDescent="0.45">
      <c r="I1725" s="42"/>
      <c r="J1725" s="42"/>
    </row>
    <row r="1726" spans="9:10" x14ac:dyDescent="0.45">
      <c r="I1726" s="42"/>
      <c r="J1726" s="42"/>
    </row>
    <row r="1727" spans="9:10" x14ac:dyDescent="0.45">
      <c r="I1727" s="42"/>
      <c r="J1727" s="42"/>
    </row>
    <row r="1728" spans="9:10" x14ac:dyDescent="0.45">
      <c r="I1728" s="42"/>
      <c r="J1728" s="42"/>
    </row>
    <row r="1729" spans="9:10" x14ac:dyDescent="0.45">
      <c r="I1729" s="42"/>
      <c r="J1729" s="42"/>
    </row>
    <row r="1730" spans="9:10" x14ac:dyDescent="0.45">
      <c r="I1730" s="42"/>
      <c r="J1730" s="42"/>
    </row>
    <row r="1731" spans="9:10" x14ac:dyDescent="0.45">
      <c r="I1731" s="42"/>
      <c r="J1731" s="42"/>
    </row>
    <row r="1732" spans="9:10" x14ac:dyDescent="0.45">
      <c r="I1732" s="42"/>
      <c r="J1732" s="42"/>
    </row>
    <row r="1733" spans="9:10" x14ac:dyDescent="0.45">
      <c r="I1733" s="42"/>
      <c r="J1733" s="42"/>
    </row>
    <row r="1734" spans="9:10" x14ac:dyDescent="0.45">
      <c r="I1734" s="42"/>
      <c r="J1734" s="42"/>
    </row>
    <row r="1735" spans="9:10" x14ac:dyDescent="0.45">
      <c r="I1735" s="42"/>
      <c r="J1735" s="42"/>
    </row>
    <row r="1736" spans="9:10" x14ac:dyDescent="0.45">
      <c r="I1736" s="42"/>
      <c r="J1736" s="42"/>
    </row>
    <row r="1737" spans="9:10" x14ac:dyDescent="0.45">
      <c r="I1737" s="42"/>
      <c r="J1737" s="42"/>
    </row>
    <row r="1738" spans="9:10" x14ac:dyDescent="0.45">
      <c r="I1738" s="42"/>
      <c r="J1738" s="42"/>
    </row>
    <row r="1739" spans="9:10" x14ac:dyDescent="0.45">
      <c r="I1739" s="42"/>
      <c r="J1739" s="42"/>
    </row>
    <row r="1740" spans="9:10" x14ac:dyDescent="0.45">
      <c r="I1740" s="42"/>
      <c r="J1740" s="42"/>
    </row>
    <row r="1741" spans="9:10" x14ac:dyDescent="0.45">
      <c r="I1741" s="42"/>
      <c r="J1741" s="42"/>
    </row>
    <row r="1742" spans="9:10" x14ac:dyDescent="0.45">
      <c r="I1742" s="42"/>
      <c r="J1742" s="42"/>
    </row>
    <row r="1743" spans="9:10" x14ac:dyDescent="0.45">
      <c r="I1743" s="42"/>
      <c r="J1743" s="42"/>
    </row>
    <row r="1744" spans="9:10" x14ac:dyDescent="0.45">
      <c r="I1744" s="42"/>
      <c r="J1744" s="42"/>
    </row>
    <row r="1745" spans="9:10" x14ac:dyDescent="0.45">
      <c r="I1745" s="42"/>
      <c r="J1745" s="42"/>
    </row>
    <row r="1746" spans="9:10" x14ac:dyDescent="0.45">
      <c r="I1746" s="42"/>
      <c r="J1746" s="42"/>
    </row>
    <row r="1747" spans="9:10" x14ac:dyDescent="0.45">
      <c r="I1747" s="42"/>
      <c r="J1747" s="42"/>
    </row>
    <row r="1748" spans="9:10" x14ac:dyDescent="0.45">
      <c r="I1748" s="42"/>
      <c r="J1748" s="42"/>
    </row>
    <row r="1749" spans="9:10" x14ac:dyDescent="0.45">
      <c r="I1749" s="42"/>
      <c r="J1749" s="42"/>
    </row>
    <row r="1750" spans="9:10" x14ac:dyDescent="0.45">
      <c r="I1750" s="42"/>
      <c r="J1750" s="42"/>
    </row>
    <row r="1751" spans="9:10" x14ac:dyDescent="0.45">
      <c r="I1751" s="42"/>
      <c r="J1751" s="42"/>
    </row>
    <row r="1752" spans="9:10" x14ac:dyDescent="0.45">
      <c r="I1752" s="42"/>
      <c r="J1752" s="42"/>
    </row>
    <row r="1753" spans="9:10" x14ac:dyDescent="0.45">
      <c r="I1753" s="42"/>
      <c r="J1753" s="42"/>
    </row>
    <row r="1754" spans="9:10" x14ac:dyDescent="0.45">
      <c r="I1754" s="42"/>
      <c r="J1754" s="42"/>
    </row>
    <row r="1755" spans="9:10" x14ac:dyDescent="0.45">
      <c r="I1755" s="42"/>
      <c r="J1755" s="42"/>
    </row>
    <row r="1756" spans="9:10" x14ac:dyDescent="0.45">
      <c r="I1756" s="42"/>
      <c r="J1756" s="42"/>
    </row>
    <row r="1757" spans="9:10" x14ac:dyDescent="0.45">
      <c r="I1757" s="42"/>
      <c r="J1757" s="42"/>
    </row>
    <row r="1758" spans="9:10" x14ac:dyDescent="0.45">
      <c r="I1758" s="42"/>
      <c r="J1758" s="42"/>
    </row>
    <row r="1759" spans="9:10" x14ac:dyDescent="0.45">
      <c r="I1759" s="42"/>
      <c r="J1759" s="42"/>
    </row>
    <row r="1760" spans="9:10" x14ac:dyDescent="0.45">
      <c r="I1760" s="42"/>
      <c r="J1760" s="42"/>
    </row>
    <row r="1761" spans="9:10" x14ac:dyDescent="0.45">
      <c r="I1761" s="42"/>
      <c r="J1761" s="42"/>
    </row>
    <row r="1762" spans="9:10" x14ac:dyDescent="0.45">
      <c r="I1762" s="42"/>
      <c r="J1762" s="42"/>
    </row>
    <row r="1763" spans="9:10" x14ac:dyDescent="0.45">
      <c r="I1763" s="42"/>
      <c r="J1763" s="42"/>
    </row>
    <row r="1764" spans="9:10" x14ac:dyDescent="0.45">
      <c r="I1764" s="42"/>
      <c r="J1764" s="42"/>
    </row>
    <row r="1765" spans="9:10" x14ac:dyDescent="0.45">
      <c r="I1765" s="42"/>
      <c r="J1765" s="42"/>
    </row>
    <row r="1766" spans="9:10" x14ac:dyDescent="0.45">
      <c r="I1766" s="42"/>
      <c r="J1766" s="42"/>
    </row>
    <row r="1767" spans="9:10" x14ac:dyDescent="0.45">
      <c r="I1767" s="42"/>
      <c r="J1767" s="42"/>
    </row>
    <row r="1768" spans="9:10" x14ac:dyDescent="0.45">
      <c r="I1768" s="42"/>
      <c r="J1768" s="42"/>
    </row>
    <row r="1769" spans="9:10" x14ac:dyDescent="0.45">
      <c r="I1769" s="42"/>
      <c r="J1769" s="42"/>
    </row>
    <row r="1770" spans="9:10" x14ac:dyDescent="0.45">
      <c r="I1770" s="42"/>
      <c r="J1770" s="42"/>
    </row>
    <row r="1771" spans="9:10" x14ac:dyDescent="0.45">
      <c r="I1771" s="42"/>
      <c r="J1771" s="42"/>
    </row>
    <row r="1772" spans="9:10" x14ac:dyDescent="0.45">
      <c r="I1772" s="42"/>
      <c r="J1772" s="42"/>
    </row>
    <row r="1773" spans="9:10" x14ac:dyDescent="0.45">
      <c r="I1773" s="42"/>
      <c r="J1773" s="42"/>
    </row>
    <row r="1774" spans="9:10" x14ac:dyDescent="0.45">
      <c r="I1774" s="42"/>
      <c r="J1774" s="42"/>
    </row>
    <row r="1775" spans="9:10" x14ac:dyDescent="0.45">
      <c r="I1775" s="42"/>
      <c r="J1775" s="42"/>
    </row>
    <row r="1776" spans="9:10" x14ac:dyDescent="0.45">
      <c r="I1776" s="42"/>
      <c r="J1776" s="42"/>
    </row>
    <row r="1777" spans="9:10" x14ac:dyDescent="0.45">
      <c r="I1777" s="42"/>
      <c r="J1777" s="42"/>
    </row>
    <row r="1778" spans="9:10" x14ac:dyDescent="0.45">
      <c r="I1778" s="42"/>
      <c r="J1778" s="42"/>
    </row>
    <row r="1779" spans="9:10" x14ac:dyDescent="0.45">
      <c r="I1779" s="42"/>
      <c r="J1779" s="42"/>
    </row>
    <row r="1780" spans="9:10" x14ac:dyDescent="0.45">
      <c r="I1780" s="42"/>
      <c r="J1780" s="42"/>
    </row>
    <row r="1781" spans="9:10" x14ac:dyDescent="0.45">
      <c r="I1781" s="42"/>
      <c r="J1781" s="42"/>
    </row>
    <row r="1782" spans="9:10" x14ac:dyDescent="0.45">
      <c r="I1782" s="42"/>
      <c r="J1782" s="42"/>
    </row>
    <row r="1783" spans="9:10" x14ac:dyDescent="0.45">
      <c r="I1783" s="42"/>
      <c r="J1783" s="42"/>
    </row>
    <row r="1784" spans="9:10" x14ac:dyDescent="0.45">
      <c r="I1784" s="42"/>
      <c r="J1784" s="42"/>
    </row>
    <row r="1785" spans="9:10" x14ac:dyDescent="0.45">
      <c r="I1785" s="42"/>
      <c r="J1785" s="42"/>
    </row>
    <row r="1786" spans="9:10" x14ac:dyDescent="0.45">
      <c r="I1786" s="42"/>
      <c r="J1786" s="42"/>
    </row>
    <row r="1787" spans="9:10" x14ac:dyDescent="0.45">
      <c r="I1787" s="42"/>
      <c r="J1787" s="42"/>
    </row>
    <row r="1788" spans="9:10" x14ac:dyDescent="0.45">
      <c r="I1788" s="42"/>
      <c r="J1788" s="42"/>
    </row>
    <row r="1789" spans="9:10" x14ac:dyDescent="0.45">
      <c r="I1789" s="42"/>
      <c r="J1789" s="42"/>
    </row>
    <row r="1790" spans="9:10" x14ac:dyDescent="0.45">
      <c r="I1790" s="42"/>
      <c r="J1790" s="42"/>
    </row>
    <row r="1791" spans="9:10" x14ac:dyDescent="0.45">
      <c r="I1791" s="42"/>
      <c r="J1791" s="42"/>
    </row>
    <row r="1792" spans="9:10" x14ac:dyDescent="0.45">
      <c r="I1792" s="42"/>
      <c r="J1792" s="42"/>
    </row>
    <row r="1793" spans="9:10" x14ac:dyDescent="0.45">
      <c r="I1793" s="42"/>
      <c r="J1793" s="42"/>
    </row>
    <row r="1794" spans="9:10" x14ac:dyDescent="0.45">
      <c r="I1794" s="42"/>
      <c r="J1794" s="42"/>
    </row>
    <row r="1795" spans="9:10" x14ac:dyDescent="0.45">
      <c r="I1795" s="42"/>
      <c r="J1795" s="42"/>
    </row>
    <row r="1796" spans="9:10" x14ac:dyDescent="0.45">
      <c r="I1796" s="42"/>
      <c r="J1796" s="42"/>
    </row>
    <row r="1797" spans="9:10" x14ac:dyDescent="0.45">
      <c r="I1797" s="42"/>
      <c r="J1797" s="42"/>
    </row>
    <row r="1798" spans="9:10" x14ac:dyDescent="0.45">
      <c r="I1798" s="42"/>
      <c r="J1798" s="42"/>
    </row>
    <row r="1799" spans="9:10" x14ac:dyDescent="0.45">
      <c r="I1799" s="42"/>
      <c r="J1799" s="42"/>
    </row>
    <row r="1800" spans="9:10" x14ac:dyDescent="0.45">
      <c r="I1800" s="42"/>
      <c r="J1800" s="42"/>
    </row>
    <row r="1801" spans="9:10" x14ac:dyDescent="0.45">
      <c r="I1801" s="42"/>
      <c r="J1801" s="42"/>
    </row>
    <row r="1802" spans="9:10" x14ac:dyDescent="0.45">
      <c r="I1802" s="42"/>
      <c r="J1802" s="42"/>
    </row>
    <row r="1803" spans="9:10" x14ac:dyDescent="0.45">
      <c r="I1803" s="42"/>
      <c r="J1803" s="42"/>
    </row>
    <row r="1804" spans="9:10" x14ac:dyDescent="0.45">
      <c r="I1804" s="42"/>
      <c r="J1804" s="42"/>
    </row>
    <row r="1805" spans="9:10" x14ac:dyDescent="0.45">
      <c r="I1805" s="42"/>
      <c r="J1805" s="42"/>
    </row>
    <row r="1806" spans="9:10" x14ac:dyDescent="0.45">
      <c r="I1806" s="42"/>
      <c r="J1806" s="42"/>
    </row>
    <row r="1807" spans="9:10" x14ac:dyDescent="0.45">
      <c r="I1807" s="42"/>
      <c r="J1807" s="42"/>
    </row>
    <row r="1808" spans="9:10" x14ac:dyDescent="0.45">
      <c r="I1808" s="42"/>
      <c r="J1808" s="42"/>
    </row>
    <row r="1809" spans="9:10" x14ac:dyDescent="0.45">
      <c r="I1809" s="42"/>
      <c r="J1809" s="42"/>
    </row>
    <row r="1810" spans="9:10" x14ac:dyDescent="0.45">
      <c r="I1810" s="42"/>
      <c r="J1810" s="42"/>
    </row>
    <row r="1811" spans="9:10" x14ac:dyDescent="0.45">
      <c r="I1811" s="42"/>
      <c r="J1811" s="42"/>
    </row>
    <row r="1812" spans="9:10" x14ac:dyDescent="0.45">
      <c r="I1812" s="42"/>
      <c r="J1812" s="42"/>
    </row>
    <row r="1813" spans="9:10" x14ac:dyDescent="0.45">
      <c r="I1813" s="42"/>
      <c r="J1813" s="42"/>
    </row>
    <row r="1814" spans="9:10" x14ac:dyDescent="0.45">
      <c r="I1814" s="42"/>
      <c r="J1814" s="42"/>
    </row>
    <row r="1815" spans="9:10" x14ac:dyDescent="0.45">
      <c r="I1815" s="42"/>
      <c r="J1815" s="42"/>
    </row>
    <row r="1816" spans="9:10" x14ac:dyDescent="0.45">
      <c r="I1816" s="42"/>
      <c r="J1816" s="42"/>
    </row>
    <row r="1817" spans="9:10" x14ac:dyDescent="0.45">
      <c r="I1817" s="42"/>
      <c r="J1817" s="42"/>
    </row>
    <row r="1818" spans="9:10" x14ac:dyDescent="0.45">
      <c r="I1818" s="42"/>
      <c r="J1818" s="42"/>
    </row>
    <row r="1819" spans="9:10" x14ac:dyDescent="0.45">
      <c r="I1819" s="42"/>
      <c r="J1819" s="42"/>
    </row>
    <row r="1820" spans="9:10" x14ac:dyDescent="0.45">
      <c r="I1820" s="42"/>
      <c r="J1820" s="42"/>
    </row>
    <row r="1821" spans="9:10" x14ac:dyDescent="0.45">
      <c r="I1821" s="42"/>
      <c r="J1821" s="42"/>
    </row>
    <row r="1822" spans="9:10" x14ac:dyDescent="0.45">
      <c r="I1822" s="42"/>
      <c r="J1822" s="42"/>
    </row>
    <row r="1823" spans="9:10" x14ac:dyDescent="0.45">
      <c r="I1823" s="42"/>
      <c r="J1823" s="42"/>
    </row>
    <row r="1824" spans="9:10" x14ac:dyDescent="0.45">
      <c r="I1824" s="42"/>
      <c r="J1824" s="42"/>
    </row>
    <row r="1825" spans="9:10" x14ac:dyDescent="0.45">
      <c r="I1825" s="42"/>
      <c r="J1825" s="42"/>
    </row>
    <row r="1826" spans="9:10" x14ac:dyDescent="0.45">
      <c r="I1826" s="42"/>
      <c r="J1826" s="42"/>
    </row>
    <row r="1827" spans="9:10" x14ac:dyDescent="0.45">
      <c r="I1827" s="42"/>
      <c r="J1827" s="42"/>
    </row>
    <row r="1828" spans="9:10" x14ac:dyDescent="0.45">
      <c r="I1828" s="42"/>
      <c r="J1828" s="42"/>
    </row>
    <row r="1829" spans="9:10" x14ac:dyDescent="0.45">
      <c r="I1829" s="42"/>
      <c r="J1829" s="42"/>
    </row>
    <row r="1830" spans="9:10" x14ac:dyDescent="0.45">
      <c r="I1830" s="42"/>
      <c r="J1830" s="42"/>
    </row>
    <row r="1831" spans="9:10" x14ac:dyDescent="0.45">
      <c r="I1831" s="42"/>
      <c r="J1831" s="42"/>
    </row>
    <row r="1832" spans="9:10" x14ac:dyDescent="0.45">
      <c r="I1832" s="42"/>
      <c r="J1832" s="42"/>
    </row>
    <row r="1833" spans="9:10" x14ac:dyDescent="0.45">
      <c r="I1833" s="42"/>
      <c r="J1833" s="42"/>
    </row>
    <row r="1834" spans="9:10" x14ac:dyDescent="0.45">
      <c r="I1834" s="42"/>
      <c r="J1834" s="42"/>
    </row>
    <row r="1835" spans="9:10" x14ac:dyDescent="0.45">
      <c r="I1835" s="42"/>
      <c r="J1835" s="42"/>
    </row>
    <row r="1836" spans="9:10" x14ac:dyDescent="0.45">
      <c r="I1836" s="42"/>
      <c r="J1836" s="42"/>
    </row>
    <row r="1837" spans="9:10" x14ac:dyDescent="0.45">
      <c r="I1837" s="42"/>
      <c r="J1837" s="42"/>
    </row>
    <row r="1838" spans="9:10" x14ac:dyDescent="0.45">
      <c r="I1838" s="42"/>
      <c r="J1838" s="42"/>
    </row>
    <row r="1839" spans="9:10" x14ac:dyDescent="0.45">
      <c r="I1839" s="42"/>
      <c r="J1839" s="42"/>
    </row>
    <row r="1840" spans="9:10" x14ac:dyDescent="0.45">
      <c r="I1840" s="42"/>
      <c r="J1840" s="42"/>
    </row>
    <row r="1841" spans="9:10" x14ac:dyDescent="0.45">
      <c r="I1841" s="42"/>
      <c r="J1841" s="42"/>
    </row>
    <row r="1842" spans="9:10" x14ac:dyDescent="0.45">
      <c r="I1842" s="42"/>
      <c r="J1842" s="42"/>
    </row>
    <row r="1843" spans="9:10" x14ac:dyDescent="0.45">
      <c r="I1843" s="42"/>
      <c r="J1843" s="42"/>
    </row>
    <row r="1844" spans="9:10" x14ac:dyDescent="0.45">
      <c r="I1844" s="42"/>
      <c r="J1844" s="42"/>
    </row>
    <row r="1845" spans="9:10" x14ac:dyDescent="0.45">
      <c r="I1845" s="42"/>
      <c r="J1845" s="42"/>
    </row>
    <row r="1846" spans="9:10" x14ac:dyDescent="0.45">
      <c r="I1846" s="42"/>
      <c r="J1846" s="42"/>
    </row>
    <row r="1847" spans="9:10" x14ac:dyDescent="0.45">
      <c r="I1847" s="42"/>
      <c r="J1847" s="42"/>
    </row>
    <row r="1848" spans="9:10" x14ac:dyDescent="0.45">
      <c r="I1848" s="42"/>
      <c r="J1848" s="42"/>
    </row>
    <row r="1849" spans="9:10" x14ac:dyDescent="0.45">
      <c r="I1849" s="42"/>
      <c r="J1849" s="42"/>
    </row>
    <row r="1850" spans="9:10" x14ac:dyDescent="0.45">
      <c r="I1850" s="42"/>
      <c r="J1850" s="42"/>
    </row>
    <row r="1851" spans="9:10" x14ac:dyDescent="0.45">
      <c r="I1851" s="42"/>
      <c r="J1851" s="42"/>
    </row>
    <row r="1852" spans="9:10" x14ac:dyDescent="0.45">
      <c r="I1852" s="42"/>
      <c r="J1852" s="42"/>
    </row>
    <row r="1853" spans="9:10" x14ac:dyDescent="0.45">
      <c r="I1853" s="42"/>
      <c r="J1853" s="42"/>
    </row>
    <row r="1854" spans="9:10" x14ac:dyDescent="0.45">
      <c r="I1854" s="42"/>
      <c r="J1854" s="42"/>
    </row>
    <row r="1855" spans="9:10" x14ac:dyDescent="0.45">
      <c r="I1855" s="42"/>
      <c r="J1855" s="42"/>
    </row>
    <row r="1856" spans="9:10" x14ac:dyDescent="0.45">
      <c r="I1856" s="42"/>
      <c r="J1856" s="42"/>
    </row>
    <row r="1857" spans="9:10" x14ac:dyDescent="0.45">
      <c r="I1857" s="42"/>
      <c r="J1857" s="42"/>
    </row>
    <row r="1858" spans="9:10" x14ac:dyDescent="0.45">
      <c r="I1858" s="42"/>
      <c r="J1858" s="42"/>
    </row>
    <row r="1859" spans="9:10" x14ac:dyDescent="0.45">
      <c r="I1859" s="42"/>
      <c r="J1859" s="42"/>
    </row>
    <row r="1860" spans="9:10" x14ac:dyDescent="0.45">
      <c r="I1860" s="42"/>
      <c r="J1860" s="42"/>
    </row>
    <row r="1861" spans="9:10" x14ac:dyDescent="0.45">
      <c r="I1861" s="42"/>
      <c r="J1861" s="42"/>
    </row>
    <row r="1862" spans="9:10" x14ac:dyDescent="0.45">
      <c r="I1862" s="42"/>
      <c r="J1862" s="42"/>
    </row>
    <row r="1863" spans="9:10" x14ac:dyDescent="0.45">
      <c r="I1863" s="42"/>
      <c r="J1863" s="42"/>
    </row>
    <row r="1864" spans="9:10" x14ac:dyDescent="0.45">
      <c r="I1864" s="42"/>
      <c r="J1864" s="42"/>
    </row>
    <row r="1865" spans="9:10" x14ac:dyDescent="0.45">
      <c r="I1865" s="42"/>
      <c r="J1865" s="42"/>
    </row>
    <row r="1866" spans="9:10" x14ac:dyDescent="0.45">
      <c r="I1866" s="42"/>
      <c r="J1866" s="42"/>
    </row>
    <row r="1867" spans="9:10" x14ac:dyDescent="0.45">
      <c r="I1867" s="42"/>
      <c r="J1867" s="42"/>
    </row>
    <row r="1868" spans="9:10" x14ac:dyDescent="0.45">
      <c r="I1868" s="42"/>
      <c r="J1868" s="42"/>
    </row>
    <row r="1869" spans="9:10" x14ac:dyDescent="0.45">
      <c r="I1869" s="42"/>
      <c r="J1869" s="42"/>
    </row>
    <row r="1870" spans="9:10" x14ac:dyDescent="0.45">
      <c r="I1870" s="42"/>
      <c r="J1870" s="42"/>
    </row>
    <row r="1871" spans="9:10" x14ac:dyDescent="0.45">
      <c r="I1871" s="42"/>
      <c r="J1871" s="42"/>
    </row>
    <row r="1872" spans="9:10" x14ac:dyDescent="0.45">
      <c r="I1872" s="42"/>
      <c r="J1872" s="42"/>
    </row>
    <row r="1873" spans="9:10" x14ac:dyDescent="0.45">
      <c r="I1873" s="42"/>
      <c r="J1873" s="42"/>
    </row>
    <row r="1874" spans="9:10" x14ac:dyDescent="0.45">
      <c r="I1874" s="42"/>
      <c r="J1874" s="42"/>
    </row>
    <row r="1875" spans="9:10" x14ac:dyDescent="0.45">
      <c r="I1875" s="42"/>
      <c r="J1875" s="42"/>
    </row>
    <row r="1876" spans="9:10" x14ac:dyDescent="0.45">
      <c r="I1876" s="42"/>
      <c r="J1876" s="42"/>
    </row>
    <row r="1877" spans="9:10" x14ac:dyDescent="0.45">
      <c r="I1877" s="42"/>
      <c r="J1877" s="42"/>
    </row>
    <row r="1878" spans="9:10" x14ac:dyDescent="0.45">
      <c r="I1878" s="42"/>
      <c r="J1878" s="42"/>
    </row>
    <row r="1879" spans="9:10" x14ac:dyDescent="0.45">
      <c r="I1879" s="42"/>
      <c r="J1879" s="42"/>
    </row>
    <row r="1880" spans="9:10" x14ac:dyDescent="0.45">
      <c r="I1880" s="42"/>
      <c r="J1880" s="42"/>
    </row>
    <row r="1881" spans="9:10" x14ac:dyDescent="0.45">
      <c r="I1881" s="42"/>
      <c r="J1881" s="42"/>
    </row>
    <row r="1882" spans="9:10" x14ac:dyDescent="0.45">
      <c r="I1882" s="42"/>
      <c r="J1882" s="42"/>
    </row>
    <row r="1883" spans="9:10" x14ac:dyDescent="0.45">
      <c r="I1883" s="42"/>
      <c r="J1883" s="42"/>
    </row>
    <row r="1884" spans="9:10" x14ac:dyDescent="0.45">
      <c r="I1884" s="42"/>
      <c r="J1884" s="42"/>
    </row>
    <row r="1885" spans="9:10" x14ac:dyDescent="0.45">
      <c r="I1885" s="42"/>
      <c r="J1885" s="42"/>
    </row>
    <row r="1886" spans="9:10" x14ac:dyDescent="0.45">
      <c r="I1886" s="42"/>
      <c r="J1886" s="42"/>
    </row>
    <row r="1887" spans="9:10" x14ac:dyDescent="0.45">
      <c r="I1887" s="42"/>
      <c r="J1887" s="42"/>
    </row>
    <row r="1888" spans="9:10" x14ac:dyDescent="0.45">
      <c r="I1888" s="42"/>
      <c r="J1888" s="42"/>
    </row>
    <row r="1889" spans="9:10" x14ac:dyDescent="0.45">
      <c r="I1889" s="42"/>
      <c r="J1889" s="42"/>
    </row>
    <row r="1890" spans="9:10" x14ac:dyDescent="0.45">
      <c r="I1890" s="42"/>
      <c r="J1890" s="42"/>
    </row>
    <row r="1891" spans="9:10" x14ac:dyDescent="0.45">
      <c r="I1891" s="42"/>
      <c r="J1891" s="42"/>
    </row>
    <row r="1892" spans="9:10" x14ac:dyDescent="0.45">
      <c r="I1892" s="42"/>
      <c r="J1892" s="42"/>
    </row>
    <row r="1893" spans="9:10" x14ac:dyDescent="0.45">
      <c r="I1893" s="42"/>
      <c r="J1893" s="42"/>
    </row>
    <row r="1894" spans="9:10" x14ac:dyDescent="0.45">
      <c r="I1894" s="42"/>
      <c r="J1894" s="42"/>
    </row>
    <row r="1895" spans="9:10" x14ac:dyDescent="0.45">
      <c r="I1895" s="42"/>
      <c r="J1895" s="42"/>
    </row>
    <row r="1896" spans="9:10" x14ac:dyDescent="0.45">
      <c r="I1896" s="42"/>
      <c r="J1896" s="42"/>
    </row>
    <row r="1897" spans="9:10" x14ac:dyDescent="0.45">
      <c r="I1897" s="42"/>
      <c r="J1897" s="42"/>
    </row>
    <row r="1898" spans="9:10" x14ac:dyDescent="0.45">
      <c r="I1898" s="42"/>
      <c r="J1898" s="42"/>
    </row>
    <row r="1899" spans="9:10" x14ac:dyDescent="0.45">
      <c r="I1899" s="42"/>
      <c r="J1899" s="42"/>
    </row>
    <row r="1900" spans="9:10" x14ac:dyDescent="0.45">
      <c r="I1900" s="42"/>
      <c r="J1900" s="42"/>
    </row>
    <row r="1901" spans="9:10" x14ac:dyDescent="0.45">
      <c r="I1901" s="42"/>
      <c r="J1901" s="42"/>
    </row>
    <row r="1902" spans="9:10" x14ac:dyDescent="0.45">
      <c r="I1902" s="42"/>
      <c r="J1902" s="42"/>
    </row>
    <row r="1903" spans="9:10" x14ac:dyDescent="0.45">
      <c r="I1903" s="42"/>
      <c r="J1903" s="42"/>
    </row>
    <row r="1904" spans="9:10" x14ac:dyDescent="0.45">
      <c r="I1904" s="42"/>
      <c r="J1904" s="42"/>
    </row>
    <row r="1905" spans="9:10" x14ac:dyDescent="0.45">
      <c r="I1905" s="42"/>
      <c r="J1905" s="42"/>
    </row>
    <row r="1906" spans="9:10" x14ac:dyDescent="0.45">
      <c r="I1906" s="42"/>
      <c r="J1906" s="42"/>
    </row>
    <row r="1907" spans="9:10" x14ac:dyDescent="0.45">
      <c r="I1907" s="42"/>
      <c r="J1907" s="42"/>
    </row>
    <row r="1908" spans="9:10" x14ac:dyDescent="0.45">
      <c r="I1908" s="42"/>
      <c r="J1908" s="42"/>
    </row>
    <row r="1909" spans="9:10" x14ac:dyDescent="0.45">
      <c r="I1909" s="42"/>
      <c r="J1909" s="42"/>
    </row>
    <row r="1910" spans="9:10" x14ac:dyDescent="0.45">
      <c r="I1910" s="42"/>
      <c r="J1910" s="42"/>
    </row>
    <row r="1911" spans="9:10" x14ac:dyDescent="0.45">
      <c r="I1911" s="42"/>
      <c r="J1911" s="42"/>
    </row>
    <row r="1912" spans="9:10" x14ac:dyDescent="0.45">
      <c r="I1912" s="42"/>
      <c r="J1912" s="42"/>
    </row>
    <row r="1913" spans="9:10" x14ac:dyDescent="0.45">
      <c r="I1913" s="42"/>
      <c r="J1913" s="42"/>
    </row>
    <row r="1914" spans="9:10" x14ac:dyDescent="0.45">
      <c r="I1914" s="42"/>
      <c r="J1914" s="42"/>
    </row>
    <row r="1915" spans="9:10" x14ac:dyDescent="0.45">
      <c r="I1915" s="42"/>
      <c r="J1915" s="42"/>
    </row>
    <row r="1916" spans="9:10" x14ac:dyDescent="0.45">
      <c r="I1916" s="42"/>
      <c r="J1916" s="42"/>
    </row>
    <row r="1917" spans="9:10" x14ac:dyDescent="0.45">
      <c r="I1917" s="42"/>
      <c r="J1917" s="42"/>
    </row>
    <row r="1918" spans="9:10" x14ac:dyDescent="0.45">
      <c r="I1918" s="42"/>
      <c r="J1918" s="42"/>
    </row>
    <row r="1919" spans="9:10" x14ac:dyDescent="0.45">
      <c r="I1919" s="42"/>
      <c r="J1919" s="42"/>
    </row>
    <row r="1920" spans="9:10" x14ac:dyDescent="0.45">
      <c r="I1920" s="42"/>
      <c r="J1920" s="42"/>
    </row>
    <row r="1921" spans="9:10" x14ac:dyDescent="0.45">
      <c r="I1921" s="42"/>
      <c r="J1921" s="42"/>
    </row>
    <row r="1922" spans="9:10" x14ac:dyDescent="0.45">
      <c r="I1922" s="42"/>
      <c r="J1922" s="42"/>
    </row>
    <row r="1923" spans="9:10" x14ac:dyDescent="0.45">
      <c r="I1923" s="42"/>
      <c r="J1923" s="42"/>
    </row>
    <row r="1924" spans="9:10" x14ac:dyDescent="0.45">
      <c r="I1924" s="42"/>
      <c r="J1924" s="42"/>
    </row>
    <row r="1925" spans="9:10" x14ac:dyDescent="0.45">
      <c r="I1925" s="42"/>
      <c r="J1925" s="42"/>
    </row>
    <row r="1926" spans="9:10" x14ac:dyDescent="0.45">
      <c r="I1926" s="42"/>
      <c r="J1926" s="42"/>
    </row>
    <row r="1927" spans="9:10" x14ac:dyDescent="0.45">
      <c r="I1927" s="42"/>
      <c r="J1927" s="42"/>
    </row>
    <row r="1928" spans="9:10" x14ac:dyDescent="0.45">
      <c r="I1928" s="42"/>
      <c r="J1928" s="42"/>
    </row>
    <row r="1929" spans="9:10" x14ac:dyDescent="0.45">
      <c r="I1929" s="42"/>
      <c r="J1929" s="42"/>
    </row>
    <row r="1930" spans="9:10" x14ac:dyDescent="0.45">
      <c r="I1930" s="42"/>
      <c r="J1930" s="42"/>
    </row>
    <row r="1931" spans="9:10" x14ac:dyDescent="0.45">
      <c r="I1931" s="42"/>
      <c r="J1931" s="42"/>
    </row>
    <row r="1932" spans="9:10" x14ac:dyDescent="0.45">
      <c r="I1932" s="42"/>
      <c r="J1932" s="42"/>
    </row>
    <row r="1933" spans="9:10" x14ac:dyDescent="0.45">
      <c r="I1933" s="42"/>
      <c r="J1933" s="42"/>
    </row>
    <row r="1934" spans="9:10" x14ac:dyDescent="0.45">
      <c r="I1934" s="42"/>
      <c r="J1934" s="42"/>
    </row>
    <row r="1935" spans="9:10" x14ac:dyDescent="0.45">
      <c r="I1935" s="42"/>
      <c r="J1935" s="42"/>
    </row>
    <row r="1936" spans="9:10" x14ac:dyDescent="0.45">
      <c r="I1936" s="42"/>
      <c r="J1936" s="42"/>
    </row>
    <row r="1937" spans="9:10" x14ac:dyDescent="0.45">
      <c r="I1937" s="42"/>
      <c r="J1937" s="42"/>
    </row>
    <row r="1938" spans="9:10" x14ac:dyDescent="0.45">
      <c r="I1938" s="42"/>
      <c r="J1938" s="42"/>
    </row>
    <row r="1939" spans="9:10" x14ac:dyDescent="0.45">
      <c r="I1939" s="42"/>
      <c r="J1939" s="42"/>
    </row>
    <row r="1940" spans="9:10" x14ac:dyDescent="0.45">
      <c r="I1940" s="42"/>
      <c r="J1940" s="42"/>
    </row>
    <row r="1941" spans="9:10" x14ac:dyDescent="0.45">
      <c r="I1941" s="42"/>
      <c r="J1941" s="42"/>
    </row>
    <row r="1942" spans="9:10" x14ac:dyDescent="0.45">
      <c r="I1942" s="42"/>
      <c r="J1942" s="42"/>
    </row>
    <row r="1943" spans="9:10" x14ac:dyDescent="0.45">
      <c r="I1943" s="42"/>
      <c r="J1943" s="42"/>
    </row>
    <row r="1944" spans="9:10" x14ac:dyDescent="0.45">
      <c r="I1944" s="42"/>
      <c r="J1944" s="42"/>
    </row>
    <row r="1945" spans="9:10" x14ac:dyDescent="0.45">
      <c r="I1945" s="42"/>
      <c r="J1945" s="42"/>
    </row>
    <row r="1946" spans="9:10" x14ac:dyDescent="0.45">
      <c r="I1946" s="42"/>
      <c r="J1946" s="42"/>
    </row>
    <row r="1947" spans="9:10" x14ac:dyDescent="0.45">
      <c r="I1947" s="42"/>
      <c r="J1947" s="42"/>
    </row>
    <row r="1948" spans="9:10" x14ac:dyDescent="0.45">
      <c r="I1948" s="42"/>
      <c r="J1948" s="42"/>
    </row>
    <row r="1949" spans="9:10" x14ac:dyDescent="0.45">
      <c r="I1949" s="42"/>
      <c r="J1949" s="42"/>
    </row>
    <row r="1950" spans="9:10" x14ac:dyDescent="0.45">
      <c r="I1950" s="42"/>
      <c r="J1950" s="42"/>
    </row>
    <row r="1951" spans="9:10" x14ac:dyDescent="0.45">
      <c r="I1951" s="42"/>
      <c r="J1951" s="42"/>
    </row>
    <row r="1952" spans="9:10" x14ac:dyDescent="0.45">
      <c r="I1952" s="42"/>
      <c r="J1952" s="42"/>
    </row>
    <row r="1953" spans="9:10" x14ac:dyDescent="0.45">
      <c r="I1953" s="42"/>
      <c r="J1953" s="42"/>
    </row>
    <row r="1954" spans="9:10" x14ac:dyDescent="0.45">
      <c r="I1954" s="42"/>
      <c r="J1954" s="42"/>
    </row>
    <row r="1955" spans="9:10" x14ac:dyDescent="0.45">
      <c r="I1955" s="42"/>
      <c r="J1955" s="42"/>
    </row>
    <row r="1956" spans="9:10" x14ac:dyDescent="0.45">
      <c r="I1956" s="42"/>
      <c r="J1956" s="42"/>
    </row>
    <row r="1957" spans="9:10" x14ac:dyDescent="0.45">
      <c r="I1957" s="42"/>
      <c r="J1957" s="42"/>
    </row>
    <row r="1958" spans="9:10" x14ac:dyDescent="0.45">
      <c r="I1958" s="42"/>
      <c r="J1958" s="42"/>
    </row>
    <row r="1959" spans="9:10" x14ac:dyDescent="0.45">
      <c r="I1959" s="42"/>
      <c r="J1959" s="42"/>
    </row>
    <row r="1960" spans="9:10" x14ac:dyDescent="0.45">
      <c r="I1960" s="42"/>
      <c r="J1960" s="42"/>
    </row>
    <row r="1961" spans="9:10" x14ac:dyDescent="0.45">
      <c r="I1961" s="42"/>
      <c r="J1961" s="42"/>
    </row>
    <row r="1962" spans="9:10" x14ac:dyDescent="0.45">
      <c r="I1962" s="42"/>
      <c r="J1962" s="42"/>
    </row>
    <row r="1963" spans="9:10" x14ac:dyDescent="0.45">
      <c r="I1963" s="42"/>
      <c r="J1963" s="42"/>
    </row>
    <row r="1964" spans="9:10" x14ac:dyDescent="0.45">
      <c r="I1964" s="42"/>
      <c r="J1964" s="42"/>
    </row>
    <row r="1965" spans="9:10" x14ac:dyDescent="0.45">
      <c r="I1965" s="42"/>
      <c r="J1965" s="42"/>
    </row>
    <row r="1966" spans="9:10" x14ac:dyDescent="0.45">
      <c r="I1966" s="42"/>
      <c r="J1966" s="42"/>
    </row>
    <row r="1967" spans="9:10" x14ac:dyDescent="0.45">
      <c r="I1967" s="42"/>
      <c r="J1967" s="42"/>
    </row>
    <row r="1968" spans="9:10" x14ac:dyDescent="0.45">
      <c r="I1968" s="42"/>
      <c r="J1968" s="42"/>
    </row>
    <row r="1969" spans="9:10" x14ac:dyDescent="0.45">
      <c r="I1969" s="42"/>
      <c r="J1969" s="42"/>
    </row>
    <row r="1970" spans="9:10" x14ac:dyDescent="0.45">
      <c r="I1970" s="42"/>
      <c r="J1970" s="42"/>
    </row>
    <row r="1971" spans="9:10" x14ac:dyDescent="0.45">
      <c r="I1971" s="42"/>
      <c r="J1971" s="42"/>
    </row>
    <row r="1972" spans="9:10" x14ac:dyDescent="0.45">
      <c r="I1972" s="42"/>
      <c r="J1972" s="42"/>
    </row>
    <row r="1973" spans="9:10" x14ac:dyDescent="0.45">
      <c r="I1973" s="42"/>
      <c r="J1973" s="42"/>
    </row>
    <row r="1974" spans="9:10" x14ac:dyDescent="0.45">
      <c r="I1974" s="42"/>
      <c r="J1974" s="42"/>
    </row>
    <row r="1975" spans="9:10" x14ac:dyDescent="0.45">
      <c r="I1975" s="42"/>
      <c r="J1975" s="42"/>
    </row>
    <row r="1976" spans="9:10" x14ac:dyDescent="0.45">
      <c r="I1976" s="42"/>
      <c r="J1976" s="42"/>
    </row>
    <row r="1977" spans="9:10" x14ac:dyDescent="0.45">
      <c r="I1977" s="42"/>
      <c r="J1977" s="42"/>
    </row>
    <row r="1978" spans="9:10" x14ac:dyDescent="0.45">
      <c r="I1978" s="42"/>
      <c r="J1978" s="42"/>
    </row>
    <row r="1979" spans="9:10" x14ac:dyDescent="0.45">
      <c r="I1979" s="42"/>
      <c r="J1979" s="42"/>
    </row>
    <row r="1980" spans="9:10" x14ac:dyDescent="0.45">
      <c r="I1980" s="42"/>
      <c r="J1980" s="42"/>
    </row>
    <row r="1981" spans="9:10" x14ac:dyDescent="0.45">
      <c r="I1981" s="42"/>
      <c r="J1981" s="42"/>
    </row>
    <row r="1982" spans="9:10" x14ac:dyDescent="0.45">
      <c r="I1982" s="42"/>
      <c r="J1982" s="42"/>
    </row>
    <row r="1983" spans="9:10" x14ac:dyDescent="0.45">
      <c r="I1983" s="42"/>
      <c r="J1983" s="42"/>
    </row>
    <row r="1984" spans="9:10" x14ac:dyDescent="0.45">
      <c r="I1984" s="42"/>
      <c r="J1984" s="42"/>
    </row>
    <row r="1985" spans="9:10" x14ac:dyDescent="0.45">
      <c r="I1985" s="42"/>
      <c r="J1985" s="42"/>
    </row>
    <row r="1986" spans="9:10" x14ac:dyDescent="0.45">
      <c r="I1986" s="42"/>
      <c r="J1986" s="42"/>
    </row>
    <row r="1987" spans="9:10" x14ac:dyDescent="0.45">
      <c r="I1987" s="42"/>
      <c r="J1987" s="42"/>
    </row>
    <row r="1988" spans="9:10" x14ac:dyDescent="0.45">
      <c r="I1988" s="42"/>
      <c r="J1988" s="42"/>
    </row>
    <row r="1989" spans="9:10" x14ac:dyDescent="0.45">
      <c r="I1989" s="42"/>
      <c r="J1989" s="42"/>
    </row>
    <row r="1990" spans="9:10" x14ac:dyDescent="0.45">
      <c r="I1990" s="42"/>
      <c r="J1990" s="42"/>
    </row>
    <row r="1991" spans="9:10" x14ac:dyDescent="0.45">
      <c r="I1991" s="42"/>
      <c r="J1991" s="42"/>
    </row>
    <row r="1992" spans="9:10" x14ac:dyDescent="0.45">
      <c r="I1992" s="42"/>
      <c r="J1992" s="42"/>
    </row>
    <row r="1993" spans="9:10" x14ac:dyDescent="0.45">
      <c r="I1993" s="42"/>
      <c r="J1993" s="42"/>
    </row>
    <row r="1994" spans="9:10" x14ac:dyDescent="0.45">
      <c r="I1994" s="42"/>
      <c r="J1994" s="42"/>
    </row>
    <row r="1995" spans="9:10" x14ac:dyDescent="0.45">
      <c r="I1995" s="42"/>
      <c r="J1995" s="42"/>
    </row>
    <row r="1996" spans="9:10" x14ac:dyDescent="0.45">
      <c r="I1996" s="42"/>
      <c r="J1996" s="42"/>
    </row>
    <row r="1997" spans="9:10" x14ac:dyDescent="0.45">
      <c r="I1997" s="42"/>
      <c r="J1997" s="42"/>
    </row>
    <row r="1998" spans="9:10" x14ac:dyDescent="0.45">
      <c r="I1998" s="42"/>
      <c r="J1998" s="42"/>
    </row>
    <row r="1999" spans="9:10" x14ac:dyDescent="0.45">
      <c r="I1999" s="42"/>
      <c r="J1999" s="42"/>
    </row>
    <row r="2000" spans="9:10" x14ac:dyDescent="0.45">
      <c r="I2000" s="42"/>
      <c r="J2000" s="42"/>
    </row>
    <row r="2001" spans="9:10" x14ac:dyDescent="0.45">
      <c r="I2001" s="42"/>
      <c r="J2001" s="42"/>
    </row>
    <row r="2002" spans="9:10" x14ac:dyDescent="0.45">
      <c r="I2002" s="42"/>
      <c r="J2002" s="42"/>
    </row>
    <row r="2003" spans="9:10" x14ac:dyDescent="0.45">
      <c r="I2003" s="42"/>
      <c r="J2003" s="42"/>
    </row>
    <row r="2004" spans="9:10" x14ac:dyDescent="0.45">
      <c r="I2004" s="42"/>
      <c r="J2004" s="42"/>
    </row>
    <row r="2005" spans="9:10" x14ac:dyDescent="0.45">
      <c r="I2005" s="42"/>
      <c r="J2005" s="42"/>
    </row>
    <row r="2006" spans="9:10" x14ac:dyDescent="0.45">
      <c r="I2006" s="42"/>
      <c r="J2006" s="42"/>
    </row>
    <row r="2007" spans="9:10" x14ac:dyDescent="0.45">
      <c r="I2007" s="42"/>
      <c r="J2007" s="42"/>
    </row>
    <row r="2008" spans="9:10" x14ac:dyDescent="0.45">
      <c r="I2008" s="42"/>
      <c r="J2008" s="42"/>
    </row>
    <row r="2009" spans="9:10" x14ac:dyDescent="0.45">
      <c r="I2009" s="42"/>
      <c r="J2009" s="42"/>
    </row>
    <row r="2010" spans="9:10" x14ac:dyDescent="0.45">
      <c r="I2010" s="42"/>
      <c r="J2010" s="42"/>
    </row>
    <row r="2011" spans="9:10" x14ac:dyDescent="0.45">
      <c r="I2011" s="42"/>
      <c r="J2011" s="42"/>
    </row>
    <row r="2012" spans="9:10" x14ac:dyDescent="0.45">
      <c r="I2012" s="42"/>
      <c r="J2012" s="42"/>
    </row>
    <row r="2013" spans="9:10" x14ac:dyDescent="0.45">
      <c r="I2013" s="42"/>
      <c r="J2013" s="42"/>
    </row>
    <row r="2014" spans="9:10" x14ac:dyDescent="0.45">
      <c r="I2014" s="42"/>
      <c r="J2014" s="42"/>
    </row>
    <row r="2015" spans="9:10" x14ac:dyDescent="0.45">
      <c r="I2015" s="42"/>
      <c r="J2015" s="42"/>
    </row>
    <row r="2016" spans="9:10" x14ac:dyDescent="0.45">
      <c r="I2016" s="42"/>
      <c r="J2016" s="42"/>
    </row>
    <row r="2017" spans="9:10" x14ac:dyDescent="0.45">
      <c r="I2017" s="42"/>
      <c r="J2017" s="42"/>
    </row>
    <row r="2018" spans="9:10" x14ac:dyDescent="0.45">
      <c r="I2018" s="42"/>
      <c r="J2018" s="42"/>
    </row>
    <row r="2019" spans="9:10" x14ac:dyDescent="0.45">
      <c r="I2019" s="42"/>
      <c r="J2019" s="42"/>
    </row>
    <row r="2020" spans="9:10" x14ac:dyDescent="0.45">
      <c r="I2020" s="42"/>
      <c r="J2020" s="42"/>
    </row>
    <row r="2021" spans="9:10" x14ac:dyDescent="0.45">
      <c r="I2021" s="42"/>
      <c r="J2021" s="42"/>
    </row>
    <row r="2022" spans="9:10" x14ac:dyDescent="0.45">
      <c r="I2022" s="42"/>
      <c r="J2022" s="42"/>
    </row>
    <row r="2023" spans="9:10" x14ac:dyDescent="0.45">
      <c r="I2023" s="42"/>
      <c r="J2023" s="42"/>
    </row>
    <row r="2024" spans="9:10" x14ac:dyDescent="0.45">
      <c r="I2024" s="42"/>
      <c r="J2024" s="42"/>
    </row>
    <row r="2025" spans="9:10" x14ac:dyDescent="0.45">
      <c r="I2025" s="42"/>
      <c r="J2025" s="42"/>
    </row>
    <row r="2026" spans="9:10" x14ac:dyDescent="0.45">
      <c r="I2026" s="42"/>
      <c r="J2026" s="42"/>
    </row>
    <row r="2027" spans="9:10" x14ac:dyDescent="0.45">
      <c r="I2027" s="42"/>
      <c r="J2027" s="42"/>
    </row>
    <row r="2028" spans="9:10" x14ac:dyDescent="0.45">
      <c r="I2028" s="42"/>
      <c r="J2028" s="42"/>
    </row>
    <row r="2029" spans="9:10" x14ac:dyDescent="0.45">
      <c r="I2029" s="42"/>
      <c r="J2029" s="42"/>
    </row>
    <row r="2030" spans="9:10" x14ac:dyDescent="0.45">
      <c r="I2030" s="42"/>
      <c r="J2030" s="42"/>
    </row>
    <row r="2031" spans="9:10" x14ac:dyDescent="0.45">
      <c r="I2031" s="42"/>
      <c r="J2031" s="42"/>
    </row>
    <row r="2032" spans="9:10" x14ac:dyDescent="0.45">
      <c r="I2032" s="42"/>
      <c r="J2032" s="42"/>
    </row>
    <row r="2033" spans="9:10" x14ac:dyDescent="0.45">
      <c r="I2033" s="42"/>
      <c r="J2033" s="42"/>
    </row>
    <row r="2034" spans="9:10" x14ac:dyDescent="0.45">
      <c r="I2034" s="42"/>
      <c r="J2034" s="42"/>
    </row>
    <row r="2035" spans="9:10" x14ac:dyDescent="0.45">
      <c r="I2035" s="42"/>
      <c r="J2035" s="42"/>
    </row>
    <row r="2036" spans="9:10" x14ac:dyDescent="0.45">
      <c r="I2036" s="42"/>
      <c r="J2036" s="42"/>
    </row>
    <row r="2037" spans="9:10" x14ac:dyDescent="0.45">
      <c r="I2037" s="42"/>
      <c r="J2037" s="42"/>
    </row>
    <row r="2038" spans="9:10" x14ac:dyDescent="0.45">
      <c r="I2038" s="42"/>
      <c r="J2038" s="42"/>
    </row>
    <row r="2039" spans="9:10" x14ac:dyDescent="0.45">
      <c r="I2039" s="42"/>
      <c r="J2039" s="42"/>
    </row>
    <row r="2040" spans="9:10" x14ac:dyDescent="0.45">
      <c r="I2040" s="42"/>
      <c r="J2040" s="42"/>
    </row>
    <row r="2041" spans="9:10" x14ac:dyDescent="0.45">
      <c r="I2041" s="42"/>
      <c r="J2041" s="42"/>
    </row>
    <row r="2042" spans="9:10" x14ac:dyDescent="0.45">
      <c r="I2042" s="42"/>
      <c r="J2042" s="42"/>
    </row>
    <row r="2043" spans="9:10" x14ac:dyDescent="0.45">
      <c r="I2043" s="42"/>
      <c r="J2043" s="42"/>
    </row>
    <row r="2044" spans="9:10" x14ac:dyDescent="0.45">
      <c r="I2044" s="42"/>
      <c r="J2044" s="42"/>
    </row>
    <row r="2045" spans="9:10" x14ac:dyDescent="0.45">
      <c r="I2045" s="42"/>
      <c r="J2045" s="42"/>
    </row>
    <row r="2046" spans="9:10" x14ac:dyDescent="0.45">
      <c r="I2046" s="42"/>
      <c r="J2046" s="42"/>
    </row>
    <row r="2047" spans="9:10" x14ac:dyDescent="0.45">
      <c r="I2047" s="42"/>
      <c r="J2047" s="42"/>
    </row>
    <row r="2048" spans="9:10" x14ac:dyDescent="0.45">
      <c r="I2048" s="42"/>
      <c r="J2048" s="42"/>
    </row>
    <row r="2049" spans="9:10" x14ac:dyDescent="0.45">
      <c r="I2049" s="42"/>
      <c r="J2049" s="42"/>
    </row>
    <row r="2050" spans="9:10" x14ac:dyDescent="0.45">
      <c r="I2050" s="42"/>
      <c r="J2050" s="42"/>
    </row>
    <row r="2051" spans="9:10" x14ac:dyDescent="0.45">
      <c r="I2051" s="42"/>
      <c r="J2051" s="42"/>
    </row>
    <row r="2052" spans="9:10" x14ac:dyDescent="0.45">
      <c r="I2052" s="42"/>
      <c r="J2052" s="42"/>
    </row>
    <row r="2053" spans="9:10" x14ac:dyDescent="0.45">
      <c r="I2053" s="42"/>
      <c r="J2053" s="42"/>
    </row>
    <row r="2054" spans="9:10" x14ac:dyDescent="0.45">
      <c r="I2054" s="42"/>
      <c r="J2054" s="42"/>
    </row>
    <row r="2055" spans="9:10" x14ac:dyDescent="0.45">
      <c r="I2055" s="42"/>
      <c r="J2055" s="42"/>
    </row>
    <row r="2056" spans="9:10" x14ac:dyDescent="0.45">
      <c r="I2056" s="42"/>
      <c r="J2056" s="42"/>
    </row>
    <row r="2057" spans="9:10" x14ac:dyDescent="0.45">
      <c r="I2057" s="42"/>
      <c r="J2057" s="42"/>
    </row>
    <row r="2058" spans="9:10" x14ac:dyDescent="0.45">
      <c r="I2058" s="42"/>
      <c r="J2058" s="42"/>
    </row>
    <row r="2059" spans="9:10" x14ac:dyDescent="0.45">
      <c r="I2059" s="42"/>
      <c r="J2059" s="42"/>
    </row>
    <row r="2060" spans="9:10" x14ac:dyDescent="0.45">
      <c r="I2060" s="42"/>
      <c r="J2060" s="42"/>
    </row>
    <row r="2061" spans="9:10" x14ac:dyDescent="0.45">
      <c r="I2061" s="42"/>
      <c r="J2061" s="42"/>
    </row>
    <row r="2062" spans="9:10" x14ac:dyDescent="0.45">
      <c r="I2062" s="42"/>
      <c r="J2062" s="42"/>
    </row>
    <row r="2063" spans="9:10" x14ac:dyDescent="0.45">
      <c r="I2063" s="42"/>
      <c r="J2063" s="42"/>
    </row>
    <row r="2064" spans="9:10" x14ac:dyDescent="0.45">
      <c r="I2064" s="42"/>
      <c r="J2064" s="42"/>
    </row>
    <row r="2065" spans="9:10" x14ac:dyDescent="0.45">
      <c r="I2065" s="42"/>
      <c r="J2065" s="42"/>
    </row>
    <row r="2066" spans="9:10" x14ac:dyDescent="0.45">
      <c r="I2066" s="42"/>
      <c r="J2066" s="42"/>
    </row>
    <row r="2067" spans="9:10" x14ac:dyDescent="0.45">
      <c r="I2067" s="42"/>
      <c r="J2067" s="42"/>
    </row>
    <row r="2068" spans="9:10" x14ac:dyDescent="0.45">
      <c r="I2068" s="42"/>
      <c r="J2068" s="42"/>
    </row>
    <row r="2069" spans="9:10" x14ac:dyDescent="0.45">
      <c r="I2069" s="42"/>
      <c r="J2069" s="42"/>
    </row>
    <row r="2070" spans="9:10" x14ac:dyDescent="0.45">
      <c r="I2070" s="42"/>
      <c r="J2070" s="42"/>
    </row>
    <row r="2071" spans="9:10" x14ac:dyDescent="0.45">
      <c r="I2071" s="42"/>
      <c r="J2071" s="42"/>
    </row>
    <row r="2072" spans="9:10" x14ac:dyDescent="0.45">
      <c r="I2072" s="42"/>
      <c r="J2072" s="42"/>
    </row>
    <row r="2073" spans="9:10" x14ac:dyDescent="0.45">
      <c r="I2073" s="42"/>
      <c r="J2073" s="42"/>
    </row>
    <row r="2074" spans="9:10" x14ac:dyDescent="0.45">
      <c r="I2074" s="42"/>
      <c r="J2074" s="42"/>
    </row>
    <row r="2075" spans="9:10" x14ac:dyDescent="0.45">
      <c r="I2075" s="42"/>
      <c r="J2075" s="42"/>
    </row>
    <row r="2076" spans="9:10" x14ac:dyDescent="0.45">
      <c r="I2076" s="42"/>
      <c r="J2076" s="42"/>
    </row>
    <row r="2077" spans="9:10" x14ac:dyDescent="0.45">
      <c r="I2077" s="42"/>
      <c r="J2077" s="42"/>
    </row>
    <row r="2078" spans="9:10" x14ac:dyDescent="0.45">
      <c r="I2078" s="42"/>
      <c r="J2078" s="42"/>
    </row>
    <row r="2079" spans="9:10" x14ac:dyDescent="0.45">
      <c r="I2079" s="42"/>
      <c r="J2079" s="42"/>
    </row>
    <row r="2080" spans="9:10" x14ac:dyDescent="0.45">
      <c r="I2080" s="42"/>
      <c r="J2080" s="42"/>
    </row>
    <row r="2081" spans="9:10" x14ac:dyDescent="0.45">
      <c r="I2081" s="42"/>
      <c r="J2081" s="42"/>
    </row>
    <row r="2082" spans="9:10" x14ac:dyDescent="0.45">
      <c r="I2082" s="42"/>
      <c r="J2082" s="42"/>
    </row>
    <row r="2083" spans="9:10" x14ac:dyDescent="0.45">
      <c r="I2083" s="42"/>
      <c r="J2083" s="42"/>
    </row>
    <row r="2084" spans="9:10" x14ac:dyDescent="0.45">
      <c r="I2084" s="42"/>
      <c r="J2084" s="42"/>
    </row>
    <row r="2085" spans="9:10" x14ac:dyDescent="0.45">
      <c r="I2085" s="42"/>
      <c r="J2085" s="42"/>
    </row>
    <row r="2086" spans="9:10" x14ac:dyDescent="0.45">
      <c r="I2086" s="42"/>
      <c r="J2086" s="42"/>
    </row>
    <row r="2087" spans="9:10" x14ac:dyDescent="0.45">
      <c r="I2087" s="42"/>
      <c r="J2087" s="42"/>
    </row>
    <row r="2088" spans="9:10" x14ac:dyDescent="0.45">
      <c r="I2088" s="42"/>
      <c r="J2088" s="42"/>
    </row>
    <row r="2089" spans="9:10" x14ac:dyDescent="0.45">
      <c r="I2089" s="42"/>
      <c r="J2089" s="42"/>
    </row>
    <row r="2090" spans="9:10" x14ac:dyDescent="0.45">
      <c r="I2090" s="42"/>
      <c r="J2090" s="42"/>
    </row>
    <row r="2091" spans="9:10" x14ac:dyDescent="0.45">
      <c r="I2091" s="42"/>
      <c r="J2091" s="42"/>
    </row>
    <row r="2092" spans="9:10" x14ac:dyDescent="0.45">
      <c r="I2092" s="42"/>
      <c r="J2092" s="42"/>
    </row>
    <row r="2093" spans="9:10" x14ac:dyDescent="0.45">
      <c r="I2093" s="42"/>
      <c r="J2093" s="42"/>
    </row>
    <row r="2094" spans="9:10" x14ac:dyDescent="0.45">
      <c r="I2094" s="42"/>
      <c r="J2094" s="42"/>
    </row>
    <row r="2095" spans="9:10" x14ac:dyDescent="0.45">
      <c r="I2095" s="42"/>
      <c r="J2095" s="42"/>
    </row>
    <row r="2096" spans="9:10" x14ac:dyDescent="0.45">
      <c r="I2096" s="42"/>
      <c r="J2096" s="42"/>
    </row>
    <row r="2097" spans="9:10" x14ac:dyDescent="0.45">
      <c r="I2097" s="42"/>
      <c r="J2097" s="42"/>
    </row>
    <row r="2098" spans="9:10" x14ac:dyDescent="0.45">
      <c r="I2098" s="42"/>
      <c r="J2098" s="42"/>
    </row>
    <row r="2099" spans="9:10" x14ac:dyDescent="0.45">
      <c r="I2099" s="42"/>
      <c r="J2099" s="42"/>
    </row>
    <row r="2100" spans="9:10" x14ac:dyDescent="0.45">
      <c r="I2100" s="42"/>
      <c r="J2100" s="42"/>
    </row>
    <row r="2101" spans="9:10" x14ac:dyDescent="0.45">
      <c r="I2101" s="42"/>
      <c r="J2101" s="42"/>
    </row>
    <row r="2102" spans="9:10" x14ac:dyDescent="0.45">
      <c r="I2102" s="42"/>
      <c r="J2102" s="42"/>
    </row>
    <row r="2103" spans="9:10" x14ac:dyDescent="0.45">
      <c r="I2103" s="42"/>
      <c r="J2103" s="42"/>
    </row>
    <row r="2104" spans="9:10" x14ac:dyDescent="0.45">
      <c r="I2104" s="42"/>
      <c r="J2104" s="42"/>
    </row>
    <row r="2105" spans="9:10" x14ac:dyDescent="0.45">
      <c r="I2105" s="42"/>
      <c r="J2105" s="42"/>
    </row>
    <row r="2106" spans="9:10" x14ac:dyDescent="0.45">
      <c r="I2106" s="42"/>
      <c r="J2106" s="42"/>
    </row>
    <row r="2107" spans="9:10" x14ac:dyDescent="0.45">
      <c r="I2107" s="42"/>
      <c r="J2107" s="42"/>
    </row>
    <row r="2108" spans="9:10" x14ac:dyDescent="0.45">
      <c r="I2108" s="42"/>
      <c r="J2108" s="42"/>
    </row>
    <row r="2109" spans="9:10" x14ac:dyDescent="0.45">
      <c r="I2109" s="42"/>
      <c r="J2109" s="42"/>
    </row>
    <row r="2110" spans="9:10" x14ac:dyDescent="0.45">
      <c r="I2110" s="42"/>
      <c r="J2110" s="42"/>
    </row>
    <row r="2111" spans="9:10" x14ac:dyDescent="0.45">
      <c r="I2111" s="42"/>
      <c r="J2111" s="42"/>
    </row>
    <row r="2112" spans="9:10" x14ac:dyDescent="0.45">
      <c r="I2112" s="42"/>
      <c r="J2112" s="42"/>
    </row>
    <row r="2113" spans="9:10" x14ac:dyDescent="0.45">
      <c r="I2113" s="42"/>
      <c r="J2113" s="42"/>
    </row>
    <row r="2114" spans="9:10" x14ac:dyDescent="0.45">
      <c r="I2114" s="42"/>
      <c r="J2114" s="42"/>
    </row>
    <row r="2115" spans="9:10" x14ac:dyDescent="0.45">
      <c r="I2115" s="42"/>
      <c r="J2115" s="42"/>
    </row>
    <row r="2116" spans="9:10" x14ac:dyDescent="0.45">
      <c r="I2116" s="42"/>
      <c r="J2116" s="42"/>
    </row>
    <row r="2117" spans="9:10" x14ac:dyDescent="0.45">
      <c r="I2117" s="42"/>
      <c r="J2117" s="42"/>
    </row>
    <row r="2118" spans="9:10" x14ac:dyDescent="0.45">
      <c r="I2118" s="42"/>
      <c r="J2118" s="42"/>
    </row>
    <row r="2119" spans="9:10" x14ac:dyDescent="0.45">
      <c r="I2119" s="42"/>
      <c r="J2119" s="42"/>
    </row>
    <row r="2120" spans="9:10" x14ac:dyDescent="0.45">
      <c r="I2120" s="42"/>
      <c r="J2120" s="42"/>
    </row>
    <row r="2121" spans="9:10" x14ac:dyDescent="0.45">
      <c r="I2121" s="42"/>
      <c r="J2121" s="42"/>
    </row>
    <row r="2122" spans="9:10" x14ac:dyDescent="0.45">
      <c r="I2122" s="42"/>
      <c r="J2122" s="42"/>
    </row>
    <row r="2123" spans="9:10" x14ac:dyDescent="0.45">
      <c r="I2123" s="42"/>
      <c r="J2123" s="42"/>
    </row>
    <row r="2124" spans="9:10" x14ac:dyDescent="0.45">
      <c r="I2124" s="42"/>
      <c r="J2124" s="42"/>
    </row>
    <row r="2125" spans="9:10" x14ac:dyDescent="0.45">
      <c r="I2125" s="42"/>
      <c r="J2125" s="42"/>
    </row>
    <row r="2126" spans="9:10" x14ac:dyDescent="0.45">
      <c r="I2126" s="42"/>
      <c r="J2126" s="42"/>
    </row>
    <row r="2127" spans="9:10" x14ac:dyDescent="0.45">
      <c r="I2127" s="42"/>
      <c r="J2127" s="42"/>
    </row>
    <row r="2128" spans="9:10" x14ac:dyDescent="0.45">
      <c r="I2128" s="42"/>
      <c r="J2128" s="42"/>
    </row>
    <row r="2129" spans="9:10" x14ac:dyDescent="0.45">
      <c r="I2129" s="42"/>
      <c r="J2129" s="42"/>
    </row>
    <row r="2130" spans="9:10" x14ac:dyDescent="0.45">
      <c r="I2130" s="42"/>
      <c r="J2130" s="42"/>
    </row>
    <row r="2131" spans="9:10" x14ac:dyDescent="0.45">
      <c r="I2131" s="42"/>
      <c r="J2131" s="42"/>
    </row>
    <row r="2132" spans="9:10" x14ac:dyDescent="0.45">
      <c r="I2132" s="42"/>
      <c r="J2132" s="42"/>
    </row>
    <row r="2133" spans="9:10" x14ac:dyDescent="0.45">
      <c r="I2133" s="42"/>
      <c r="J2133" s="42"/>
    </row>
    <row r="2134" spans="9:10" x14ac:dyDescent="0.45">
      <c r="I2134" s="42"/>
      <c r="J2134" s="42"/>
    </row>
    <row r="2135" spans="9:10" x14ac:dyDescent="0.45">
      <c r="I2135" s="42"/>
      <c r="J2135" s="42"/>
    </row>
    <row r="2136" spans="9:10" x14ac:dyDescent="0.45">
      <c r="I2136" s="42"/>
      <c r="J2136" s="42"/>
    </row>
    <row r="2137" spans="9:10" x14ac:dyDescent="0.45">
      <c r="I2137" s="42"/>
      <c r="J2137" s="42"/>
    </row>
    <row r="2138" spans="9:10" x14ac:dyDescent="0.45">
      <c r="I2138" s="42"/>
      <c r="J2138" s="42"/>
    </row>
    <row r="2139" spans="9:10" x14ac:dyDescent="0.45">
      <c r="I2139" s="42"/>
      <c r="J2139" s="42"/>
    </row>
    <row r="2140" spans="9:10" x14ac:dyDescent="0.45">
      <c r="I2140" s="42"/>
      <c r="J2140" s="42"/>
    </row>
    <row r="2141" spans="9:10" x14ac:dyDescent="0.45">
      <c r="I2141" s="42"/>
      <c r="J2141" s="42"/>
    </row>
    <row r="2142" spans="9:10" x14ac:dyDescent="0.45">
      <c r="I2142" s="42"/>
      <c r="J2142" s="42"/>
    </row>
    <row r="2143" spans="9:10" x14ac:dyDescent="0.45">
      <c r="I2143" s="42"/>
      <c r="J2143" s="42"/>
    </row>
    <row r="2144" spans="9:10" x14ac:dyDescent="0.45">
      <c r="I2144" s="42"/>
      <c r="J2144" s="42"/>
    </row>
    <row r="2145" spans="9:10" x14ac:dyDescent="0.45">
      <c r="I2145" s="42"/>
      <c r="J2145" s="42"/>
    </row>
    <row r="2146" spans="9:10" x14ac:dyDescent="0.45">
      <c r="I2146" s="42"/>
      <c r="J2146" s="42"/>
    </row>
    <row r="2147" spans="9:10" x14ac:dyDescent="0.45">
      <c r="I2147" s="42"/>
      <c r="J2147" s="42"/>
    </row>
    <row r="2148" spans="9:10" x14ac:dyDescent="0.45">
      <c r="I2148" s="42"/>
      <c r="J2148" s="42"/>
    </row>
    <row r="2149" spans="9:10" x14ac:dyDescent="0.45">
      <c r="I2149" s="42"/>
      <c r="J2149" s="42"/>
    </row>
    <row r="2150" spans="9:10" x14ac:dyDescent="0.45">
      <c r="I2150" s="42"/>
      <c r="J2150" s="42"/>
    </row>
    <row r="2151" spans="9:10" x14ac:dyDescent="0.45">
      <c r="I2151" s="42"/>
      <c r="J2151" s="42"/>
    </row>
    <row r="2152" spans="9:10" x14ac:dyDescent="0.45">
      <c r="I2152" s="42"/>
      <c r="J2152" s="42"/>
    </row>
    <row r="2153" spans="9:10" x14ac:dyDescent="0.45">
      <c r="I2153" s="42"/>
      <c r="J2153" s="42"/>
    </row>
    <row r="2154" spans="9:10" x14ac:dyDescent="0.45">
      <c r="I2154" s="42"/>
      <c r="J2154" s="42"/>
    </row>
    <row r="2155" spans="9:10" x14ac:dyDescent="0.45">
      <c r="I2155" s="42"/>
      <c r="J2155" s="42"/>
    </row>
    <row r="2156" spans="9:10" x14ac:dyDescent="0.45">
      <c r="I2156" s="42"/>
      <c r="J2156" s="42"/>
    </row>
    <row r="2157" spans="9:10" x14ac:dyDescent="0.45">
      <c r="I2157" s="42"/>
      <c r="J2157" s="42"/>
    </row>
    <row r="2158" spans="9:10" x14ac:dyDescent="0.45">
      <c r="I2158" s="42"/>
      <c r="J2158" s="42"/>
    </row>
    <row r="2159" spans="9:10" x14ac:dyDescent="0.45">
      <c r="I2159" s="42"/>
      <c r="J2159" s="42"/>
    </row>
    <row r="2160" spans="9:10" x14ac:dyDescent="0.45">
      <c r="I2160" s="42"/>
      <c r="J2160" s="42"/>
    </row>
    <row r="2161" spans="9:10" x14ac:dyDescent="0.45">
      <c r="I2161" s="42"/>
      <c r="J2161" s="42"/>
    </row>
    <row r="2162" spans="9:10" x14ac:dyDescent="0.45">
      <c r="I2162" s="42"/>
      <c r="J2162" s="42"/>
    </row>
    <row r="2163" spans="9:10" x14ac:dyDescent="0.45">
      <c r="I2163" s="42"/>
      <c r="J2163" s="42"/>
    </row>
    <row r="2164" spans="9:10" x14ac:dyDescent="0.45">
      <c r="I2164" s="42"/>
      <c r="J2164" s="42"/>
    </row>
    <row r="2165" spans="9:10" x14ac:dyDescent="0.45">
      <c r="I2165" s="42"/>
      <c r="J2165" s="42"/>
    </row>
    <row r="2166" spans="9:10" x14ac:dyDescent="0.45">
      <c r="I2166" s="42"/>
      <c r="J2166" s="42"/>
    </row>
    <row r="2167" spans="9:10" x14ac:dyDescent="0.45">
      <c r="I2167" s="42"/>
      <c r="J2167" s="42"/>
    </row>
    <row r="2168" spans="9:10" x14ac:dyDescent="0.45">
      <c r="I2168" s="42"/>
      <c r="J2168" s="42"/>
    </row>
    <row r="2169" spans="9:10" x14ac:dyDescent="0.45">
      <c r="I2169" s="42"/>
      <c r="J2169" s="42"/>
    </row>
    <row r="2170" spans="9:10" x14ac:dyDescent="0.45">
      <c r="I2170" s="42"/>
      <c r="J2170" s="42"/>
    </row>
    <row r="2171" spans="9:10" x14ac:dyDescent="0.45">
      <c r="I2171" s="42"/>
      <c r="J2171" s="42"/>
    </row>
    <row r="2172" spans="9:10" x14ac:dyDescent="0.45">
      <c r="I2172" s="42"/>
      <c r="J2172" s="42"/>
    </row>
    <row r="2173" spans="9:10" x14ac:dyDescent="0.45">
      <c r="I2173" s="42"/>
      <c r="J2173" s="42"/>
    </row>
    <row r="2174" spans="9:10" x14ac:dyDescent="0.45">
      <c r="I2174" s="42"/>
      <c r="J2174" s="42"/>
    </row>
    <row r="2175" spans="9:10" x14ac:dyDescent="0.45">
      <c r="I2175" s="42"/>
      <c r="J2175" s="42"/>
    </row>
    <row r="2176" spans="9:10" x14ac:dyDescent="0.45">
      <c r="I2176" s="42"/>
      <c r="J2176" s="42"/>
    </row>
    <row r="2177" spans="9:10" x14ac:dyDescent="0.45">
      <c r="I2177" s="42"/>
      <c r="J2177" s="42"/>
    </row>
    <row r="2178" spans="9:10" x14ac:dyDescent="0.45">
      <c r="I2178" s="42"/>
      <c r="J2178" s="42"/>
    </row>
    <row r="2179" spans="9:10" x14ac:dyDescent="0.45">
      <c r="I2179" s="42"/>
      <c r="J2179" s="42"/>
    </row>
    <row r="2180" spans="9:10" x14ac:dyDescent="0.45">
      <c r="I2180" s="42"/>
      <c r="J2180" s="42"/>
    </row>
    <row r="2181" spans="9:10" x14ac:dyDescent="0.45">
      <c r="I2181" s="42"/>
      <c r="J2181" s="42"/>
    </row>
    <row r="2182" spans="9:10" x14ac:dyDescent="0.45">
      <c r="I2182" s="42"/>
      <c r="J2182" s="42"/>
    </row>
    <row r="2183" spans="9:10" x14ac:dyDescent="0.45">
      <c r="I2183" s="42"/>
      <c r="J2183" s="42"/>
    </row>
    <row r="2184" spans="9:10" x14ac:dyDescent="0.45">
      <c r="I2184" s="42"/>
      <c r="J2184" s="42"/>
    </row>
    <row r="2185" spans="9:10" x14ac:dyDescent="0.45">
      <c r="I2185" s="42"/>
      <c r="J2185" s="42"/>
    </row>
    <row r="2186" spans="9:10" x14ac:dyDescent="0.45">
      <c r="I2186" s="42"/>
      <c r="J2186" s="42"/>
    </row>
    <row r="2187" spans="9:10" x14ac:dyDescent="0.45">
      <c r="I2187" s="42"/>
      <c r="J2187" s="42"/>
    </row>
    <row r="2188" spans="9:10" x14ac:dyDescent="0.45">
      <c r="I2188" s="42"/>
      <c r="J2188" s="42"/>
    </row>
    <row r="2189" spans="9:10" x14ac:dyDescent="0.45">
      <c r="I2189" s="42"/>
      <c r="J2189" s="42"/>
    </row>
    <row r="2190" spans="9:10" x14ac:dyDescent="0.45">
      <c r="I2190" s="42"/>
      <c r="J2190" s="42"/>
    </row>
    <row r="2191" spans="9:10" x14ac:dyDescent="0.45">
      <c r="I2191" s="42"/>
      <c r="J2191" s="42"/>
    </row>
    <row r="2192" spans="9:10" x14ac:dyDescent="0.45">
      <c r="I2192" s="42"/>
      <c r="J2192" s="42"/>
    </row>
    <row r="2193" spans="9:10" x14ac:dyDescent="0.45">
      <c r="I2193" s="42"/>
      <c r="J2193" s="42"/>
    </row>
    <row r="2194" spans="9:10" x14ac:dyDescent="0.45">
      <c r="I2194" s="42"/>
      <c r="J2194" s="42"/>
    </row>
    <row r="2195" spans="9:10" x14ac:dyDescent="0.45">
      <c r="I2195" s="42"/>
      <c r="J2195" s="42"/>
    </row>
    <row r="2196" spans="9:10" x14ac:dyDescent="0.45">
      <c r="I2196" s="42"/>
      <c r="J2196" s="42"/>
    </row>
    <row r="2197" spans="9:10" x14ac:dyDescent="0.45">
      <c r="I2197" s="42"/>
      <c r="J2197" s="42"/>
    </row>
    <row r="2198" spans="9:10" x14ac:dyDescent="0.45">
      <c r="I2198" s="42"/>
      <c r="J2198" s="42"/>
    </row>
    <row r="2199" spans="9:10" x14ac:dyDescent="0.45">
      <c r="I2199" s="42"/>
      <c r="J2199" s="42"/>
    </row>
    <row r="2200" spans="9:10" x14ac:dyDescent="0.45">
      <c r="I2200" s="42"/>
      <c r="J2200" s="42"/>
    </row>
    <row r="2201" spans="9:10" x14ac:dyDescent="0.45">
      <c r="I2201" s="42"/>
      <c r="J2201" s="42"/>
    </row>
    <row r="2202" spans="9:10" x14ac:dyDescent="0.45">
      <c r="I2202" s="42"/>
      <c r="J2202" s="42"/>
    </row>
    <row r="2203" spans="9:10" x14ac:dyDescent="0.45">
      <c r="I2203" s="42"/>
      <c r="J2203" s="42"/>
    </row>
    <row r="2204" spans="9:10" x14ac:dyDescent="0.45">
      <c r="I2204" s="42"/>
      <c r="J2204" s="42"/>
    </row>
    <row r="2205" spans="9:10" x14ac:dyDescent="0.45">
      <c r="I2205" s="42"/>
      <c r="J2205" s="42"/>
    </row>
    <row r="2206" spans="9:10" x14ac:dyDescent="0.45">
      <c r="I2206" s="42"/>
      <c r="J2206" s="42"/>
    </row>
    <row r="2207" spans="9:10" x14ac:dyDescent="0.45">
      <c r="I2207" s="42"/>
      <c r="J2207" s="42"/>
    </row>
    <row r="2208" spans="9:10" x14ac:dyDescent="0.45">
      <c r="I2208" s="42"/>
      <c r="J2208" s="42"/>
    </row>
    <row r="2209" spans="9:10" x14ac:dyDescent="0.45">
      <c r="I2209" s="42"/>
      <c r="J2209" s="42"/>
    </row>
    <row r="2210" spans="9:10" x14ac:dyDescent="0.45">
      <c r="I2210" s="42"/>
      <c r="J2210" s="42"/>
    </row>
    <row r="2211" spans="9:10" x14ac:dyDescent="0.45">
      <c r="I2211" s="42"/>
      <c r="J2211" s="42"/>
    </row>
    <row r="2212" spans="9:10" x14ac:dyDescent="0.45">
      <c r="I2212" s="42"/>
      <c r="J2212" s="42"/>
    </row>
    <row r="2213" spans="9:10" x14ac:dyDescent="0.45">
      <c r="I2213" s="42"/>
      <c r="J2213" s="42"/>
    </row>
    <row r="2214" spans="9:10" x14ac:dyDescent="0.45">
      <c r="I2214" s="42"/>
      <c r="J2214" s="42"/>
    </row>
    <row r="2215" spans="9:10" x14ac:dyDescent="0.45">
      <c r="I2215" s="42"/>
      <c r="J2215" s="42"/>
    </row>
    <row r="2216" spans="9:10" x14ac:dyDescent="0.45">
      <c r="I2216" s="42"/>
      <c r="J2216" s="42"/>
    </row>
    <row r="2217" spans="9:10" x14ac:dyDescent="0.45">
      <c r="I2217" s="42"/>
      <c r="J2217" s="42"/>
    </row>
    <row r="2218" spans="9:10" x14ac:dyDescent="0.45">
      <c r="I2218" s="42"/>
      <c r="J2218" s="42"/>
    </row>
    <row r="2219" spans="9:10" x14ac:dyDescent="0.45">
      <c r="I2219" s="42"/>
      <c r="J2219" s="42"/>
    </row>
    <row r="2220" spans="9:10" x14ac:dyDescent="0.45">
      <c r="I2220" s="42"/>
      <c r="J2220" s="42"/>
    </row>
    <row r="2221" spans="9:10" x14ac:dyDescent="0.45">
      <c r="I2221" s="42"/>
      <c r="J2221" s="42"/>
    </row>
    <row r="2222" spans="9:10" x14ac:dyDescent="0.45">
      <c r="I2222" s="42"/>
      <c r="J2222" s="42"/>
    </row>
    <row r="2223" spans="9:10" x14ac:dyDescent="0.45">
      <c r="I2223" s="42"/>
      <c r="J2223" s="42"/>
    </row>
    <row r="2224" spans="9:10" x14ac:dyDescent="0.45">
      <c r="I2224" s="42"/>
      <c r="J2224" s="42"/>
    </row>
    <row r="2225" spans="9:10" x14ac:dyDescent="0.45">
      <c r="I2225" s="42"/>
      <c r="J2225" s="42"/>
    </row>
    <row r="2226" spans="9:10" x14ac:dyDescent="0.45">
      <c r="I2226" s="42"/>
      <c r="J2226" s="42"/>
    </row>
    <row r="2227" spans="9:10" x14ac:dyDescent="0.45">
      <c r="I2227" s="42"/>
      <c r="J2227" s="42"/>
    </row>
    <row r="2228" spans="9:10" x14ac:dyDescent="0.45">
      <c r="I2228" s="42"/>
      <c r="J2228" s="42"/>
    </row>
    <row r="2229" spans="9:10" x14ac:dyDescent="0.45">
      <c r="I2229" s="42"/>
      <c r="J2229" s="42"/>
    </row>
    <row r="2230" spans="9:10" x14ac:dyDescent="0.45">
      <c r="I2230" s="42"/>
      <c r="J2230" s="42"/>
    </row>
    <row r="2231" spans="9:10" x14ac:dyDescent="0.45">
      <c r="I2231" s="42"/>
      <c r="J2231" s="42"/>
    </row>
    <row r="2232" spans="9:10" x14ac:dyDescent="0.45">
      <c r="I2232" s="42"/>
      <c r="J2232" s="42"/>
    </row>
    <row r="2233" spans="9:10" x14ac:dyDescent="0.45">
      <c r="I2233" s="42"/>
      <c r="J2233" s="42"/>
    </row>
    <row r="2234" spans="9:10" x14ac:dyDescent="0.45">
      <c r="I2234" s="42"/>
      <c r="J2234" s="42"/>
    </row>
    <row r="2235" spans="9:10" x14ac:dyDescent="0.45">
      <c r="I2235" s="42"/>
      <c r="J2235" s="42"/>
    </row>
    <row r="2236" spans="9:10" x14ac:dyDescent="0.45">
      <c r="I2236" s="42"/>
      <c r="J2236" s="42"/>
    </row>
    <row r="2237" spans="9:10" x14ac:dyDescent="0.45">
      <c r="I2237" s="42"/>
      <c r="J2237" s="42"/>
    </row>
    <row r="2238" spans="9:10" x14ac:dyDescent="0.45">
      <c r="I2238" s="42"/>
      <c r="J2238" s="42"/>
    </row>
    <row r="2239" spans="9:10" x14ac:dyDescent="0.45">
      <c r="I2239" s="42"/>
      <c r="J2239" s="42"/>
    </row>
    <row r="2240" spans="9:10" x14ac:dyDescent="0.45">
      <c r="I2240" s="42"/>
      <c r="J2240" s="42"/>
    </row>
    <row r="2241" spans="9:10" x14ac:dyDescent="0.45">
      <c r="I2241" s="42"/>
      <c r="J2241" s="42"/>
    </row>
    <row r="2242" spans="9:10" x14ac:dyDescent="0.45">
      <c r="I2242" s="42"/>
      <c r="J2242" s="42"/>
    </row>
    <row r="2243" spans="9:10" x14ac:dyDescent="0.45">
      <c r="I2243" s="42"/>
      <c r="J2243" s="42"/>
    </row>
    <row r="2244" spans="9:10" x14ac:dyDescent="0.45">
      <c r="I2244" s="42"/>
      <c r="J2244" s="42"/>
    </row>
    <row r="2245" spans="9:10" x14ac:dyDescent="0.45">
      <c r="I2245" s="42"/>
      <c r="J2245" s="42"/>
    </row>
    <row r="2246" spans="9:10" x14ac:dyDescent="0.45">
      <c r="I2246" s="42"/>
      <c r="J2246" s="42"/>
    </row>
    <row r="2247" spans="9:10" x14ac:dyDescent="0.45">
      <c r="I2247" s="42"/>
      <c r="J2247" s="42"/>
    </row>
    <row r="2248" spans="9:10" x14ac:dyDescent="0.45">
      <c r="I2248" s="42"/>
      <c r="J2248" s="42"/>
    </row>
    <row r="2249" spans="9:10" x14ac:dyDescent="0.45">
      <c r="I2249" s="42"/>
      <c r="J2249" s="42"/>
    </row>
    <row r="2250" spans="9:10" x14ac:dyDescent="0.45">
      <c r="I2250" s="42"/>
      <c r="J2250" s="42"/>
    </row>
    <row r="2251" spans="9:10" x14ac:dyDescent="0.45">
      <c r="I2251" s="42"/>
      <c r="J2251" s="42"/>
    </row>
    <row r="2252" spans="9:10" x14ac:dyDescent="0.45">
      <c r="I2252" s="42"/>
      <c r="J2252" s="42"/>
    </row>
    <row r="2253" spans="9:10" x14ac:dyDescent="0.45">
      <c r="I2253" s="42"/>
      <c r="J2253" s="42"/>
    </row>
    <row r="2254" spans="9:10" x14ac:dyDescent="0.45">
      <c r="I2254" s="42"/>
      <c r="J2254" s="42"/>
    </row>
    <row r="2255" spans="9:10" x14ac:dyDescent="0.45">
      <c r="I2255" s="42"/>
      <c r="J2255" s="42"/>
    </row>
    <row r="2256" spans="9:10" x14ac:dyDescent="0.45">
      <c r="I2256" s="42"/>
      <c r="J2256" s="42"/>
    </row>
    <row r="2257" spans="9:10" x14ac:dyDescent="0.45">
      <c r="I2257" s="42"/>
      <c r="J2257" s="42"/>
    </row>
    <row r="2258" spans="9:10" x14ac:dyDescent="0.45">
      <c r="I2258" s="42"/>
      <c r="J2258" s="42"/>
    </row>
    <row r="2259" spans="9:10" x14ac:dyDescent="0.45">
      <c r="I2259" s="42"/>
      <c r="J2259" s="42"/>
    </row>
    <row r="2260" spans="9:10" x14ac:dyDescent="0.45">
      <c r="I2260" s="42"/>
      <c r="J2260" s="42"/>
    </row>
    <row r="2261" spans="9:10" x14ac:dyDescent="0.45">
      <c r="I2261" s="42"/>
      <c r="J2261" s="42"/>
    </row>
    <row r="2262" spans="9:10" x14ac:dyDescent="0.45">
      <c r="I2262" s="42"/>
      <c r="J2262" s="42"/>
    </row>
    <row r="2263" spans="9:10" x14ac:dyDescent="0.45">
      <c r="I2263" s="42"/>
      <c r="J2263" s="42"/>
    </row>
    <row r="2264" spans="9:10" x14ac:dyDescent="0.45">
      <c r="I2264" s="42"/>
      <c r="J2264" s="42"/>
    </row>
    <row r="2265" spans="9:10" x14ac:dyDescent="0.45">
      <c r="I2265" s="42"/>
      <c r="J2265" s="42"/>
    </row>
    <row r="2266" spans="9:10" x14ac:dyDescent="0.45">
      <c r="I2266" s="42"/>
      <c r="J2266" s="42"/>
    </row>
    <row r="2267" spans="9:10" x14ac:dyDescent="0.45">
      <c r="I2267" s="42"/>
      <c r="J2267" s="42"/>
    </row>
    <row r="2268" spans="9:10" x14ac:dyDescent="0.45">
      <c r="I2268" s="42"/>
      <c r="J2268" s="42"/>
    </row>
    <row r="2269" spans="9:10" x14ac:dyDescent="0.45">
      <c r="I2269" s="42"/>
      <c r="J2269" s="42"/>
    </row>
    <row r="2270" spans="9:10" x14ac:dyDescent="0.45">
      <c r="I2270" s="42"/>
      <c r="J2270" s="42"/>
    </row>
    <row r="2271" spans="9:10" x14ac:dyDescent="0.45">
      <c r="I2271" s="42"/>
      <c r="J2271" s="42"/>
    </row>
    <row r="2272" spans="9:10" x14ac:dyDescent="0.45">
      <c r="I2272" s="42"/>
      <c r="J2272" s="42"/>
    </row>
    <row r="2273" spans="9:10" x14ac:dyDescent="0.45">
      <c r="I2273" s="42"/>
      <c r="J2273" s="42"/>
    </row>
    <row r="2274" spans="9:10" x14ac:dyDescent="0.45">
      <c r="I2274" s="42"/>
      <c r="J2274" s="42"/>
    </row>
    <row r="2275" spans="9:10" x14ac:dyDescent="0.45">
      <c r="I2275" s="42"/>
      <c r="J2275" s="42"/>
    </row>
    <row r="2276" spans="9:10" x14ac:dyDescent="0.45">
      <c r="I2276" s="42"/>
      <c r="J2276" s="42"/>
    </row>
    <row r="2277" spans="9:10" x14ac:dyDescent="0.45">
      <c r="I2277" s="42"/>
      <c r="J2277" s="42"/>
    </row>
    <row r="2278" spans="9:10" x14ac:dyDescent="0.45">
      <c r="I2278" s="42"/>
      <c r="J2278" s="42"/>
    </row>
    <row r="2279" spans="9:10" x14ac:dyDescent="0.45">
      <c r="I2279" s="42"/>
      <c r="J2279" s="42"/>
    </row>
    <row r="2280" spans="9:10" x14ac:dyDescent="0.45">
      <c r="I2280" s="42"/>
      <c r="J2280" s="42"/>
    </row>
    <row r="2281" spans="9:10" x14ac:dyDescent="0.45">
      <c r="I2281" s="42"/>
      <c r="J2281" s="42"/>
    </row>
    <row r="2282" spans="9:10" x14ac:dyDescent="0.45">
      <c r="I2282" s="42"/>
      <c r="J2282" s="42"/>
    </row>
    <row r="2283" spans="9:10" x14ac:dyDescent="0.45">
      <c r="I2283" s="42"/>
      <c r="J2283" s="42"/>
    </row>
    <row r="2284" spans="9:10" x14ac:dyDescent="0.45">
      <c r="I2284" s="42"/>
      <c r="J2284" s="42"/>
    </row>
    <row r="2285" spans="9:10" x14ac:dyDescent="0.45">
      <c r="I2285" s="42"/>
      <c r="J2285" s="42"/>
    </row>
    <row r="2286" spans="9:10" x14ac:dyDescent="0.45">
      <c r="I2286" s="42"/>
      <c r="J2286" s="42"/>
    </row>
    <row r="2287" spans="9:10" x14ac:dyDescent="0.45">
      <c r="I2287" s="42"/>
      <c r="J2287" s="42"/>
    </row>
    <row r="2288" spans="9:10" x14ac:dyDescent="0.45">
      <c r="I2288" s="42"/>
      <c r="J2288" s="42"/>
    </row>
    <row r="2289" spans="9:10" x14ac:dyDescent="0.45">
      <c r="I2289" s="42"/>
      <c r="J2289" s="42"/>
    </row>
    <row r="2290" spans="9:10" x14ac:dyDescent="0.45">
      <c r="I2290" s="42"/>
      <c r="J2290" s="42"/>
    </row>
    <row r="2291" spans="9:10" x14ac:dyDescent="0.45">
      <c r="I2291" s="42"/>
      <c r="J2291" s="42"/>
    </row>
    <row r="2292" spans="9:10" x14ac:dyDescent="0.45">
      <c r="I2292" s="42"/>
      <c r="J2292" s="42"/>
    </row>
    <row r="2293" spans="9:10" x14ac:dyDescent="0.45">
      <c r="I2293" s="42"/>
      <c r="J2293" s="42"/>
    </row>
    <row r="2294" spans="9:10" x14ac:dyDescent="0.45">
      <c r="I2294" s="42"/>
      <c r="J2294" s="42"/>
    </row>
    <row r="2295" spans="9:10" x14ac:dyDescent="0.45">
      <c r="I2295" s="42"/>
      <c r="J2295" s="42"/>
    </row>
    <row r="2296" spans="9:10" x14ac:dyDescent="0.45">
      <c r="I2296" s="42"/>
      <c r="J2296" s="42"/>
    </row>
    <row r="2297" spans="9:10" x14ac:dyDescent="0.45">
      <c r="I2297" s="42"/>
      <c r="J2297" s="42"/>
    </row>
    <row r="2298" spans="9:10" x14ac:dyDescent="0.45">
      <c r="I2298" s="42"/>
      <c r="J2298" s="42"/>
    </row>
    <row r="2299" spans="9:10" x14ac:dyDescent="0.45">
      <c r="I2299" s="42"/>
      <c r="J2299" s="42"/>
    </row>
    <row r="2300" spans="9:10" x14ac:dyDescent="0.45">
      <c r="I2300" s="42"/>
      <c r="J2300" s="42"/>
    </row>
    <row r="2301" spans="9:10" x14ac:dyDescent="0.45">
      <c r="I2301" s="42"/>
      <c r="J2301" s="42"/>
    </row>
    <row r="2302" spans="9:10" x14ac:dyDescent="0.45">
      <c r="I2302" s="42"/>
      <c r="J2302" s="42"/>
    </row>
    <row r="2303" spans="9:10" x14ac:dyDescent="0.45">
      <c r="I2303" s="42"/>
      <c r="J2303" s="42"/>
    </row>
    <row r="2304" spans="9:10" x14ac:dyDescent="0.45">
      <c r="I2304" s="42"/>
      <c r="J2304" s="42"/>
    </row>
    <row r="2305" spans="9:10" x14ac:dyDescent="0.45">
      <c r="I2305" s="42"/>
      <c r="J2305" s="42"/>
    </row>
    <row r="2306" spans="9:10" x14ac:dyDescent="0.45">
      <c r="I2306" s="42"/>
      <c r="J2306" s="42"/>
    </row>
    <row r="2307" spans="9:10" x14ac:dyDescent="0.45">
      <c r="I2307" s="42"/>
      <c r="J2307" s="42"/>
    </row>
    <row r="2308" spans="9:10" x14ac:dyDescent="0.45">
      <c r="I2308" s="42"/>
      <c r="J2308" s="42"/>
    </row>
    <row r="2309" spans="9:10" x14ac:dyDescent="0.45">
      <c r="I2309" s="42"/>
      <c r="J2309" s="42"/>
    </row>
    <row r="2310" spans="9:10" x14ac:dyDescent="0.45">
      <c r="I2310" s="42"/>
      <c r="J2310" s="42"/>
    </row>
    <row r="2311" spans="9:10" x14ac:dyDescent="0.45">
      <c r="I2311" s="42"/>
      <c r="J2311" s="42"/>
    </row>
    <row r="2312" spans="9:10" x14ac:dyDescent="0.45">
      <c r="I2312" s="42"/>
      <c r="J2312" s="42"/>
    </row>
    <row r="2313" spans="9:10" x14ac:dyDescent="0.45">
      <c r="I2313" s="42"/>
      <c r="J2313" s="42"/>
    </row>
    <row r="2314" spans="9:10" x14ac:dyDescent="0.45">
      <c r="I2314" s="42"/>
      <c r="J2314" s="42"/>
    </row>
    <row r="2315" spans="9:10" x14ac:dyDescent="0.45">
      <c r="I2315" s="42"/>
      <c r="J2315" s="42"/>
    </row>
    <row r="2316" spans="9:10" x14ac:dyDescent="0.45">
      <c r="I2316" s="42"/>
      <c r="J2316" s="42"/>
    </row>
    <row r="2317" spans="9:10" x14ac:dyDescent="0.45">
      <c r="I2317" s="42"/>
      <c r="J2317" s="42"/>
    </row>
    <row r="2318" spans="9:10" x14ac:dyDescent="0.45">
      <c r="I2318" s="42"/>
      <c r="J2318" s="42"/>
    </row>
    <row r="2319" spans="9:10" x14ac:dyDescent="0.45">
      <c r="I2319" s="42"/>
      <c r="J2319" s="42"/>
    </row>
    <row r="2320" spans="9:10" x14ac:dyDescent="0.45">
      <c r="I2320" s="42"/>
      <c r="J2320" s="42"/>
    </row>
    <row r="2321" spans="9:10" x14ac:dyDescent="0.45">
      <c r="I2321" s="42"/>
      <c r="J2321" s="42"/>
    </row>
    <row r="2322" spans="9:10" x14ac:dyDescent="0.45">
      <c r="I2322" s="42"/>
      <c r="J2322" s="42"/>
    </row>
    <row r="2323" spans="9:10" x14ac:dyDescent="0.45">
      <c r="I2323" s="42"/>
      <c r="J2323" s="42"/>
    </row>
    <row r="2324" spans="9:10" x14ac:dyDescent="0.45">
      <c r="I2324" s="42"/>
      <c r="J2324" s="42"/>
    </row>
    <row r="2325" spans="9:10" x14ac:dyDescent="0.45">
      <c r="I2325" s="42"/>
      <c r="J2325" s="42"/>
    </row>
    <row r="2326" spans="9:10" x14ac:dyDescent="0.45">
      <c r="I2326" s="42"/>
      <c r="J2326" s="42"/>
    </row>
    <row r="2327" spans="9:10" x14ac:dyDescent="0.45">
      <c r="I2327" s="42"/>
      <c r="J2327" s="42"/>
    </row>
    <row r="2328" spans="9:10" x14ac:dyDescent="0.45">
      <c r="I2328" s="42"/>
      <c r="J2328" s="42"/>
    </row>
    <row r="2329" spans="9:10" x14ac:dyDescent="0.45">
      <c r="I2329" s="42"/>
      <c r="J2329" s="42"/>
    </row>
    <row r="2330" spans="9:10" x14ac:dyDescent="0.45">
      <c r="I2330" s="42"/>
      <c r="J2330" s="42"/>
    </row>
    <row r="2331" spans="9:10" x14ac:dyDescent="0.45">
      <c r="I2331" s="42"/>
      <c r="J2331" s="42"/>
    </row>
    <row r="2332" spans="9:10" x14ac:dyDescent="0.45">
      <c r="I2332" s="42"/>
      <c r="J2332" s="42"/>
    </row>
    <row r="2333" spans="9:10" x14ac:dyDescent="0.45">
      <c r="I2333" s="42"/>
      <c r="J2333" s="42"/>
    </row>
    <row r="2334" spans="9:10" x14ac:dyDescent="0.45">
      <c r="I2334" s="42"/>
      <c r="J2334" s="42"/>
    </row>
    <row r="2335" spans="9:10" x14ac:dyDescent="0.45">
      <c r="I2335" s="42"/>
      <c r="J2335" s="42"/>
    </row>
    <row r="2336" spans="9:10" x14ac:dyDescent="0.45">
      <c r="I2336" s="42"/>
      <c r="J2336" s="42"/>
    </row>
    <row r="2337" spans="9:10" x14ac:dyDescent="0.45">
      <c r="I2337" s="42"/>
      <c r="J2337" s="42"/>
    </row>
    <row r="2338" spans="9:10" x14ac:dyDescent="0.45">
      <c r="I2338" s="42"/>
      <c r="J2338" s="42"/>
    </row>
    <row r="2339" spans="9:10" x14ac:dyDescent="0.45">
      <c r="I2339" s="42"/>
      <c r="J2339" s="42"/>
    </row>
    <row r="2340" spans="9:10" x14ac:dyDescent="0.45">
      <c r="I2340" s="42"/>
      <c r="J2340" s="42"/>
    </row>
    <row r="2341" spans="9:10" x14ac:dyDescent="0.45">
      <c r="I2341" s="42"/>
      <c r="J2341" s="42"/>
    </row>
    <row r="2342" spans="9:10" x14ac:dyDescent="0.45">
      <c r="I2342" s="42"/>
      <c r="J2342" s="42"/>
    </row>
    <row r="2343" spans="9:10" x14ac:dyDescent="0.45">
      <c r="I2343" s="42"/>
      <c r="J2343" s="42"/>
    </row>
    <row r="2344" spans="9:10" x14ac:dyDescent="0.45">
      <c r="I2344" s="42"/>
      <c r="J2344" s="42"/>
    </row>
    <row r="2345" spans="9:10" x14ac:dyDescent="0.45">
      <c r="I2345" s="42"/>
      <c r="J2345" s="42"/>
    </row>
    <row r="2346" spans="9:10" x14ac:dyDescent="0.45">
      <c r="I2346" s="42"/>
      <c r="J2346" s="42"/>
    </row>
    <row r="2347" spans="9:10" x14ac:dyDescent="0.45">
      <c r="I2347" s="42"/>
      <c r="J2347" s="42"/>
    </row>
    <row r="2348" spans="9:10" x14ac:dyDescent="0.45">
      <c r="I2348" s="42"/>
      <c r="J2348" s="42"/>
    </row>
    <row r="2349" spans="9:10" x14ac:dyDescent="0.45">
      <c r="I2349" s="42"/>
      <c r="J2349" s="42"/>
    </row>
    <row r="2350" spans="9:10" x14ac:dyDescent="0.45">
      <c r="I2350" s="42"/>
      <c r="J2350" s="42"/>
    </row>
    <row r="2351" spans="9:10" x14ac:dyDescent="0.45">
      <c r="I2351" s="42"/>
      <c r="J2351" s="42"/>
    </row>
    <row r="2352" spans="9:10" x14ac:dyDescent="0.45">
      <c r="I2352" s="42"/>
      <c r="J2352" s="42"/>
    </row>
    <row r="2353" spans="9:10" x14ac:dyDescent="0.45">
      <c r="I2353" s="42"/>
      <c r="J2353" s="42"/>
    </row>
    <row r="2354" spans="9:10" x14ac:dyDescent="0.45">
      <c r="I2354" s="42"/>
      <c r="J2354" s="42"/>
    </row>
    <row r="2355" spans="9:10" x14ac:dyDescent="0.45">
      <c r="I2355" s="42"/>
      <c r="J2355" s="42"/>
    </row>
    <row r="2356" spans="9:10" x14ac:dyDescent="0.45">
      <c r="I2356" s="42"/>
      <c r="J2356" s="42"/>
    </row>
    <row r="2357" spans="9:10" x14ac:dyDescent="0.45">
      <c r="I2357" s="42"/>
      <c r="J2357" s="42"/>
    </row>
    <row r="2358" spans="9:10" x14ac:dyDescent="0.45">
      <c r="I2358" s="42"/>
      <c r="J2358" s="42"/>
    </row>
    <row r="2359" spans="9:10" x14ac:dyDescent="0.45">
      <c r="I2359" s="42"/>
      <c r="J2359" s="42"/>
    </row>
    <row r="2360" spans="9:10" x14ac:dyDescent="0.45">
      <c r="I2360" s="42"/>
      <c r="J2360" s="42"/>
    </row>
    <row r="2361" spans="9:10" x14ac:dyDescent="0.45">
      <c r="I2361" s="42"/>
      <c r="J2361" s="42"/>
    </row>
    <row r="2362" spans="9:10" x14ac:dyDescent="0.45">
      <c r="I2362" s="42"/>
      <c r="J2362" s="42"/>
    </row>
    <row r="2363" spans="9:10" x14ac:dyDescent="0.45">
      <c r="I2363" s="42"/>
      <c r="J2363" s="42"/>
    </row>
    <row r="2364" spans="9:10" x14ac:dyDescent="0.45">
      <c r="I2364" s="42"/>
      <c r="J2364" s="42"/>
    </row>
    <row r="2365" spans="9:10" x14ac:dyDescent="0.45">
      <c r="I2365" s="42"/>
      <c r="J2365" s="42"/>
    </row>
    <row r="2366" spans="9:10" x14ac:dyDescent="0.45">
      <c r="I2366" s="42"/>
      <c r="J2366" s="42"/>
    </row>
    <row r="2367" spans="9:10" x14ac:dyDescent="0.45">
      <c r="I2367" s="42"/>
      <c r="J2367" s="42"/>
    </row>
    <row r="2368" spans="9:10" x14ac:dyDescent="0.45">
      <c r="I2368" s="42"/>
      <c r="J2368" s="42"/>
    </row>
    <row r="2369" spans="9:10" x14ac:dyDescent="0.45">
      <c r="I2369" s="42"/>
      <c r="J2369" s="42"/>
    </row>
    <row r="2370" spans="9:10" x14ac:dyDescent="0.45">
      <c r="I2370" s="42"/>
      <c r="J2370" s="42"/>
    </row>
    <row r="2371" spans="9:10" x14ac:dyDescent="0.45">
      <c r="I2371" s="42"/>
      <c r="J2371" s="42"/>
    </row>
    <row r="2372" spans="9:10" x14ac:dyDescent="0.45">
      <c r="I2372" s="42"/>
      <c r="J2372" s="42"/>
    </row>
    <row r="2373" spans="9:10" x14ac:dyDescent="0.45">
      <c r="I2373" s="42"/>
      <c r="J2373" s="42"/>
    </row>
    <row r="2374" spans="9:10" x14ac:dyDescent="0.45">
      <c r="I2374" s="42"/>
      <c r="J2374" s="42"/>
    </row>
    <row r="2375" spans="9:10" x14ac:dyDescent="0.45">
      <c r="I2375" s="42"/>
      <c r="J2375" s="42"/>
    </row>
    <row r="2376" spans="9:10" x14ac:dyDescent="0.45">
      <c r="I2376" s="42"/>
      <c r="J2376" s="42"/>
    </row>
    <row r="2377" spans="9:10" x14ac:dyDescent="0.45">
      <c r="I2377" s="42"/>
      <c r="J2377" s="42"/>
    </row>
    <row r="2378" spans="9:10" x14ac:dyDescent="0.45">
      <c r="I2378" s="42"/>
      <c r="J2378" s="42"/>
    </row>
    <row r="2379" spans="9:10" x14ac:dyDescent="0.45">
      <c r="I2379" s="42"/>
      <c r="J2379" s="42"/>
    </row>
    <row r="2380" spans="9:10" x14ac:dyDescent="0.45">
      <c r="I2380" s="42"/>
      <c r="J2380" s="42"/>
    </row>
    <row r="2381" spans="9:10" x14ac:dyDescent="0.45">
      <c r="I2381" s="42"/>
      <c r="J2381" s="42"/>
    </row>
    <row r="2382" spans="9:10" x14ac:dyDescent="0.45">
      <c r="I2382" s="42"/>
      <c r="J2382" s="42"/>
    </row>
    <row r="2383" spans="9:10" x14ac:dyDescent="0.45">
      <c r="I2383" s="42"/>
      <c r="J2383" s="42"/>
    </row>
    <row r="2384" spans="9:10" x14ac:dyDescent="0.45">
      <c r="I2384" s="42"/>
      <c r="J2384" s="42"/>
    </row>
    <row r="2385" spans="9:10" x14ac:dyDescent="0.45">
      <c r="I2385" s="42"/>
      <c r="J2385" s="42"/>
    </row>
    <row r="2386" spans="9:10" x14ac:dyDescent="0.45">
      <c r="I2386" s="42"/>
      <c r="J2386" s="42"/>
    </row>
    <row r="2387" spans="9:10" x14ac:dyDescent="0.45">
      <c r="I2387" s="42"/>
      <c r="J2387" s="42"/>
    </row>
    <row r="2388" spans="9:10" x14ac:dyDescent="0.45">
      <c r="I2388" s="42"/>
      <c r="J2388" s="42"/>
    </row>
    <row r="2389" spans="9:10" x14ac:dyDescent="0.45">
      <c r="I2389" s="42"/>
      <c r="J2389" s="42"/>
    </row>
    <row r="2390" spans="9:10" x14ac:dyDescent="0.45">
      <c r="I2390" s="42"/>
      <c r="J2390" s="42"/>
    </row>
    <row r="2391" spans="9:10" x14ac:dyDescent="0.45">
      <c r="I2391" s="42"/>
      <c r="J2391" s="42"/>
    </row>
    <row r="2392" spans="9:10" x14ac:dyDescent="0.45">
      <c r="I2392" s="42"/>
      <c r="J2392" s="42"/>
    </row>
    <row r="2393" spans="9:10" x14ac:dyDescent="0.45">
      <c r="I2393" s="42"/>
      <c r="J2393" s="42"/>
    </row>
    <row r="2394" spans="9:10" x14ac:dyDescent="0.45">
      <c r="I2394" s="42"/>
      <c r="J2394" s="42"/>
    </row>
    <row r="2395" spans="9:10" x14ac:dyDescent="0.45">
      <c r="I2395" s="42"/>
      <c r="J2395" s="42"/>
    </row>
    <row r="2396" spans="9:10" x14ac:dyDescent="0.45">
      <c r="I2396" s="42"/>
      <c r="J2396" s="42"/>
    </row>
    <row r="2397" spans="9:10" x14ac:dyDescent="0.45">
      <c r="I2397" s="42"/>
      <c r="J2397" s="42"/>
    </row>
    <row r="2398" spans="9:10" x14ac:dyDescent="0.45">
      <c r="I2398" s="42"/>
      <c r="J2398" s="42"/>
    </row>
    <row r="2399" spans="9:10" x14ac:dyDescent="0.45">
      <c r="I2399" s="42"/>
      <c r="J2399" s="42"/>
    </row>
    <row r="2400" spans="9:10" x14ac:dyDescent="0.45">
      <c r="I2400" s="42"/>
      <c r="J2400" s="42"/>
    </row>
    <row r="2401" spans="9:10" x14ac:dyDescent="0.45">
      <c r="I2401" s="42"/>
      <c r="J2401" s="42"/>
    </row>
    <row r="2402" spans="9:10" x14ac:dyDescent="0.45">
      <c r="I2402" s="42"/>
      <c r="J2402" s="42"/>
    </row>
    <row r="2403" spans="9:10" x14ac:dyDescent="0.45">
      <c r="I2403" s="42"/>
      <c r="J2403" s="42"/>
    </row>
    <row r="2404" spans="9:10" x14ac:dyDescent="0.45">
      <c r="I2404" s="42"/>
      <c r="J2404" s="42"/>
    </row>
    <row r="2405" spans="9:10" x14ac:dyDescent="0.45">
      <c r="I2405" s="42"/>
      <c r="J2405" s="42"/>
    </row>
    <row r="2406" spans="9:10" x14ac:dyDescent="0.45">
      <c r="I2406" s="42"/>
      <c r="J2406" s="42"/>
    </row>
    <row r="2407" spans="9:10" x14ac:dyDescent="0.45">
      <c r="I2407" s="42"/>
      <c r="J2407" s="42"/>
    </row>
    <row r="2408" spans="9:10" x14ac:dyDescent="0.45">
      <c r="I2408" s="42"/>
      <c r="J2408" s="42"/>
    </row>
    <row r="2409" spans="9:10" x14ac:dyDescent="0.45">
      <c r="I2409" s="42"/>
      <c r="J2409" s="42"/>
    </row>
    <row r="2410" spans="9:10" x14ac:dyDescent="0.45">
      <c r="I2410" s="42"/>
      <c r="J2410" s="42"/>
    </row>
    <row r="2411" spans="9:10" x14ac:dyDescent="0.45">
      <c r="I2411" s="42"/>
      <c r="J2411" s="42"/>
    </row>
    <row r="2412" spans="9:10" x14ac:dyDescent="0.45">
      <c r="I2412" s="42"/>
      <c r="J2412" s="42"/>
    </row>
    <row r="2413" spans="9:10" x14ac:dyDescent="0.45">
      <c r="I2413" s="42"/>
      <c r="J2413" s="42"/>
    </row>
    <row r="2414" spans="9:10" x14ac:dyDescent="0.45">
      <c r="I2414" s="42"/>
      <c r="J2414" s="42"/>
    </row>
    <row r="2415" spans="9:10" x14ac:dyDescent="0.45">
      <c r="I2415" s="42"/>
      <c r="J2415" s="42"/>
    </row>
    <row r="2416" spans="9:10" x14ac:dyDescent="0.45">
      <c r="I2416" s="42"/>
      <c r="J2416" s="42"/>
    </row>
    <row r="2417" spans="9:10" x14ac:dyDescent="0.45">
      <c r="I2417" s="42"/>
      <c r="J2417" s="42"/>
    </row>
    <row r="2418" spans="9:10" x14ac:dyDescent="0.45">
      <c r="I2418" s="42"/>
      <c r="J2418" s="42"/>
    </row>
    <row r="2419" spans="9:10" x14ac:dyDescent="0.45">
      <c r="I2419" s="42"/>
      <c r="J2419" s="42"/>
    </row>
    <row r="2420" spans="9:10" x14ac:dyDescent="0.45">
      <c r="I2420" s="42"/>
      <c r="J2420" s="42"/>
    </row>
    <row r="2421" spans="9:10" x14ac:dyDescent="0.45">
      <c r="I2421" s="42"/>
      <c r="J2421" s="42"/>
    </row>
    <row r="2422" spans="9:10" x14ac:dyDescent="0.45">
      <c r="I2422" s="42"/>
      <c r="J2422" s="42"/>
    </row>
    <row r="2423" spans="9:10" x14ac:dyDescent="0.45">
      <c r="I2423" s="42"/>
      <c r="J2423" s="42"/>
    </row>
    <row r="2424" spans="9:10" x14ac:dyDescent="0.45">
      <c r="I2424" s="42"/>
      <c r="J2424" s="42"/>
    </row>
    <row r="2425" spans="9:10" x14ac:dyDescent="0.45">
      <c r="I2425" s="42"/>
      <c r="J2425" s="42"/>
    </row>
    <row r="2426" spans="9:10" x14ac:dyDescent="0.45">
      <c r="I2426" s="42"/>
      <c r="J2426" s="42"/>
    </row>
    <row r="2427" spans="9:10" x14ac:dyDescent="0.45">
      <c r="I2427" s="42"/>
      <c r="J2427" s="42"/>
    </row>
    <row r="2428" spans="9:10" x14ac:dyDescent="0.45">
      <c r="I2428" s="42"/>
      <c r="J2428" s="42"/>
    </row>
    <row r="2429" spans="9:10" x14ac:dyDescent="0.45">
      <c r="I2429" s="42"/>
      <c r="J2429" s="42"/>
    </row>
    <row r="2430" spans="9:10" x14ac:dyDescent="0.45">
      <c r="I2430" s="42"/>
      <c r="J2430" s="42"/>
    </row>
    <row r="2431" spans="9:10" x14ac:dyDescent="0.45">
      <c r="I2431" s="42"/>
      <c r="J2431" s="42"/>
    </row>
    <row r="2432" spans="9:10" x14ac:dyDescent="0.45">
      <c r="I2432" s="42"/>
      <c r="J2432" s="42"/>
    </row>
    <row r="2433" spans="9:10" x14ac:dyDescent="0.45">
      <c r="I2433" s="42"/>
      <c r="J2433" s="42"/>
    </row>
    <row r="2434" spans="9:10" x14ac:dyDescent="0.45">
      <c r="I2434" s="42"/>
      <c r="J2434" s="42"/>
    </row>
    <row r="2435" spans="9:10" x14ac:dyDescent="0.45">
      <c r="I2435" s="42"/>
      <c r="J2435" s="42"/>
    </row>
    <row r="2436" spans="9:10" x14ac:dyDescent="0.45">
      <c r="I2436" s="42"/>
      <c r="J2436" s="42"/>
    </row>
    <row r="2437" spans="9:10" x14ac:dyDescent="0.45">
      <c r="I2437" s="42"/>
      <c r="J2437" s="42"/>
    </row>
    <row r="2438" spans="9:10" x14ac:dyDescent="0.45">
      <c r="I2438" s="42"/>
      <c r="J2438" s="42"/>
    </row>
    <row r="2439" spans="9:10" x14ac:dyDescent="0.45">
      <c r="I2439" s="42"/>
      <c r="J2439" s="42"/>
    </row>
    <row r="2440" spans="9:10" x14ac:dyDescent="0.45">
      <c r="I2440" s="42"/>
      <c r="J2440" s="42"/>
    </row>
    <row r="2441" spans="9:10" x14ac:dyDescent="0.45">
      <c r="I2441" s="42"/>
      <c r="J2441" s="42"/>
    </row>
    <row r="2442" spans="9:10" x14ac:dyDescent="0.45">
      <c r="I2442" s="42"/>
      <c r="J2442" s="42"/>
    </row>
    <row r="2443" spans="9:10" x14ac:dyDescent="0.45">
      <c r="I2443" s="42"/>
      <c r="J2443" s="42"/>
    </row>
    <row r="2444" spans="9:10" x14ac:dyDescent="0.45">
      <c r="I2444" s="42"/>
      <c r="J2444" s="42"/>
    </row>
    <row r="2445" spans="9:10" x14ac:dyDescent="0.45">
      <c r="I2445" s="42"/>
      <c r="J2445" s="42"/>
    </row>
    <row r="2446" spans="9:10" x14ac:dyDescent="0.45">
      <c r="I2446" s="42"/>
      <c r="J2446" s="42"/>
    </row>
    <row r="2447" spans="9:10" x14ac:dyDescent="0.45">
      <c r="I2447" s="42"/>
      <c r="J2447" s="42"/>
    </row>
    <row r="2448" spans="9:10" x14ac:dyDescent="0.45">
      <c r="I2448" s="42"/>
      <c r="J2448" s="42"/>
    </row>
    <row r="2449" spans="9:10" x14ac:dyDescent="0.45">
      <c r="I2449" s="42"/>
      <c r="J2449" s="42"/>
    </row>
    <row r="2450" spans="9:10" x14ac:dyDescent="0.45">
      <c r="I2450" s="42"/>
      <c r="J2450" s="42"/>
    </row>
    <row r="2451" spans="9:10" x14ac:dyDescent="0.45">
      <c r="I2451" s="42"/>
      <c r="J2451" s="42"/>
    </row>
    <row r="2452" spans="9:10" x14ac:dyDescent="0.45">
      <c r="I2452" s="42"/>
      <c r="J2452" s="42"/>
    </row>
    <row r="2453" spans="9:10" x14ac:dyDescent="0.45">
      <c r="I2453" s="42"/>
      <c r="J2453" s="42"/>
    </row>
    <row r="2454" spans="9:10" x14ac:dyDescent="0.45">
      <c r="I2454" s="42"/>
      <c r="J2454" s="42"/>
    </row>
    <row r="2455" spans="9:10" x14ac:dyDescent="0.45">
      <c r="I2455" s="42"/>
      <c r="J2455" s="42"/>
    </row>
    <row r="2456" spans="9:10" x14ac:dyDescent="0.45">
      <c r="I2456" s="42"/>
      <c r="J2456" s="42"/>
    </row>
    <row r="2457" spans="9:10" x14ac:dyDescent="0.45">
      <c r="I2457" s="42"/>
      <c r="J2457" s="42"/>
    </row>
    <row r="2458" spans="9:10" x14ac:dyDescent="0.45">
      <c r="I2458" s="42"/>
      <c r="J2458" s="42"/>
    </row>
    <row r="2459" spans="9:10" x14ac:dyDescent="0.45">
      <c r="I2459" s="42"/>
      <c r="J2459" s="42"/>
    </row>
    <row r="2460" spans="9:10" x14ac:dyDescent="0.45">
      <c r="I2460" s="42"/>
      <c r="J2460" s="42"/>
    </row>
    <row r="2461" spans="9:10" x14ac:dyDescent="0.45">
      <c r="I2461" s="42"/>
      <c r="J2461" s="42"/>
    </row>
    <row r="2462" spans="9:10" x14ac:dyDescent="0.45">
      <c r="I2462" s="42"/>
      <c r="J2462" s="42"/>
    </row>
    <row r="2463" spans="9:10" x14ac:dyDescent="0.45">
      <c r="I2463" s="42"/>
      <c r="J2463" s="42"/>
    </row>
    <row r="2464" spans="9:10" x14ac:dyDescent="0.45">
      <c r="I2464" s="42"/>
      <c r="J2464" s="42"/>
    </row>
    <row r="2465" spans="9:10" x14ac:dyDescent="0.45">
      <c r="I2465" s="42"/>
      <c r="J2465" s="42"/>
    </row>
    <row r="2466" spans="9:10" x14ac:dyDescent="0.45">
      <c r="I2466" s="42"/>
      <c r="J2466" s="42"/>
    </row>
    <row r="2467" spans="9:10" x14ac:dyDescent="0.45">
      <c r="I2467" s="42"/>
      <c r="J2467" s="42"/>
    </row>
    <row r="2468" spans="9:10" x14ac:dyDescent="0.45">
      <c r="I2468" s="42"/>
      <c r="J2468" s="42"/>
    </row>
    <row r="2469" spans="9:10" x14ac:dyDescent="0.45">
      <c r="I2469" s="42"/>
      <c r="J2469" s="42"/>
    </row>
    <row r="2470" spans="9:10" x14ac:dyDescent="0.45">
      <c r="I2470" s="42"/>
      <c r="J2470" s="42"/>
    </row>
    <row r="2471" spans="9:10" x14ac:dyDescent="0.45">
      <c r="I2471" s="42"/>
      <c r="J2471" s="42"/>
    </row>
    <row r="2472" spans="9:10" x14ac:dyDescent="0.45">
      <c r="I2472" s="42"/>
      <c r="J2472" s="42"/>
    </row>
    <row r="2473" spans="9:10" x14ac:dyDescent="0.45">
      <c r="I2473" s="42"/>
      <c r="J2473" s="42"/>
    </row>
    <row r="2474" spans="9:10" x14ac:dyDescent="0.45">
      <c r="I2474" s="42"/>
      <c r="J2474" s="42"/>
    </row>
    <row r="2475" spans="9:10" x14ac:dyDescent="0.45">
      <c r="I2475" s="42"/>
      <c r="J2475" s="42"/>
    </row>
    <row r="2476" spans="9:10" x14ac:dyDescent="0.45">
      <c r="I2476" s="42"/>
      <c r="J2476" s="42"/>
    </row>
    <row r="2477" spans="9:10" x14ac:dyDescent="0.45">
      <c r="I2477" s="42"/>
      <c r="J2477" s="42"/>
    </row>
    <row r="2478" spans="9:10" x14ac:dyDescent="0.45">
      <c r="I2478" s="42"/>
      <c r="J2478" s="42"/>
    </row>
    <row r="2479" spans="9:10" x14ac:dyDescent="0.45">
      <c r="I2479" s="42"/>
      <c r="J2479" s="42"/>
    </row>
    <row r="2480" spans="9:10" x14ac:dyDescent="0.45">
      <c r="I2480" s="42"/>
      <c r="J2480" s="42"/>
    </row>
    <row r="2481" spans="9:10" x14ac:dyDescent="0.45">
      <c r="I2481" s="42"/>
      <c r="J2481" s="42"/>
    </row>
    <row r="2482" spans="9:10" x14ac:dyDescent="0.45">
      <c r="I2482" s="42"/>
      <c r="J2482" s="42"/>
    </row>
    <row r="2483" spans="9:10" x14ac:dyDescent="0.45">
      <c r="I2483" s="42"/>
      <c r="J2483" s="42"/>
    </row>
    <row r="2484" spans="9:10" x14ac:dyDescent="0.45">
      <c r="I2484" s="42"/>
      <c r="J2484" s="42"/>
    </row>
    <row r="2485" spans="9:10" x14ac:dyDescent="0.45">
      <c r="I2485" s="42"/>
      <c r="J2485" s="42"/>
    </row>
    <row r="2486" spans="9:10" x14ac:dyDescent="0.45">
      <c r="I2486" s="42"/>
      <c r="J2486" s="42"/>
    </row>
    <row r="2487" spans="9:10" x14ac:dyDescent="0.45">
      <c r="I2487" s="42"/>
      <c r="J2487" s="42"/>
    </row>
    <row r="2488" spans="9:10" x14ac:dyDescent="0.45">
      <c r="I2488" s="42"/>
      <c r="J2488" s="42"/>
    </row>
    <row r="2489" spans="9:10" x14ac:dyDescent="0.45">
      <c r="I2489" s="42"/>
      <c r="J2489" s="42"/>
    </row>
    <row r="2490" spans="9:10" x14ac:dyDescent="0.45">
      <c r="I2490" s="42"/>
      <c r="J2490" s="42"/>
    </row>
    <row r="2491" spans="9:10" x14ac:dyDescent="0.45">
      <c r="I2491" s="42"/>
      <c r="J2491" s="42"/>
    </row>
    <row r="2492" spans="9:10" x14ac:dyDescent="0.45">
      <c r="I2492" s="42"/>
      <c r="J2492" s="42"/>
    </row>
    <row r="2493" spans="9:10" x14ac:dyDescent="0.45">
      <c r="I2493" s="42"/>
      <c r="J2493" s="42"/>
    </row>
    <row r="2494" spans="9:10" x14ac:dyDescent="0.45">
      <c r="I2494" s="42"/>
      <c r="J2494" s="42"/>
    </row>
    <row r="2495" spans="9:10" x14ac:dyDescent="0.45">
      <c r="I2495" s="42"/>
      <c r="J2495" s="42"/>
    </row>
    <row r="2496" spans="9:10" x14ac:dyDescent="0.45">
      <c r="I2496" s="42"/>
      <c r="J2496" s="42"/>
    </row>
    <row r="2497" spans="9:10" x14ac:dyDescent="0.45">
      <c r="I2497" s="42"/>
      <c r="J2497" s="42"/>
    </row>
    <row r="2498" spans="9:10" x14ac:dyDescent="0.45">
      <c r="I2498" s="42"/>
      <c r="J2498" s="42"/>
    </row>
    <row r="2499" spans="9:10" x14ac:dyDescent="0.45">
      <c r="I2499" s="42"/>
      <c r="J2499" s="42"/>
    </row>
    <row r="2500" spans="9:10" x14ac:dyDescent="0.45">
      <c r="I2500" s="42"/>
      <c r="J2500" s="42"/>
    </row>
    <row r="2501" spans="9:10" x14ac:dyDescent="0.45">
      <c r="I2501" s="42"/>
      <c r="J2501" s="42"/>
    </row>
    <row r="2502" spans="9:10" x14ac:dyDescent="0.45">
      <c r="I2502" s="42"/>
      <c r="J2502" s="42"/>
    </row>
    <row r="2503" spans="9:10" x14ac:dyDescent="0.45">
      <c r="I2503" s="42"/>
      <c r="J2503" s="42"/>
    </row>
    <row r="2504" spans="9:10" x14ac:dyDescent="0.45">
      <c r="I2504" s="42"/>
      <c r="J2504" s="42"/>
    </row>
    <row r="2505" spans="9:10" x14ac:dyDescent="0.45">
      <c r="I2505" s="42"/>
      <c r="J2505" s="42"/>
    </row>
    <row r="2506" spans="9:10" x14ac:dyDescent="0.45">
      <c r="I2506" s="42"/>
      <c r="J2506" s="42"/>
    </row>
    <row r="2507" spans="9:10" x14ac:dyDescent="0.45">
      <c r="I2507" s="42"/>
      <c r="J2507" s="42"/>
    </row>
    <row r="2508" spans="9:10" x14ac:dyDescent="0.45">
      <c r="I2508" s="42"/>
      <c r="J2508" s="42"/>
    </row>
    <row r="2509" spans="9:10" x14ac:dyDescent="0.45">
      <c r="I2509" s="42"/>
      <c r="J2509" s="42"/>
    </row>
    <row r="2510" spans="9:10" x14ac:dyDescent="0.45">
      <c r="I2510" s="42"/>
      <c r="J2510" s="42"/>
    </row>
    <row r="2511" spans="9:10" x14ac:dyDescent="0.45">
      <c r="I2511" s="42"/>
      <c r="J2511" s="42"/>
    </row>
    <row r="2512" spans="9:10" x14ac:dyDescent="0.45">
      <c r="I2512" s="42"/>
      <c r="J2512" s="42"/>
    </row>
    <row r="2513" spans="9:10" x14ac:dyDescent="0.45">
      <c r="I2513" s="42"/>
      <c r="J2513" s="42"/>
    </row>
    <row r="2514" spans="9:10" x14ac:dyDescent="0.45">
      <c r="I2514" s="42"/>
      <c r="J2514" s="42"/>
    </row>
    <row r="2515" spans="9:10" x14ac:dyDescent="0.45">
      <c r="I2515" s="42"/>
      <c r="J2515" s="42"/>
    </row>
    <row r="2516" spans="9:10" x14ac:dyDescent="0.45">
      <c r="I2516" s="42"/>
      <c r="J2516" s="42"/>
    </row>
    <row r="2517" spans="9:10" x14ac:dyDescent="0.45">
      <c r="I2517" s="42"/>
      <c r="J2517" s="42"/>
    </row>
    <row r="2518" spans="9:10" x14ac:dyDescent="0.45">
      <c r="I2518" s="42"/>
      <c r="J2518" s="42"/>
    </row>
    <row r="2519" spans="9:10" x14ac:dyDescent="0.45">
      <c r="I2519" s="42"/>
      <c r="J2519" s="42"/>
    </row>
    <row r="2520" spans="9:10" x14ac:dyDescent="0.45">
      <c r="I2520" s="42"/>
      <c r="J2520" s="42"/>
    </row>
    <row r="2521" spans="9:10" x14ac:dyDescent="0.45">
      <c r="I2521" s="42"/>
      <c r="J2521" s="42"/>
    </row>
    <row r="2522" spans="9:10" x14ac:dyDescent="0.45">
      <c r="I2522" s="42"/>
      <c r="J2522" s="42"/>
    </row>
    <row r="2523" spans="9:10" x14ac:dyDescent="0.45">
      <c r="I2523" s="42"/>
      <c r="J2523" s="42"/>
    </row>
    <row r="2524" spans="9:10" x14ac:dyDescent="0.45">
      <c r="I2524" s="42"/>
      <c r="J2524" s="42"/>
    </row>
    <row r="2525" spans="9:10" x14ac:dyDescent="0.45">
      <c r="I2525" s="42"/>
      <c r="J2525" s="42"/>
    </row>
    <row r="2526" spans="9:10" x14ac:dyDescent="0.45">
      <c r="I2526" s="42"/>
      <c r="J2526" s="42"/>
    </row>
    <row r="2527" spans="9:10" x14ac:dyDescent="0.45">
      <c r="I2527" s="42"/>
      <c r="J2527" s="42"/>
    </row>
    <row r="2528" spans="9:10" x14ac:dyDescent="0.45">
      <c r="I2528" s="42"/>
      <c r="J2528" s="42"/>
    </row>
    <row r="2529" spans="9:10" x14ac:dyDescent="0.45">
      <c r="I2529" s="42"/>
      <c r="J2529" s="42"/>
    </row>
    <row r="2530" spans="9:10" x14ac:dyDescent="0.45">
      <c r="I2530" s="42"/>
      <c r="J2530" s="42"/>
    </row>
    <row r="2531" spans="9:10" x14ac:dyDescent="0.45">
      <c r="I2531" s="42"/>
      <c r="J2531" s="42"/>
    </row>
    <row r="2532" spans="9:10" x14ac:dyDescent="0.45">
      <c r="I2532" s="42"/>
      <c r="J2532" s="42"/>
    </row>
    <row r="2533" spans="9:10" x14ac:dyDescent="0.45">
      <c r="I2533" s="42"/>
      <c r="J2533" s="42"/>
    </row>
    <row r="2534" spans="9:10" x14ac:dyDescent="0.45">
      <c r="I2534" s="42"/>
      <c r="J2534" s="42"/>
    </row>
    <row r="2535" spans="9:10" x14ac:dyDescent="0.45">
      <c r="I2535" s="42"/>
      <c r="J2535" s="42"/>
    </row>
    <row r="2536" spans="9:10" x14ac:dyDescent="0.45">
      <c r="I2536" s="42"/>
      <c r="J2536" s="42"/>
    </row>
    <row r="2537" spans="9:10" x14ac:dyDescent="0.45">
      <c r="I2537" s="42"/>
      <c r="J2537" s="42"/>
    </row>
    <row r="2538" spans="9:10" x14ac:dyDescent="0.45">
      <c r="I2538" s="42"/>
      <c r="J2538" s="42"/>
    </row>
    <row r="2539" spans="9:10" x14ac:dyDescent="0.45">
      <c r="I2539" s="42"/>
      <c r="J2539" s="42"/>
    </row>
    <row r="2540" spans="9:10" x14ac:dyDescent="0.45">
      <c r="I2540" s="42"/>
      <c r="J2540" s="42"/>
    </row>
    <row r="2541" spans="9:10" x14ac:dyDescent="0.45">
      <c r="I2541" s="42"/>
      <c r="J2541" s="42"/>
    </row>
    <row r="2542" spans="9:10" x14ac:dyDescent="0.45">
      <c r="I2542" s="42"/>
      <c r="J2542" s="42"/>
    </row>
    <row r="2543" spans="9:10" x14ac:dyDescent="0.45">
      <c r="I2543" s="42"/>
      <c r="J2543" s="42"/>
    </row>
    <row r="2544" spans="9:10" x14ac:dyDescent="0.45">
      <c r="I2544" s="42"/>
      <c r="J2544" s="42"/>
    </row>
    <row r="2545" spans="9:10" x14ac:dyDescent="0.45">
      <c r="I2545" s="42"/>
      <c r="J2545" s="42"/>
    </row>
    <row r="2546" spans="9:10" x14ac:dyDescent="0.45">
      <c r="I2546" s="42"/>
      <c r="J2546" s="42"/>
    </row>
    <row r="2547" spans="9:10" x14ac:dyDescent="0.45">
      <c r="I2547" s="42"/>
      <c r="J2547" s="42"/>
    </row>
    <row r="2548" spans="9:10" x14ac:dyDescent="0.45">
      <c r="I2548" s="42"/>
      <c r="J2548" s="42"/>
    </row>
    <row r="2549" spans="9:10" x14ac:dyDescent="0.45">
      <c r="I2549" s="42"/>
      <c r="J2549" s="42"/>
    </row>
    <row r="2550" spans="9:10" x14ac:dyDescent="0.45">
      <c r="I2550" s="42"/>
      <c r="J2550" s="42"/>
    </row>
    <row r="2551" spans="9:10" x14ac:dyDescent="0.45">
      <c r="I2551" s="42"/>
      <c r="J2551" s="42"/>
    </row>
    <row r="2552" spans="9:10" x14ac:dyDescent="0.45">
      <c r="I2552" s="42"/>
      <c r="J2552" s="42"/>
    </row>
    <row r="2553" spans="9:10" x14ac:dyDescent="0.45">
      <c r="I2553" s="42"/>
      <c r="J2553" s="42"/>
    </row>
    <row r="2554" spans="9:10" x14ac:dyDescent="0.45">
      <c r="I2554" s="42"/>
      <c r="J2554" s="42"/>
    </row>
    <row r="2555" spans="9:10" x14ac:dyDescent="0.45">
      <c r="I2555" s="42"/>
      <c r="J2555" s="42"/>
    </row>
    <row r="2556" spans="9:10" x14ac:dyDescent="0.45">
      <c r="I2556" s="42"/>
      <c r="J2556" s="42"/>
    </row>
    <row r="2557" spans="9:10" x14ac:dyDescent="0.45">
      <c r="I2557" s="42"/>
      <c r="J2557" s="42"/>
    </row>
    <row r="2558" spans="9:10" x14ac:dyDescent="0.45">
      <c r="I2558" s="42"/>
      <c r="J2558" s="42"/>
    </row>
    <row r="2559" spans="9:10" x14ac:dyDescent="0.45">
      <c r="I2559" s="42"/>
      <c r="J2559" s="42"/>
    </row>
    <row r="2560" spans="9:10" x14ac:dyDescent="0.45">
      <c r="I2560" s="42"/>
      <c r="J2560" s="42"/>
    </row>
    <row r="2561" spans="9:10" x14ac:dyDescent="0.45">
      <c r="I2561" s="42"/>
      <c r="J2561" s="42"/>
    </row>
    <row r="2562" spans="9:10" x14ac:dyDescent="0.45">
      <c r="I2562" s="42"/>
      <c r="J2562" s="42"/>
    </row>
    <row r="2563" spans="9:10" x14ac:dyDescent="0.45">
      <c r="I2563" s="42"/>
      <c r="J2563" s="42"/>
    </row>
    <row r="2564" spans="9:10" x14ac:dyDescent="0.45">
      <c r="I2564" s="42"/>
      <c r="J2564" s="42"/>
    </row>
    <row r="2565" spans="9:10" x14ac:dyDescent="0.45">
      <c r="I2565" s="42"/>
      <c r="J2565" s="42"/>
    </row>
    <row r="2566" spans="9:10" x14ac:dyDescent="0.45">
      <c r="I2566" s="42"/>
      <c r="J2566" s="42"/>
    </row>
    <row r="2567" spans="9:10" x14ac:dyDescent="0.45">
      <c r="I2567" s="42"/>
      <c r="J2567" s="42"/>
    </row>
    <row r="2568" spans="9:10" x14ac:dyDescent="0.45">
      <c r="I2568" s="42"/>
      <c r="J2568" s="42"/>
    </row>
    <row r="2569" spans="9:10" x14ac:dyDescent="0.45">
      <c r="I2569" s="42"/>
      <c r="J2569" s="42"/>
    </row>
    <row r="2570" spans="9:10" x14ac:dyDescent="0.45">
      <c r="I2570" s="42"/>
      <c r="J2570" s="42"/>
    </row>
    <row r="2571" spans="9:10" x14ac:dyDescent="0.45">
      <c r="I2571" s="42"/>
      <c r="J2571" s="42"/>
    </row>
    <row r="2572" spans="9:10" x14ac:dyDescent="0.45">
      <c r="I2572" s="42"/>
      <c r="J2572" s="42"/>
    </row>
    <row r="2573" spans="9:10" x14ac:dyDescent="0.45">
      <c r="I2573" s="42"/>
      <c r="J2573" s="42"/>
    </row>
    <row r="2574" spans="9:10" x14ac:dyDescent="0.45">
      <c r="I2574" s="42"/>
      <c r="J2574" s="42"/>
    </row>
    <row r="2575" spans="9:10" x14ac:dyDescent="0.45">
      <c r="I2575" s="42"/>
      <c r="J2575" s="42"/>
    </row>
    <row r="2576" spans="9:10" x14ac:dyDescent="0.45">
      <c r="I2576" s="42"/>
      <c r="J2576" s="42"/>
    </row>
    <row r="2577" spans="9:10" x14ac:dyDescent="0.45">
      <c r="I2577" s="42"/>
      <c r="J2577" s="42"/>
    </row>
    <row r="2578" spans="9:10" x14ac:dyDescent="0.45">
      <c r="I2578" s="42"/>
      <c r="J2578" s="42"/>
    </row>
    <row r="2579" spans="9:10" x14ac:dyDescent="0.45">
      <c r="I2579" s="42"/>
      <c r="J2579" s="42"/>
    </row>
    <row r="2580" spans="9:10" x14ac:dyDescent="0.45">
      <c r="I2580" s="42"/>
      <c r="J2580" s="42"/>
    </row>
    <row r="2581" spans="9:10" x14ac:dyDescent="0.45">
      <c r="I2581" s="42"/>
      <c r="J2581" s="42"/>
    </row>
    <row r="2582" spans="9:10" x14ac:dyDescent="0.45">
      <c r="I2582" s="42"/>
      <c r="J2582" s="42"/>
    </row>
    <row r="2583" spans="9:10" x14ac:dyDescent="0.45">
      <c r="I2583" s="42"/>
      <c r="J2583" s="42"/>
    </row>
    <row r="2584" spans="9:10" x14ac:dyDescent="0.45">
      <c r="I2584" s="42"/>
      <c r="J2584" s="42"/>
    </row>
    <row r="2585" spans="9:10" x14ac:dyDescent="0.45">
      <c r="I2585" s="42"/>
      <c r="J2585" s="42"/>
    </row>
    <row r="2586" spans="9:10" x14ac:dyDescent="0.45">
      <c r="I2586" s="42"/>
      <c r="J2586" s="42"/>
    </row>
    <row r="2587" spans="9:10" x14ac:dyDescent="0.45">
      <c r="I2587" s="42"/>
      <c r="J2587" s="42"/>
    </row>
    <row r="2588" spans="9:10" x14ac:dyDescent="0.45">
      <c r="I2588" s="42"/>
      <c r="J2588" s="42"/>
    </row>
    <row r="2589" spans="9:10" x14ac:dyDescent="0.45">
      <c r="I2589" s="42"/>
      <c r="J2589" s="42"/>
    </row>
    <row r="2590" spans="9:10" x14ac:dyDescent="0.45">
      <c r="I2590" s="42"/>
      <c r="J2590" s="42"/>
    </row>
    <row r="2591" spans="9:10" x14ac:dyDescent="0.45">
      <c r="I2591" s="42"/>
      <c r="J2591" s="42"/>
    </row>
    <row r="2592" spans="9:10" x14ac:dyDescent="0.45">
      <c r="I2592" s="42"/>
      <c r="J2592" s="42"/>
    </row>
    <row r="2593" spans="9:10" x14ac:dyDescent="0.45">
      <c r="I2593" s="42"/>
      <c r="J2593" s="42"/>
    </row>
    <row r="2594" spans="9:10" x14ac:dyDescent="0.45">
      <c r="I2594" s="42"/>
      <c r="J2594" s="42"/>
    </row>
    <row r="2595" spans="9:10" x14ac:dyDescent="0.45">
      <c r="I2595" s="42"/>
      <c r="J2595" s="42"/>
    </row>
    <row r="2596" spans="9:10" x14ac:dyDescent="0.45">
      <c r="I2596" s="42"/>
      <c r="J2596" s="42"/>
    </row>
    <row r="2597" spans="9:10" x14ac:dyDescent="0.45">
      <c r="I2597" s="42"/>
      <c r="J2597" s="42"/>
    </row>
    <row r="2598" spans="9:10" x14ac:dyDescent="0.45">
      <c r="I2598" s="42"/>
      <c r="J2598" s="42"/>
    </row>
    <row r="2599" spans="9:10" x14ac:dyDescent="0.45">
      <c r="I2599" s="42"/>
      <c r="J2599" s="42"/>
    </row>
    <row r="2600" spans="9:10" x14ac:dyDescent="0.45">
      <c r="I2600" s="42"/>
      <c r="J2600" s="42"/>
    </row>
    <row r="2601" spans="9:10" x14ac:dyDescent="0.45">
      <c r="I2601" s="42"/>
      <c r="J2601" s="42"/>
    </row>
    <row r="2602" spans="9:10" x14ac:dyDescent="0.45">
      <c r="I2602" s="42"/>
      <c r="J2602" s="42"/>
    </row>
    <row r="2603" spans="9:10" x14ac:dyDescent="0.45">
      <c r="I2603" s="42"/>
      <c r="J2603" s="42"/>
    </row>
    <row r="2604" spans="9:10" x14ac:dyDescent="0.45">
      <c r="I2604" s="42"/>
      <c r="J2604" s="42"/>
    </row>
    <row r="2605" spans="9:10" x14ac:dyDescent="0.45">
      <c r="I2605" s="42"/>
      <c r="J2605" s="42"/>
    </row>
    <row r="2606" spans="9:10" x14ac:dyDescent="0.45">
      <c r="I2606" s="42"/>
      <c r="J2606" s="42"/>
    </row>
    <row r="2607" spans="9:10" x14ac:dyDescent="0.45">
      <c r="I2607" s="42"/>
      <c r="J2607" s="42"/>
    </row>
    <row r="2608" spans="9:10" x14ac:dyDescent="0.45">
      <c r="I2608" s="42"/>
      <c r="J2608" s="42"/>
    </row>
    <row r="2609" spans="9:10" x14ac:dyDescent="0.45">
      <c r="I2609" s="42"/>
      <c r="J2609" s="42"/>
    </row>
    <row r="2610" spans="9:10" x14ac:dyDescent="0.45">
      <c r="I2610" s="42"/>
      <c r="J2610" s="42"/>
    </row>
    <row r="2611" spans="9:10" x14ac:dyDescent="0.45">
      <c r="I2611" s="42"/>
      <c r="J2611" s="42"/>
    </row>
    <row r="2612" spans="9:10" x14ac:dyDescent="0.45">
      <c r="I2612" s="42"/>
      <c r="J2612" s="42"/>
    </row>
    <row r="2613" spans="9:10" x14ac:dyDescent="0.45">
      <c r="I2613" s="42"/>
      <c r="J2613" s="42"/>
    </row>
    <row r="2614" spans="9:10" x14ac:dyDescent="0.45">
      <c r="I2614" s="42"/>
      <c r="J2614" s="42"/>
    </row>
    <row r="2615" spans="9:10" x14ac:dyDescent="0.45">
      <c r="I2615" s="42"/>
      <c r="J2615" s="42"/>
    </row>
    <row r="2616" spans="9:10" x14ac:dyDescent="0.45">
      <c r="I2616" s="42"/>
      <c r="J2616" s="42"/>
    </row>
    <row r="2617" spans="9:10" x14ac:dyDescent="0.45">
      <c r="I2617" s="42"/>
      <c r="J2617" s="42"/>
    </row>
    <row r="2618" spans="9:10" x14ac:dyDescent="0.45">
      <c r="I2618" s="42"/>
      <c r="J2618" s="42"/>
    </row>
    <row r="2619" spans="9:10" x14ac:dyDescent="0.45">
      <c r="I2619" s="42"/>
      <c r="J2619" s="42"/>
    </row>
    <row r="2620" spans="9:10" x14ac:dyDescent="0.45">
      <c r="I2620" s="42"/>
      <c r="J2620" s="42"/>
    </row>
    <row r="2621" spans="9:10" x14ac:dyDescent="0.45">
      <c r="I2621" s="42"/>
      <c r="J2621" s="42"/>
    </row>
    <row r="2622" spans="9:10" x14ac:dyDescent="0.45">
      <c r="I2622" s="42"/>
      <c r="J2622" s="42"/>
    </row>
    <row r="2623" spans="9:10" x14ac:dyDescent="0.45">
      <c r="I2623" s="42"/>
      <c r="J2623" s="42"/>
    </row>
    <row r="2624" spans="9:10" x14ac:dyDescent="0.45">
      <c r="I2624" s="42"/>
      <c r="J2624" s="42"/>
    </row>
    <row r="2625" spans="9:10" x14ac:dyDescent="0.45">
      <c r="I2625" s="42"/>
      <c r="J2625" s="42"/>
    </row>
    <row r="2626" spans="9:10" x14ac:dyDescent="0.45">
      <c r="I2626" s="42"/>
      <c r="J2626" s="42"/>
    </row>
    <row r="2627" spans="9:10" x14ac:dyDescent="0.45">
      <c r="I2627" s="42"/>
      <c r="J2627" s="42"/>
    </row>
    <row r="2628" spans="9:10" x14ac:dyDescent="0.45">
      <c r="I2628" s="42"/>
      <c r="J2628" s="42"/>
    </row>
    <row r="2629" spans="9:10" x14ac:dyDescent="0.45">
      <c r="I2629" s="42"/>
      <c r="J2629" s="42"/>
    </row>
    <row r="2630" spans="9:10" x14ac:dyDescent="0.45">
      <c r="I2630" s="42"/>
      <c r="J2630" s="42"/>
    </row>
    <row r="2631" spans="9:10" x14ac:dyDescent="0.45">
      <c r="I2631" s="42"/>
      <c r="J2631" s="42"/>
    </row>
    <row r="2632" spans="9:10" x14ac:dyDescent="0.45">
      <c r="I2632" s="42"/>
      <c r="J2632" s="42"/>
    </row>
    <row r="2633" spans="9:10" x14ac:dyDescent="0.45">
      <c r="I2633" s="42"/>
      <c r="J2633" s="42"/>
    </row>
    <row r="2634" spans="9:10" x14ac:dyDescent="0.45">
      <c r="I2634" s="42"/>
      <c r="J2634" s="42"/>
    </row>
    <row r="2635" spans="9:10" x14ac:dyDescent="0.45">
      <c r="I2635" s="42"/>
      <c r="J2635" s="42"/>
    </row>
    <row r="2636" spans="9:10" x14ac:dyDescent="0.45">
      <c r="I2636" s="42"/>
      <c r="J2636" s="42"/>
    </row>
    <row r="2637" spans="9:10" x14ac:dyDescent="0.45">
      <c r="I2637" s="42"/>
      <c r="J2637" s="42"/>
    </row>
    <row r="2638" spans="9:10" x14ac:dyDescent="0.45">
      <c r="I2638" s="42"/>
      <c r="J2638" s="42"/>
    </row>
    <row r="2639" spans="9:10" x14ac:dyDescent="0.45">
      <c r="I2639" s="42"/>
      <c r="J2639" s="42"/>
    </row>
    <row r="2640" spans="9:10" x14ac:dyDescent="0.45">
      <c r="I2640" s="42"/>
      <c r="J2640" s="42"/>
    </row>
    <row r="2641" spans="9:10" x14ac:dyDescent="0.45">
      <c r="I2641" s="42"/>
      <c r="J2641" s="42"/>
    </row>
    <row r="2642" spans="9:10" x14ac:dyDescent="0.45">
      <c r="I2642" s="42"/>
      <c r="J2642" s="42"/>
    </row>
    <row r="2643" spans="9:10" x14ac:dyDescent="0.45">
      <c r="I2643" s="42"/>
      <c r="J2643" s="42"/>
    </row>
    <row r="2644" spans="9:10" x14ac:dyDescent="0.45">
      <c r="I2644" s="42"/>
      <c r="J2644" s="42"/>
    </row>
    <row r="2645" spans="9:10" x14ac:dyDescent="0.45">
      <c r="I2645" s="42"/>
      <c r="J2645" s="42"/>
    </row>
    <row r="2646" spans="9:10" x14ac:dyDescent="0.45">
      <c r="I2646" s="42"/>
      <c r="J2646" s="42"/>
    </row>
    <row r="2647" spans="9:10" x14ac:dyDescent="0.45">
      <c r="I2647" s="42"/>
      <c r="J2647" s="42"/>
    </row>
    <row r="2648" spans="9:10" x14ac:dyDescent="0.45">
      <c r="I2648" s="42"/>
      <c r="J2648" s="42"/>
    </row>
    <row r="2649" spans="9:10" x14ac:dyDescent="0.45">
      <c r="I2649" s="42"/>
      <c r="J2649" s="42"/>
    </row>
    <row r="2650" spans="9:10" x14ac:dyDescent="0.45">
      <c r="I2650" s="42"/>
      <c r="J2650" s="42"/>
    </row>
    <row r="2651" spans="9:10" x14ac:dyDescent="0.45">
      <c r="I2651" s="42"/>
      <c r="J2651" s="42"/>
    </row>
    <row r="2652" spans="9:10" x14ac:dyDescent="0.45">
      <c r="I2652" s="42"/>
      <c r="J2652" s="42"/>
    </row>
    <row r="2653" spans="9:10" x14ac:dyDescent="0.45">
      <c r="I2653" s="42"/>
      <c r="J2653" s="42"/>
    </row>
    <row r="2654" spans="9:10" x14ac:dyDescent="0.45">
      <c r="I2654" s="42"/>
      <c r="J2654" s="42"/>
    </row>
    <row r="2655" spans="9:10" x14ac:dyDescent="0.45">
      <c r="I2655" s="42"/>
      <c r="J2655" s="42"/>
    </row>
    <row r="2656" spans="9:10" x14ac:dyDescent="0.45">
      <c r="I2656" s="42"/>
      <c r="J2656" s="42"/>
    </row>
    <row r="2657" spans="9:10" x14ac:dyDescent="0.45">
      <c r="I2657" s="42"/>
      <c r="J2657" s="42"/>
    </row>
    <row r="2658" spans="9:10" x14ac:dyDescent="0.45">
      <c r="I2658" s="42"/>
      <c r="J2658" s="42"/>
    </row>
    <row r="2659" spans="9:10" x14ac:dyDescent="0.45">
      <c r="I2659" s="42"/>
      <c r="J2659" s="42"/>
    </row>
    <row r="2660" spans="9:10" x14ac:dyDescent="0.45">
      <c r="I2660" s="42"/>
      <c r="J2660" s="4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제품별 광고비 현황(24.01~26.01)</vt:lpstr>
      <vt:lpstr>광고주별</vt:lpstr>
      <vt:lpstr>월별</vt:lpstr>
      <vt:lpstr>매체 카테고리별 광고비 현황(24.01~26.01)</vt:lpstr>
      <vt:lpstr>RAW</vt:lpstr>
      <vt:lpstr>ADEX CODE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김형은</dc:creator>
  <cp:lastModifiedBy>위지수</cp:lastModifiedBy>
  <cp:lastPrinted>2025-08-25T08:07:37Z</cp:lastPrinted>
  <dcterms:created xsi:type="dcterms:W3CDTF">2025-02-26T01:53:52Z</dcterms:created>
  <dcterms:modified xsi:type="dcterms:W3CDTF">2026-03-06T08:28:29Z</dcterms:modified>
</cp:coreProperties>
</file>
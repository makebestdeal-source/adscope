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041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6" i="1"/>
  <c r="I6"/>
  <c r="I5"/>
  <c r="I4"/>
  <c r="I3"/>
  <c r="H6"/>
  <c r="C6"/>
  <c r="G6"/>
  <c r="F6"/>
  <c r="E6"/>
  <c r="E5"/>
  <c r="E4"/>
  <c r="E3"/>
  <c r="F5"/>
  <c r="F4"/>
  <c r="G4"/>
  <c r="F3"/>
</calcChain>
</file>

<file path=xl/sharedStrings.xml><?xml version="1.0" encoding="utf-8"?>
<sst xmlns="http://schemas.openxmlformats.org/spreadsheetml/2006/main" count="21" uniqueCount="19">
  <si>
    <t>네이버</t>
    <phoneticPr fontId="2" type="noConversion"/>
  </si>
  <si>
    <t>유튜브</t>
    <phoneticPr fontId="2" type="noConversion"/>
  </si>
  <si>
    <t>메타</t>
    <phoneticPr fontId="2" type="noConversion"/>
  </si>
  <si>
    <t>광고비</t>
    <phoneticPr fontId="2" type="noConversion"/>
  </si>
  <si>
    <t>기간</t>
    <phoneticPr fontId="2" type="noConversion"/>
  </si>
  <si>
    <t>30일</t>
    <phoneticPr fontId="2" type="noConversion"/>
  </si>
  <si>
    <t>노출</t>
    <phoneticPr fontId="2" type="noConversion"/>
  </si>
  <si>
    <t>클릭</t>
    <phoneticPr fontId="2" type="noConversion"/>
  </si>
  <si>
    <t>CPC</t>
    <phoneticPr fontId="2" type="noConversion"/>
  </si>
  <si>
    <t>CPM</t>
    <phoneticPr fontId="2" type="noConversion"/>
  </si>
  <si>
    <t>CPV</t>
    <phoneticPr fontId="2" type="noConversion"/>
  </si>
  <si>
    <t>영상조회</t>
    <phoneticPr fontId="2" type="noConversion"/>
  </si>
  <si>
    <t>미디어</t>
    <phoneticPr fontId="2" type="noConversion"/>
  </si>
  <si>
    <t>Total</t>
    <phoneticPr fontId="2" type="noConversion"/>
  </si>
  <si>
    <t>채널조회수
(오가닉)</t>
    <phoneticPr fontId="2" type="noConversion"/>
  </si>
  <si>
    <t>검색쿼리</t>
    <phoneticPr fontId="2" type="noConversion"/>
  </si>
  <si>
    <t>소셜인게이지먼트</t>
    <phoneticPr fontId="2" type="noConversion"/>
  </si>
  <si>
    <t>메타 시그널</t>
    <phoneticPr fontId="2" type="noConversion"/>
  </si>
  <si>
    <t>광고 관련 지표</t>
    <phoneticPr fontId="2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</si>
</sst>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6"/>
  <sheetViews>
    <sheetView tabSelected="1" workbookViewId="0">
      <selection activeCell="B1" sqref="B1:J1"/>
    </sheetView>
  </sheetViews>
  <sheetFormatPr defaultRowHeight="16.5"/>
  <cols>
    <col min="1" max="1" width="3.125" customWidth="1"/>
    <col min="3" max="3" width="13" bestFit="1" customWidth="1"/>
    <col min="5" max="5" width="14.625" bestFit="1" customWidth="1"/>
    <col min="6" max="6" width="11.875" bestFit="1" customWidth="1"/>
    <col min="7" max="7" width="10.875" bestFit="1" customWidth="1"/>
    <col min="9" max="9" width="10.125" bestFit="1" customWidth="1"/>
    <col min="11" max="11" width="12.75" customWidth="1"/>
    <col min="13" max="13" width="17.25" bestFit="1" customWidth="1"/>
  </cols>
  <sheetData>
    <row r="1" spans="2:13">
      <c r="B1" s="1" t="s">
        <v>18</v>
      </c>
      <c r="C1" s="1"/>
      <c r="D1" s="1"/>
      <c r="E1" s="1"/>
      <c r="F1" s="1"/>
      <c r="G1" s="1"/>
      <c r="H1" s="1"/>
      <c r="I1" s="1"/>
      <c r="J1" s="1"/>
      <c r="K1" s="1" t="s">
        <v>17</v>
      </c>
      <c r="L1" s="1"/>
      <c r="M1" s="1"/>
    </row>
    <row r="2" spans="2:13" ht="33">
      <c r="B2" s="3" t="s">
        <v>12</v>
      </c>
      <c r="C2" s="3" t="s">
        <v>3</v>
      </c>
      <c r="D2" s="3" t="s">
        <v>4</v>
      </c>
      <c r="E2" s="3" t="s">
        <v>6</v>
      </c>
      <c r="F2" s="3" t="s">
        <v>7</v>
      </c>
      <c r="G2" s="3" t="s">
        <v>11</v>
      </c>
      <c r="H2" s="3" t="s">
        <v>8</v>
      </c>
      <c r="I2" s="3" t="s">
        <v>9</v>
      </c>
      <c r="J2" s="3" t="s">
        <v>10</v>
      </c>
      <c r="K2" s="4" t="s">
        <v>14</v>
      </c>
      <c r="L2" s="3" t="s">
        <v>15</v>
      </c>
      <c r="M2" s="3" t="s">
        <v>16</v>
      </c>
    </row>
    <row r="3" spans="2:13">
      <c r="B3" s="3" t="s">
        <v>0</v>
      </c>
      <c r="C3" s="5">
        <v>100000000</v>
      </c>
      <c r="D3" s="3" t="s">
        <v>5</v>
      </c>
      <c r="E3" s="5">
        <f>F3/7%</f>
        <v>2857142.8571428568</v>
      </c>
      <c r="F3" s="6">
        <f>C3/H3</f>
        <v>200000</v>
      </c>
      <c r="G3" s="6"/>
      <c r="H3" s="3">
        <v>500</v>
      </c>
      <c r="I3" s="5">
        <f>C3/E3*1000</f>
        <v>35000.000000000007</v>
      </c>
      <c r="J3" s="3"/>
      <c r="K3" s="2">
        <v>0.03</v>
      </c>
      <c r="L3" s="2">
        <v>7.0000000000000007E-2</v>
      </c>
      <c r="M3" s="2">
        <v>0.04</v>
      </c>
    </row>
    <row r="4" spans="2:13">
      <c r="B4" s="3" t="s">
        <v>1</v>
      </c>
      <c r="C4" s="5">
        <v>100000000</v>
      </c>
      <c r="D4" s="3" t="s">
        <v>5</v>
      </c>
      <c r="E4" s="6">
        <f>G4/25%</f>
        <v>7600000</v>
      </c>
      <c r="F4" s="6">
        <f>C4*5%/H4</f>
        <v>50000</v>
      </c>
      <c r="G4" s="6">
        <f>C4*95%/J4</f>
        <v>1900000</v>
      </c>
      <c r="H4" s="3">
        <v>100</v>
      </c>
      <c r="I4" s="5">
        <f>C4/E4*1000</f>
        <v>13157.894736842105</v>
      </c>
      <c r="J4" s="3">
        <v>50</v>
      </c>
      <c r="K4" s="2"/>
      <c r="L4" s="2"/>
      <c r="M4" s="2"/>
    </row>
    <row r="5" spans="2:13">
      <c r="B5" s="3" t="s">
        <v>2</v>
      </c>
      <c r="C5" s="5">
        <v>100000000</v>
      </c>
      <c r="D5" s="3" t="s">
        <v>5</v>
      </c>
      <c r="E5" s="5">
        <f>F5/0.4%</f>
        <v>35714285.714285716</v>
      </c>
      <c r="F5" s="5">
        <f>C5/H5</f>
        <v>142857.14285714287</v>
      </c>
      <c r="G5" s="3"/>
      <c r="H5" s="3">
        <v>700</v>
      </c>
      <c r="I5" s="5">
        <f>C5/E5*1000</f>
        <v>2800</v>
      </c>
      <c r="J5" s="3"/>
      <c r="K5" s="2"/>
      <c r="L5" s="2"/>
      <c r="M5" s="2"/>
    </row>
    <row r="6" spans="2:13">
      <c r="B6" s="3" t="s">
        <v>13</v>
      </c>
      <c r="C6" s="6">
        <f>SUM(C3:C5)</f>
        <v>300000000</v>
      </c>
      <c r="D6" s="3"/>
      <c r="E6" s="6">
        <f>SUM(E3:E5)</f>
        <v>46171428.571428575</v>
      </c>
      <c r="F6" s="6">
        <f>SUM(F3:F5)</f>
        <v>392857.14285714284</v>
      </c>
      <c r="G6" s="6">
        <f>SUM(G3:G5)</f>
        <v>1900000</v>
      </c>
      <c r="H6" s="6">
        <f>C6/F6</f>
        <v>763.63636363636363</v>
      </c>
      <c r="I6" s="5">
        <f>C6/E6*1000</f>
        <v>6497.5247524752467</v>
      </c>
      <c r="J6" s="3">
        <f>J4</f>
        <v>50</v>
      </c>
      <c r="K6" s="2"/>
      <c r="L6" s="2"/>
      <c r="M6" s="2"/>
    </row>
  </sheetData>
  <mergeCells count="5">
    <mergeCell ref="K3:K6"/>
    <mergeCell ref="L3:L6"/>
    <mergeCell ref="M3:M6"/>
    <mergeCell ref="K1:M1"/>
    <mergeCell ref="B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2026-02-18T12:47:03Z</dcterms:created>
  <dcterms:modified xsi:type="dcterms:W3CDTF">2026-02-18T12:56:07Z</dcterms:modified>
</cp:coreProperties>
</file>